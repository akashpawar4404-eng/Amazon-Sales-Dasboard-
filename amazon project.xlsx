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Ex2.xml" ContentType="application/vnd.ms-office.chartex+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C:\Users\admin\Documents\EXCLE PROJECT\"/>
    </mc:Choice>
  </mc:AlternateContent>
  <xr:revisionPtr revIDLastSave="0" documentId="13_ncr:1_{A9D884CC-DC35-4D17-9026-82486810B234}" xr6:coauthVersionLast="47" xr6:coauthVersionMax="47" xr10:uidLastSave="{00000000-0000-0000-0000-000000000000}"/>
  <bookViews>
    <workbookView xWindow="-120" yWindow="-120" windowWidth="20730" windowHeight="11160" activeTab="2" xr2:uid="{80B3B757-169E-45B6-89C9-D705E5FE94D5}"/>
  </bookViews>
  <sheets>
    <sheet name="Sheet5" sheetId="8" r:id="rId1"/>
    <sheet name="PIVOT" sheetId="7" r:id="rId2"/>
    <sheet name="DASBOARD" sheetId="9" r:id="rId3"/>
    <sheet name="Data" sheetId="2" r:id="rId4"/>
  </sheets>
  <definedNames>
    <definedName name="_xlchart.v5.0" hidden="1">PIVOT!$Y$3</definedName>
    <definedName name="_xlchart.v5.1" hidden="1">PIVOT!$Y$4:$Y$10</definedName>
    <definedName name="_xlchart.v5.2" hidden="1">PIVOT!$Z$3</definedName>
    <definedName name="_xlchart.v5.3" hidden="1">PIVOT!$Z$4:$Z$10</definedName>
    <definedName name="_xlchart.v5.4" hidden="1">PIVOT!$Y$3</definedName>
    <definedName name="_xlchart.v5.5" hidden="1">PIVOT!$Y$4:$Y$10</definedName>
    <definedName name="_xlchart.v5.6" hidden="1">PIVOT!$Z$3</definedName>
    <definedName name="_xlchart.v5.7" hidden="1">PIVOT!$Z$4:$Z$10</definedName>
    <definedName name="Slicer_Month">#N/A</definedName>
    <definedName name="Slicer_Payment_Method">#N/A</definedName>
    <definedName name="Slicer_Sales">#N/A</definedName>
    <definedName name="Slicer_Seller">#N/A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Y4" i="7" l="1"/>
  <c r="B6" i="9" a="1"/>
  <c r="B6" i="9"/>
  <c r="Z5" i="7"/>
  <c r="Z6" i="7"/>
  <c r="Z7" i="7"/>
  <c r="Z8" i="7"/>
  <c r="Z9" i="7"/>
  <c r="Z4" i="7"/>
  <c r="Y5" i="7"/>
  <c r="Y6" i="7"/>
  <c r="Y7" i="7"/>
  <c r="Y8" i="7"/>
  <c r="Y9" i="7"/>
  <c r="Q5" i="7"/>
  <c r="R5" i="7"/>
  <c r="S5" i="7"/>
  <c r="T5" i="7"/>
  <c r="U5" i="7"/>
  <c r="Q6" i="7"/>
  <c r="R6" i="7"/>
  <c r="S6" i="7"/>
  <c r="T6" i="7"/>
  <c r="U6" i="7"/>
  <c r="Q7" i="7"/>
  <c r="R7" i="7"/>
  <c r="S7" i="7"/>
  <c r="T7" i="7"/>
  <c r="U7" i="7"/>
  <c r="Q8" i="7"/>
  <c r="R8" i="7"/>
  <c r="S8" i="7"/>
  <c r="T8" i="7"/>
  <c r="U8" i="7"/>
  <c r="Q9" i="7"/>
  <c r="R9" i="7"/>
  <c r="S9" i="7"/>
  <c r="T9" i="7"/>
  <c r="U9" i="7"/>
  <c r="Q10" i="7"/>
  <c r="R10" i="7"/>
  <c r="S10" i="7"/>
  <c r="T10" i="7"/>
  <c r="U10" i="7"/>
  <c r="R4" i="7"/>
  <c r="S4" i="7"/>
  <c r="T4" i="7"/>
  <c r="U4" i="7"/>
  <c r="Q4" i="7"/>
  <c r="A15" i="7"/>
  <c r="A14" i="7"/>
  <c r="A13" i="7"/>
  <c r="A12" i="7"/>
  <c r="A11" i="7"/>
  <c r="Z10" i="7" l="1"/>
  <c r="AA9" i="7" s="1"/>
  <c r="U11" i="7"/>
  <c r="AA4" i="7" l="1"/>
  <c r="AA8" i="7"/>
  <c r="AA7" i="7"/>
  <c r="AA6" i="7"/>
  <c r="AA10" i="7"/>
  <c r="AA5" i="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<sst xmlns="http://schemas.openxmlformats.org/spreadsheetml/2006/main" count="11096" uniqueCount="879">
  <si>
    <t>Order_ID</t>
  </si>
  <si>
    <t>Date</t>
  </si>
  <si>
    <t>Customer_Name</t>
  </si>
  <si>
    <t>Product</t>
  </si>
  <si>
    <t>Category</t>
  </si>
  <si>
    <t>State</t>
  </si>
  <si>
    <t>Seller</t>
  </si>
  <si>
    <t>Payment_Method</t>
  </si>
  <si>
    <t>Sales</t>
  </si>
  <si>
    <t>Quantity</t>
  </si>
  <si>
    <t>Rating</t>
  </si>
  <si>
    <t>Delivery</t>
  </si>
  <si>
    <t>Month</t>
  </si>
  <si>
    <t>ORD10001</t>
  </si>
  <si>
    <t>21/05/2025</t>
  </si>
  <si>
    <t>Rohit</t>
  </si>
  <si>
    <t>Shampoo</t>
  </si>
  <si>
    <t>Beauty</t>
  </si>
  <si>
    <t>Karnataka</t>
  </si>
  <si>
    <t>BookWorld</t>
  </si>
  <si>
    <t>Cash</t>
  </si>
  <si>
    <t>May</t>
  </si>
  <si>
    <t>ORD10002</t>
  </si>
  <si>
    <t>15/10/2025</t>
  </si>
  <si>
    <t>Kavya</t>
  </si>
  <si>
    <t>Chair</t>
  </si>
  <si>
    <t>Home</t>
  </si>
  <si>
    <t>Gujrat</t>
  </si>
  <si>
    <t>TechStore</t>
  </si>
  <si>
    <t>Net Banking</t>
  </si>
  <si>
    <t>Oct</t>
  </si>
  <si>
    <t>ORD10003</t>
  </si>
  <si>
    <t>21/04/2025</t>
  </si>
  <si>
    <t>Neha</t>
  </si>
  <si>
    <t>iPhone 15</t>
  </si>
  <si>
    <t>Electronics</t>
  </si>
  <si>
    <t>Card</t>
  </si>
  <si>
    <t>Apr</t>
  </si>
  <si>
    <t>ORD10004</t>
  </si>
  <si>
    <t>10/10/2025</t>
  </si>
  <si>
    <t>Rahul</t>
  </si>
  <si>
    <t>Shoes</t>
  </si>
  <si>
    <t>Fashion</t>
  </si>
  <si>
    <t>ORD10005</t>
  </si>
  <si>
    <t>21/08/2025</t>
  </si>
  <si>
    <t>Akash</t>
  </si>
  <si>
    <t>Jeans</t>
  </si>
  <si>
    <t>Aug</t>
  </si>
  <si>
    <t>ORD10006</t>
  </si>
  <si>
    <t>14/07/2025</t>
  </si>
  <si>
    <t>Anjali</t>
  </si>
  <si>
    <t>Business Book</t>
  </si>
  <si>
    <t>Books</t>
  </si>
  <si>
    <t>Telangana</t>
  </si>
  <si>
    <t>BeautyCare</t>
  </si>
  <si>
    <t>Jul</t>
  </si>
  <si>
    <t>ORD10007</t>
  </si>
  <si>
    <t>19/04/2025</t>
  </si>
  <si>
    <t>Divya</t>
  </si>
  <si>
    <t>Bedsheet</t>
  </si>
  <si>
    <t>Maharashtra</t>
  </si>
  <si>
    <t>ORD10008</t>
  </si>
  <si>
    <t>18/09/2025</t>
  </si>
  <si>
    <t>Python Book</t>
  </si>
  <si>
    <t>UPI</t>
  </si>
  <si>
    <t>Sep</t>
  </si>
  <si>
    <t>ORD10009</t>
  </si>
  <si>
    <t>28/09/2025</t>
  </si>
  <si>
    <t>Arjun</t>
  </si>
  <si>
    <t>Lamp</t>
  </si>
  <si>
    <t>ORD10010</t>
  </si>
  <si>
    <t>15/05/2025</t>
  </si>
  <si>
    <t>Ali</t>
  </si>
  <si>
    <t>ORD10011</t>
  </si>
  <si>
    <t>08/09/2025</t>
  </si>
  <si>
    <t>Vikas</t>
  </si>
  <si>
    <t>ORD10012</t>
  </si>
  <si>
    <t>07/03/2025</t>
  </si>
  <si>
    <t>Naveen</t>
  </si>
  <si>
    <t>Mixer</t>
  </si>
  <si>
    <t>Mar</t>
  </si>
  <si>
    <t>ORD10013</t>
  </si>
  <si>
    <t>13/08/2025</t>
  </si>
  <si>
    <t>Delhi</t>
  </si>
  <si>
    <t>ORD10014</t>
  </si>
  <si>
    <t>04/02/2025</t>
  </si>
  <si>
    <t>Perfume</t>
  </si>
  <si>
    <t>Feb</t>
  </si>
  <si>
    <t>ORD10015</t>
  </si>
  <si>
    <t>08/04/2025</t>
  </si>
  <si>
    <t>Watch</t>
  </si>
  <si>
    <t>ORD10016</t>
  </si>
  <si>
    <t>09/04/2025</t>
  </si>
  <si>
    <t>ORD10017</t>
  </si>
  <si>
    <t>17/02/2025</t>
  </si>
  <si>
    <t>ORD10018</t>
  </si>
  <si>
    <t>27/05/2025</t>
  </si>
  <si>
    <t>AirPods Pro</t>
  </si>
  <si>
    <t>ORD10019</t>
  </si>
  <si>
    <t>27/10/2025</t>
  </si>
  <si>
    <t>Tamil Nadu</t>
  </si>
  <si>
    <t>ORD10020</t>
  </si>
  <si>
    <t>19/10/2025</t>
  </si>
  <si>
    <t>Priya</t>
  </si>
  <si>
    <t>HomeMart</t>
  </si>
  <si>
    <t>ORD10021</t>
  </si>
  <si>
    <t>09/03/2025</t>
  </si>
  <si>
    <t>ORD10022</t>
  </si>
  <si>
    <t>05/02/2025</t>
  </si>
  <si>
    <t>Cookbook</t>
  </si>
  <si>
    <t>ORD10023</t>
  </si>
  <si>
    <t>24/02/2025</t>
  </si>
  <si>
    <t>Pooja</t>
  </si>
  <si>
    <t>Laptop</t>
  </si>
  <si>
    <t>ORD10024</t>
  </si>
  <si>
    <t>22/05/2025</t>
  </si>
  <si>
    <t>Lipstick</t>
  </si>
  <si>
    <t>ORD10025</t>
  </si>
  <si>
    <t>20/12/2025</t>
  </si>
  <si>
    <t>Dec</t>
  </si>
  <si>
    <t>ORD10026</t>
  </si>
  <si>
    <t>16/12/2025</t>
  </si>
  <si>
    <t>Aman</t>
  </si>
  <si>
    <t>ORD10027</t>
  </si>
  <si>
    <t>20/06/2025</t>
  </si>
  <si>
    <t>Sanjay</t>
  </si>
  <si>
    <t>Jun</t>
  </si>
  <si>
    <t>ORD10028</t>
  </si>
  <si>
    <t>27/04/2025</t>
  </si>
  <si>
    <t>Kiran</t>
  </si>
  <si>
    <t>MacBook Air</t>
  </si>
  <si>
    <t>ORD10029</t>
  </si>
  <si>
    <t>14/05/2025</t>
  </si>
  <si>
    <t>Vijay</t>
  </si>
  <si>
    <t>ORD10030</t>
  </si>
  <si>
    <t>11/05/2025</t>
  </si>
  <si>
    <t>ORD10031</t>
  </si>
  <si>
    <t>06/12/2025</t>
  </si>
  <si>
    <t>ORD10032</t>
  </si>
  <si>
    <t>13/12/2025</t>
  </si>
  <si>
    <t>ORD10033</t>
  </si>
  <si>
    <t>12/12/2025</t>
  </si>
  <si>
    <t>ORD10034</t>
  </si>
  <si>
    <t>13/01/2025</t>
  </si>
  <si>
    <t>Jan</t>
  </si>
  <si>
    <t>ORD10035</t>
  </si>
  <si>
    <t>Meena</t>
  </si>
  <si>
    <t>Novel</t>
  </si>
  <si>
    <t>ORD10036</t>
  </si>
  <si>
    <t>08/10/2025</t>
  </si>
  <si>
    <t>ORD10037</t>
  </si>
  <si>
    <t>ORD10038</t>
  </si>
  <si>
    <t>28/07/2025</t>
  </si>
  <si>
    <t>ORD10039</t>
  </si>
  <si>
    <t>30/06/2025</t>
  </si>
  <si>
    <t>ORD10040</t>
  </si>
  <si>
    <t>22/06/2025</t>
  </si>
  <si>
    <t>ORD10041</t>
  </si>
  <si>
    <t>25/08/2025</t>
  </si>
  <si>
    <t>T-Shirt</t>
  </si>
  <si>
    <t>ORD10042</t>
  </si>
  <si>
    <t>10/01/2025</t>
  </si>
  <si>
    <t>ORD10043</t>
  </si>
  <si>
    <t>09/12/2025</t>
  </si>
  <si>
    <t>ORD10044</t>
  </si>
  <si>
    <t>Sony Headphones</t>
  </si>
  <si>
    <t>ORD10045</t>
  </si>
  <si>
    <t>05/12/2025</t>
  </si>
  <si>
    <t>ORD10046</t>
  </si>
  <si>
    <t>25/09/2025</t>
  </si>
  <si>
    <t>Sneha</t>
  </si>
  <si>
    <t>ORD10047</t>
  </si>
  <si>
    <t>26/08/2025</t>
  </si>
  <si>
    <t>ORD10048</t>
  </si>
  <si>
    <t>22/09/2025</t>
  </si>
  <si>
    <t>ORD10049</t>
  </si>
  <si>
    <t>27/07/2025</t>
  </si>
  <si>
    <t>ORD10050</t>
  </si>
  <si>
    <t>29/04/2025</t>
  </si>
  <si>
    <t>Ria</t>
  </si>
  <si>
    <t>ORD10051</t>
  </si>
  <si>
    <t>21/02/2025</t>
  </si>
  <si>
    <t>ORD10052</t>
  </si>
  <si>
    <t>22/02/2025</t>
  </si>
  <si>
    <t>ORD10053</t>
  </si>
  <si>
    <t>07/02/2025</t>
  </si>
  <si>
    <t>ORD10054</t>
  </si>
  <si>
    <t>02/06/2025</t>
  </si>
  <si>
    <t>ORD10055</t>
  </si>
  <si>
    <t>22/03/2025</t>
  </si>
  <si>
    <t>ORD10056</t>
  </si>
  <si>
    <t>17/11/2025</t>
  </si>
  <si>
    <t>Nov</t>
  </si>
  <si>
    <t>ORD10057</t>
  </si>
  <si>
    <t>ORD10058</t>
  </si>
  <si>
    <t>09/05/2025</t>
  </si>
  <si>
    <t>ORD10059</t>
  </si>
  <si>
    <t>23/05/2025</t>
  </si>
  <si>
    <t>ORD10060</t>
  </si>
  <si>
    <t>22/12/2025</t>
  </si>
  <si>
    <t>ORD10061</t>
  </si>
  <si>
    <t>31/07/2025</t>
  </si>
  <si>
    <t>ORD10062</t>
  </si>
  <si>
    <t>04/03/2025</t>
  </si>
  <si>
    <t>ORD10063</t>
  </si>
  <si>
    <t>13/09/2025</t>
  </si>
  <si>
    <t>ORD10064</t>
  </si>
  <si>
    <t>24/06/2025</t>
  </si>
  <si>
    <t>ORD10065</t>
  </si>
  <si>
    <t>06/10/2025</t>
  </si>
  <si>
    <t>ORD10066</t>
  </si>
  <si>
    <t>11/09/2025</t>
  </si>
  <si>
    <t>ORD10067</t>
  </si>
  <si>
    <t>02/12/2025</t>
  </si>
  <si>
    <t>ORD10068</t>
  </si>
  <si>
    <t>13/11/2025</t>
  </si>
  <si>
    <t>ORD10069</t>
  </si>
  <si>
    <t>29/01/2025</t>
  </si>
  <si>
    <t>Face Wash</t>
  </si>
  <si>
    <t>ORD10070</t>
  </si>
  <si>
    <t>12/09/2025</t>
  </si>
  <si>
    <t>ORD10071</t>
  </si>
  <si>
    <t>28/10/2025</t>
  </si>
  <si>
    <t>ORD10072</t>
  </si>
  <si>
    <t>22/10/2025</t>
  </si>
  <si>
    <t>ORD10073</t>
  </si>
  <si>
    <t>23/04/2025</t>
  </si>
  <si>
    <t>ORD10074</t>
  </si>
  <si>
    <t>01/06/2025</t>
  </si>
  <si>
    <t>ORD10075</t>
  </si>
  <si>
    <t>ORD10076</t>
  </si>
  <si>
    <t>02/10/2025</t>
  </si>
  <si>
    <t>ORD10077</t>
  </si>
  <si>
    <t>09/11/2025</t>
  </si>
  <si>
    <t>ORD10078</t>
  </si>
  <si>
    <t>01/05/2025</t>
  </si>
  <si>
    <t>ORD10079</t>
  </si>
  <si>
    <t>24/05/2025</t>
  </si>
  <si>
    <t>ORD10080</t>
  </si>
  <si>
    <t>ORD10081</t>
  </si>
  <si>
    <t>ORD10082</t>
  </si>
  <si>
    <t>ORD10083</t>
  </si>
  <si>
    <t>02/02/2025</t>
  </si>
  <si>
    <t>ORD10084</t>
  </si>
  <si>
    <t>03/09/2025</t>
  </si>
  <si>
    <t>ORD10085</t>
  </si>
  <si>
    <t>21/11/2025</t>
  </si>
  <si>
    <t>ORD10086</t>
  </si>
  <si>
    <t>ORD10087</t>
  </si>
  <si>
    <t>ORD10088</t>
  </si>
  <si>
    <t>04/11/2025</t>
  </si>
  <si>
    <t>ORD10089</t>
  </si>
  <si>
    <t>21/10/2025</t>
  </si>
  <si>
    <t>ORD10090</t>
  </si>
  <si>
    <t>ORD10091</t>
  </si>
  <si>
    <t>02/11/2025</t>
  </si>
  <si>
    <t>ORD10092</t>
  </si>
  <si>
    <t>01/08/2025</t>
  </si>
  <si>
    <t>ORD10093</t>
  </si>
  <si>
    <t>03/11/2025</t>
  </si>
  <si>
    <t>ORD10094</t>
  </si>
  <si>
    <t>08/03/2025</t>
  </si>
  <si>
    <t>ORD10095</t>
  </si>
  <si>
    <t>09/02/2025</t>
  </si>
  <si>
    <t>ORD10096</t>
  </si>
  <si>
    <t>ORD10097</t>
  </si>
  <si>
    <t>ORD10098</t>
  </si>
  <si>
    <t>05/11/2025</t>
  </si>
  <si>
    <t>ORD10099</t>
  </si>
  <si>
    <t>ORD10100</t>
  </si>
  <si>
    <t>ORD10101</t>
  </si>
  <si>
    <t>14/09/2025</t>
  </si>
  <si>
    <t>ORD10102</t>
  </si>
  <si>
    <t>06/07/2025</t>
  </si>
  <si>
    <t>ORD10103</t>
  </si>
  <si>
    <t>03/12/2025</t>
  </si>
  <si>
    <t>ORD10104</t>
  </si>
  <si>
    <t>26/11/2025</t>
  </si>
  <si>
    <t>ORD10105</t>
  </si>
  <si>
    <t>06/09/2025</t>
  </si>
  <si>
    <t>ORD10106</t>
  </si>
  <si>
    <t>ORD10107</t>
  </si>
  <si>
    <t>18/08/2025</t>
  </si>
  <si>
    <t>ORD10108</t>
  </si>
  <si>
    <t>06/11/2025</t>
  </si>
  <si>
    <t>ORD10109</t>
  </si>
  <si>
    <t>12/08/2025</t>
  </si>
  <si>
    <t>ORD10110</t>
  </si>
  <si>
    <t>13/06/2025</t>
  </si>
  <si>
    <t>ORD10111</t>
  </si>
  <si>
    <t>10/02/2025</t>
  </si>
  <si>
    <t>ORD10112</t>
  </si>
  <si>
    <t>03/08/2025</t>
  </si>
  <si>
    <t>ORD10113</t>
  </si>
  <si>
    <t>04/05/2025</t>
  </si>
  <si>
    <t>ORD10114</t>
  </si>
  <si>
    <t>09/01/2025</t>
  </si>
  <si>
    <t>ORD10115</t>
  </si>
  <si>
    <t>23/12/2025</t>
  </si>
  <si>
    <t>ORD10116</t>
  </si>
  <si>
    <t>23/07/2025</t>
  </si>
  <si>
    <t>ORD10117</t>
  </si>
  <si>
    <t>14/08/2025</t>
  </si>
  <si>
    <t>ORD10118</t>
  </si>
  <si>
    <t>07/10/2025</t>
  </si>
  <si>
    <t>ORD10119</t>
  </si>
  <si>
    <t>17/08/2025</t>
  </si>
  <si>
    <t>ORD10120</t>
  </si>
  <si>
    <t>16/01/2025</t>
  </si>
  <si>
    <t>ORD10121</t>
  </si>
  <si>
    <t>10/07/2025</t>
  </si>
  <si>
    <t>ORD10122</t>
  </si>
  <si>
    <t>ORD10123</t>
  </si>
  <si>
    <t>16/08/2025</t>
  </si>
  <si>
    <t>ORD10124</t>
  </si>
  <si>
    <t>ORD10125</t>
  </si>
  <si>
    <t>ORD10126</t>
  </si>
  <si>
    <t>ORD10127</t>
  </si>
  <si>
    <t>ORD10128</t>
  </si>
  <si>
    <t>16/10/2025</t>
  </si>
  <si>
    <t>ORD10129</t>
  </si>
  <si>
    <t>25/11/2025</t>
  </si>
  <si>
    <t>ORD10130</t>
  </si>
  <si>
    <t>ORD10131</t>
  </si>
  <si>
    <t>07/05/2025</t>
  </si>
  <si>
    <t>ORD10132</t>
  </si>
  <si>
    <t>21/09/2025</t>
  </si>
  <si>
    <t>ORD10133</t>
  </si>
  <si>
    <t>ORD10134</t>
  </si>
  <si>
    <t>ORD10135</t>
  </si>
  <si>
    <t>11/07/2025</t>
  </si>
  <si>
    <t>ORD10136</t>
  </si>
  <si>
    <t>18/03/2025</t>
  </si>
  <si>
    <t>ORD10137</t>
  </si>
  <si>
    <t>08/07/2025</t>
  </si>
  <si>
    <t>ORD10138</t>
  </si>
  <si>
    <t>29/03/2025</t>
  </si>
  <si>
    <t>ORD10139</t>
  </si>
  <si>
    <t>ORD10140</t>
  </si>
  <si>
    <t>ORD10141</t>
  </si>
  <si>
    <t>ORD10142</t>
  </si>
  <si>
    <t>ORD10143</t>
  </si>
  <si>
    <t>05/05/2025</t>
  </si>
  <si>
    <t>ORD10144</t>
  </si>
  <si>
    <t>09/10/2025</t>
  </si>
  <si>
    <t>ORD10145</t>
  </si>
  <si>
    <t>01/04/2025</t>
  </si>
  <si>
    <t>ORD10146</t>
  </si>
  <si>
    <t>20/05/2025</t>
  </si>
  <si>
    <t>ORD10147</t>
  </si>
  <si>
    <t>31/03/2025</t>
  </si>
  <si>
    <t>ORD10148</t>
  </si>
  <si>
    <t>16/07/2025</t>
  </si>
  <si>
    <t>ORD10149</t>
  </si>
  <si>
    <t>27/08/2025</t>
  </si>
  <si>
    <t>ORD10150</t>
  </si>
  <si>
    <t>20/03/2025</t>
  </si>
  <si>
    <t>ORD10151</t>
  </si>
  <si>
    <t>ORD10152</t>
  </si>
  <si>
    <t>16/02/2025</t>
  </si>
  <si>
    <t>ORD10153</t>
  </si>
  <si>
    <t>02/01/2025</t>
  </si>
  <si>
    <t>ORD10154</t>
  </si>
  <si>
    <t>11/03/2025</t>
  </si>
  <si>
    <t>ORD10155</t>
  </si>
  <si>
    <t>25/04/2025</t>
  </si>
  <si>
    <t>ORD10156</t>
  </si>
  <si>
    <t>27/02/2025</t>
  </si>
  <si>
    <t>ORD10157</t>
  </si>
  <si>
    <t>25/07/2025</t>
  </si>
  <si>
    <t>ORD10158</t>
  </si>
  <si>
    <t>15/03/2025</t>
  </si>
  <si>
    <t>ORD10159</t>
  </si>
  <si>
    <t>26/09/2025</t>
  </si>
  <si>
    <t>ORD10160</t>
  </si>
  <si>
    <t>ORD10161</t>
  </si>
  <si>
    <t>27/01/2025</t>
  </si>
  <si>
    <t>ORD10162</t>
  </si>
  <si>
    <t>ORD10163</t>
  </si>
  <si>
    <t>04/07/2025</t>
  </si>
  <si>
    <t>ORD10164</t>
  </si>
  <si>
    <t>11/10/2025</t>
  </si>
  <si>
    <t>ORD10165</t>
  </si>
  <si>
    <t>24/08/2025</t>
  </si>
  <si>
    <t>ORD10166</t>
  </si>
  <si>
    <t>12/03/2025</t>
  </si>
  <si>
    <t>ORD10167</t>
  </si>
  <si>
    <t>30/09/2025</t>
  </si>
  <si>
    <t>ORD10168</t>
  </si>
  <si>
    <t>ORD10169</t>
  </si>
  <si>
    <t>ORD10170</t>
  </si>
  <si>
    <t>11/08/2025</t>
  </si>
  <si>
    <t>ORD10171</t>
  </si>
  <si>
    <t>02/04/2025</t>
  </si>
  <si>
    <t>ORD10172</t>
  </si>
  <si>
    <t>ORD10173</t>
  </si>
  <si>
    <t>19/08/2025</t>
  </si>
  <si>
    <t>ORD10174</t>
  </si>
  <si>
    <t>18/05/2025</t>
  </si>
  <si>
    <t>ORD10175</t>
  </si>
  <si>
    <t>14/02/2025</t>
  </si>
  <si>
    <t>ORD10176</t>
  </si>
  <si>
    <t>30/05/2025</t>
  </si>
  <si>
    <t>ORD10177</t>
  </si>
  <si>
    <t>16/03/2025</t>
  </si>
  <si>
    <t>ORD10178</t>
  </si>
  <si>
    <t>23/08/2025</t>
  </si>
  <si>
    <t>ORD10179</t>
  </si>
  <si>
    <t>03/06/2025</t>
  </si>
  <si>
    <t>ORD10180</t>
  </si>
  <si>
    <t>ORD10181</t>
  </si>
  <si>
    <t>21/12/2025</t>
  </si>
  <si>
    <t>ORD10182</t>
  </si>
  <si>
    <t>26/10/2025</t>
  </si>
  <si>
    <t>ORD10183</t>
  </si>
  <si>
    <t>27/03/2025</t>
  </si>
  <si>
    <t>ORD10184</t>
  </si>
  <si>
    <t>ORD10185</t>
  </si>
  <si>
    <t>22/08/2025</t>
  </si>
  <si>
    <t>ORD10186</t>
  </si>
  <si>
    <t>25/06/2025</t>
  </si>
  <si>
    <t>ORD10187</t>
  </si>
  <si>
    <t>06/04/2025</t>
  </si>
  <si>
    <t>ORD10188</t>
  </si>
  <si>
    <t>23/10/2025</t>
  </si>
  <si>
    <t>ORD10189</t>
  </si>
  <si>
    <t>ORD10190</t>
  </si>
  <si>
    <t>03/05/2025</t>
  </si>
  <si>
    <t>ORD10191</t>
  </si>
  <si>
    <t>12/10/2025</t>
  </si>
  <si>
    <t>ORD10192</t>
  </si>
  <si>
    <t>ORD10193</t>
  </si>
  <si>
    <t>28/03/2025</t>
  </si>
  <si>
    <t>ORD10194</t>
  </si>
  <si>
    <t>06/08/2025</t>
  </si>
  <si>
    <t>ORD10195</t>
  </si>
  <si>
    <t>30/12/2025</t>
  </si>
  <si>
    <t>ORD10196</t>
  </si>
  <si>
    <t>ORD10197</t>
  </si>
  <si>
    <t>ORD10198</t>
  </si>
  <si>
    <t>17/06/2025</t>
  </si>
  <si>
    <t>ORD10199</t>
  </si>
  <si>
    <t>ORD10200</t>
  </si>
  <si>
    <t>ORD10201</t>
  </si>
  <si>
    <t>12/02/2025</t>
  </si>
  <si>
    <t>ORD10202</t>
  </si>
  <si>
    <t>02/09/2025</t>
  </si>
  <si>
    <t>ORD10203</t>
  </si>
  <si>
    <t>ORD10204</t>
  </si>
  <si>
    <t>ORD10205</t>
  </si>
  <si>
    <t>29/06/2025</t>
  </si>
  <si>
    <t>ORD10206</t>
  </si>
  <si>
    <t>20/07/2025</t>
  </si>
  <si>
    <t>ORD10207</t>
  </si>
  <si>
    <t>18/07/2025</t>
  </si>
  <si>
    <t>ORD10208</t>
  </si>
  <si>
    <t>17/09/2025</t>
  </si>
  <si>
    <t>ORD10209</t>
  </si>
  <si>
    <t>21/03/2025</t>
  </si>
  <si>
    <t>ORD10210</t>
  </si>
  <si>
    <t>03/03/2025</t>
  </si>
  <si>
    <t>ORD10211</t>
  </si>
  <si>
    <t>21/06/2025</t>
  </si>
  <si>
    <t>ORD10212</t>
  </si>
  <si>
    <t>ORD10213</t>
  </si>
  <si>
    <t>ORD10214</t>
  </si>
  <si>
    <t>ORD10215</t>
  </si>
  <si>
    <t>ORD10216</t>
  </si>
  <si>
    <t>30/04/2025</t>
  </si>
  <si>
    <t>ORD10217</t>
  </si>
  <si>
    <t>14/03/2025</t>
  </si>
  <si>
    <t>ORD10218</t>
  </si>
  <si>
    <t>23/11/2025</t>
  </si>
  <si>
    <t>ORD10219</t>
  </si>
  <si>
    <t>ORD10220</t>
  </si>
  <si>
    <t>17/04/2025</t>
  </si>
  <si>
    <t>ORD10221</t>
  </si>
  <si>
    <t>31/12/2025</t>
  </si>
  <si>
    <t>ORD10222</t>
  </si>
  <si>
    <t>ORD10223</t>
  </si>
  <si>
    <t>03/02/2025</t>
  </si>
  <si>
    <t>ORD10224</t>
  </si>
  <si>
    <t>15/07/2025</t>
  </si>
  <si>
    <t>ORD10225</t>
  </si>
  <si>
    <t>ORD10226</t>
  </si>
  <si>
    <t>26/06/2025</t>
  </si>
  <si>
    <t>ORD10227</t>
  </si>
  <si>
    <t>23/03/2025</t>
  </si>
  <si>
    <t>ORD10228</t>
  </si>
  <si>
    <t>31/10/2025</t>
  </si>
  <si>
    <t>ORD10229</t>
  </si>
  <si>
    <t>20/01/2025</t>
  </si>
  <si>
    <t>ORD10230</t>
  </si>
  <si>
    <t>15/06/2025</t>
  </si>
  <si>
    <t>ORD10231</t>
  </si>
  <si>
    <t>ORD10232</t>
  </si>
  <si>
    <t>ORD10233</t>
  </si>
  <si>
    <t>ORD10234</t>
  </si>
  <si>
    <t>ORD10235</t>
  </si>
  <si>
    <t>ORD10236</t>
  </si>
  <si>
    <t>ORD10237</t>
  </si>
  <si>
    <t>ORD10238</t>
  </si>
  <si>
    <t>ORD10239</t>
  </si>
  <si>
    <t>11/02/2025</t>
  </si>
  <si>
    <t>ORD10240</t>
  </si>
  <si>
    <t>09/07/2025</t>
  </si>
  <si>
    <t>ORD10241</t>
  </si>
  <si>
    <t>05/10/2025</t>
  </si>
  <si>
    <t>ORD10242</t>
  </si>
  <si>
    <t>ORD10243</t>
  </si>
  <si>
    <t>06/03/2025</t>
  </si>
  <si>
    <t>ORD10244</t>
  </si>
  <si>
    <t>ORD10245</t>
  </si>
  <si>
    <t>ORD10246</t>
  </si>
  <si>
    <t>26/07/2025</t>
  </si>
  <si>
    <t>ORD10247</t>
  </si>
  <si>
    <t>09/06/2025</t>
  </si>
  <si>
    <t>ORD10248</t>
  </si>
  <si>
    <t>ORD10249</t>
  </si>
  <si>
    <t>30/03/2025</t>
  </si>
  <si>
    <t>ORD10250</t>
  </si>
  <si>
    <t>22/11/2025</t>
  </si>
  <si>
    <t>ORD10251</t>
  </si>
  <si>
    <t>19/12/2025</t>
  </si>
  <si>
    <t>ORD10252</t>
  </si>
  <si>
    <t>20/09/2025</t>
  </si>
  <si>
    <t>ORD10253</t>
  </si>
  <si>
    <t>28/06/2025</t>
  </si>
  <si>
    <t>ORD10254</t>
  </si>
  <si>
    <t>ORD10255</t>
  </si>
  <si>
    <t>30/01/2025</t>
  </si>
  <si>
    <t>ORD10256</t>
  </si>
  <si>
    <t>ORD10257</t>
  </si>
  <si>
    <t>13/05/2025</t>
  </si>
  <si>
    <t>ORD10258</t>
  </si>
  <si>
    <t>ORD10259</t>
  </si>
  <si>
    <t>19/03/2025</t>
  </si>
  <si>
    <t>ORD10260</t>
  </si>
  <si>
    <t>03/01/2025</t>
  </si>
  <si>
    <t>ORD10261</t>
  </si>
  <si>
    <t>ORD10262</t>
  </si>
  <si>
    <t>ORD10263</t>
  </si>
  <si>
    <t>ORD10264</t>
  </si>
  <si>
    <t>29/10/2025</t>
  </si>
  <si>
    <t>ORD10265</t>
  </si>
  <si>
    <t>02/08/2025</t>
  </si>
  <si>
    <t>ORD10266</t>
  </si>
  <si>
    <t>15/11/2025</t>
  </si>
  <si>
    <t>ORD10267</t>
  </si>
  <si>
    <t>03/07/2025</t>
  </si>
  <si>
    <t>ORD10268</t>
  </si>
  <si>
    <t>ORD10269</t>
  </si>
  <si>
    <t>ORD10270</t>
  </si>
  <si>
    <t>ORD10271</t>
  </si>
  <si>
    <t>ORD10272</t>
  </si>
  <si>
    <t>17/12/2025</t>
  </si>
  <si>
    <t>ORD10273</t>
  </si>
  <si>
    <t>10/08/2025</t>
  </si>
  <si>
    <t>ORD10274</t>
  </si>
  <si>
    <t>08/02/2025</t>
  </si>
  <si>
    <t>ORD10275</t>
  </si>
  <si>
    <t>15/02/2025</t>
  </si>
  <si>
    <t>ORD10276</t>
  </si>
  <si>
    <t>ORD10277</t>
  </si>
  <si>
    <t>19/02/2025</t>
  </si>
  <si>
    <t>ORD10278</t>
  </si>
  <si>
    <t>ORD10279</t>
  </si>
  <si>
    <t>ORD10280</t>
  </si>
  <si>
    <t>ORD10281</t>
  </si>
  <si>
    <t>ORD10282</t>
  </si>
  <si>
    <t>15/09/2025</t>
  </si>
  <si>
    <t>ORD10283</t>
  </si>
  <si>
    <t>ORD10284</t>
  </si>
  <si>
    <t>15/04/2025</t>
  </si>
  <si>
    <t>ORD10285</t>
  </si>
  <si>
    <t>ORD10286</t>
  </si>
  <si>
    <t>10/04/2025</t>
  </si>
  <si>
    <t>ORD10287</t>
  </si>
  <si>
    <t>ORD10288</t>
  </si>
  <si>
    <t>09/09/2025</t>
  </si>
  <si>
    <t>ORD10289</t>
  </si>
  <si>
    <t>20/04/2025</t>
  </si>
  <si>
    <t>ORD10290</t>
  </si>
  <si>
    <t>21/01/2025</t>
  </si>
  <si>
    <t>ORD10291</t>
  </si>
  <si>
    <t>30/11/2025</t>
  </si>
  <si>
    <t>ORD10292</t>
  </si>
  <si>
    <t>03/10/2025</t>
  </si>
  <si>
    <t>ORD10293</t>
  </si>
  <si>
    <t>06/02/2025</t>
  </si>
  <si>
    <t>ORD10294</t>
  </si>
  <si>
    <t>ORD10295</t>
  </si>
  <si>
    <t>ORD10296</t>
  </si>
  <si>
    <t>05/03/2025</t>
  </si>
  <si>
    <t>ORD10297</t>
  </si>
  <si>
    <t>12/11/2025</t>
  </si>
  <si>
    <t>ORD10298</t>
  </si>
  <si>
    <t>12/04/2025</t>
  </si>
  <si>
    <t>ORD10299</t>
  </si>
  <si>
    <t>04/12/2025</t>
  </si>
  <si>
    <t>ORD10300</t>
  </si>
  <si>
    <t>ORD10301</t>
  </si>
  <si>
    <t>ORD10302</t>
  </si>
  <si>
    <t>19/01/2025</t>
  </si>
  <si>
    <t>ORD10303</t>
  </si>
  <si>
    <t>06/01/2025</t>
  </si>
  <si>
    <t>ORD10304</t>
  </si>
  <si>
    <t>ORD10305</t>
  </si>
  <si>
    <t>ORD10306</t>
  </si>
  <si>
    <t>ORD10307</t>
  </si>
  <si>
    <t>ORD10308</t>
  </si>
  <si>
    <t>18/04/2025</t>
  </si>
  <si>
    <t>ORD10309</t>
  </si>
  <si>
    <t>ORD10310</t>
  </si>
  <si>
    <t>ORD10311</t>
  </si>
  <si>
    <t>28/04/2025</t>
  </si>
  <si>
    <t>ORD10312</t>
  </si>
  <si>
    <t>ORD10313</t>
  </si>
  <si>
    <t>ORD10314</t>
  </si>
  <si>
    <t>12/05/2025</t>
  </si>
  <si>
    <t>ORD10315</t>
  </si>
  <si>
    <t>ORD10316</t>
  </si>
  <si>
    <t>14/10/2025</t>
  </si>
  <si>
    <t>ORD10317</t>
  </si>
  <si>
    <t>23/06/2025</t>
  </si>
  <si>
    <t>ORD10318</t>
  </si>
  <si>
    <t>08/11/2025</t>
  </si>
  <si>
    <t>ORD10319</t>
  </si>
  <si>
    <t>ORD10320</t>
  </si>
  <si>
    <t>ORD10321</t>
  </si>
  <si>
    <t>26/04/2025</t>
  </si>
  <si>
    <t>ORD10322</t>
  </si>
  <si>
    <t>ORD10323</t>
  </si>
  <si>
    <t>ORD10324</t>
  </si>
  <si>
    <t>ORD10325</t>
  </si>
  <si>
    <t>16/04/2025</t>
  </si>
  <si>
    <t>ORD10326</t>
  </si>
  <si>
    <t>04/09/2025</t>
  </si>
  <si>
    <t>ORD10327</t>
  </si>
  <si>
    <t>ORD10328</t>
  </si>
  <si>
    <t>25/10/2025</t>
  </si>
  <si>
    <t>ORD10329</t>
  </si>
  <si>
    <t>ORD10330</t>
  </si>
  <si>
    <t>ORD10331</t>
  </si>
  <si>
    <t>ORD10332</t>
  </si>
  <si>
    <t>ORD10333</t>
  </si>
  <si>
    <t>11/12/2025</t>
  </si>
  <si>
    <t>ORD10334</t>
  </si>
  <si>
    <t>ORD10335</t>
  </si>
  <si>
    <t>ORD10336</t>
  </si>
  <si>
    <t>ORD10337</t>
  </si>
  <si>
    <t>ORD10338</t>
  </si>
  <si>
    <t>04/10/2025</t>
  </si>
  <si>
    <t>ORD10339</t>
  </si>
  <si>
    <t>ORD10340</t>
  </si>
  <si>
    <t>ORD10341</t>
  </si>
  <si>
    <t>22/07/2025</t>
  </si>
  <si>
    <t>ORD10342</t>
  </si>
  <si>
    <t>ORD10343</t>
  </si>
  <si>
    <t>ORD10344</t>
  </si>
  <si>
    <t>22/04/2025</t>
  </si>
  <si>
    <t>ORD10345</t>
  </si>
  <si>
    <t>ORD10346</t>
  </si>
  <si>
    <t>18/02/2025</t>
  </si>
  <si>
    <t>ORD10347</t>
  </si>
  <si>
    <t>ORD10348</t>
  </si>
  <si>
    <t>22/01/2025</t>
  </si>
  <si>
    <t>ORD10349</t>
  </si>
  <si>
    <t>26/12/2025</t>
  </si>
  <si>
    <t>ORD10350</t>
  </si>
  <si>
    <t>10/03/2025</t>
  </si>
  <si>
    <t>ORD10351</t>
  </si>
  <si>
    <t>ORD10352</t>
  </si>
  <si>
    <t>14/11/2025</t>
  </si>
  <si>
    <t>ORD10353</t>
  </si>
  <si>
    <t>26/02/2025</t>
  </si>
  <si>
    <t>ORD10354</t>
  </si>
  <si>
    <t>ORD10355</t>
  </si>
  <si>
    <t>ORD10356</t>
  </si>
  <si>
    <t>ORD10357</t>
  </si>
  <si>
    <t>ORD10358</t>
  </si>
  <si>
    <t>16/06/2025</t>
  </si>
  <si>
    <t>ORD10359</t>
  </si>
  <si>
    <t>ORD10360</t>
  </si>
  <si>
    <t>ORD10361</t>
  </si>
  <si>
    <t>ORD10362</t>
  </si>
  <si>
    <t>ORD10363</t>
  </si>
  <si>
    <t>01/12/2025</t>
  </si>
  <si>
    <t>ORD10364</t>
  </si>
  <si>
    <t>ORD10365</t>
  </si>
  <si>
    <t>24/07/2025</t>
  </si>
  <si>
    <t>ORD10366</t>
  </si>
  <si>
    <t>09/08/2025</t>
  </si>
  <si>
    <t>ORD10367</t>
  </si>
  <si>
    <t>ORD10368</t>
  </si>
  <si>
    <t>ORD10369</t>
  </si>
  <si>
    <t>ORD10370</t>
  </si>
  <si>
    <t>28/01/2025</t>
  </si>
  <si>
    <t>ORD10371</t>
  </si>
  <si>
    <t>ORD10372</t>
  </si>
  <si>
    <t>ORD10373</t>
  </si>
  <si>
    <t>ORD10374</t>
  </si>
  <si>
    <t>07/08/2025</t>
  </si>
  <si>
    <t>ORD10375</t>
  </si>
  <si>
    <t>ORD10376</t>
  </si>
  <si>
    <t>30/07/2025</t>
  </si>
  <si>
    <t>ORD10377</t>
  </si>
  <si>
    <t>ORD10378</t>
  </si>
  <si>
    <t>25/03/2025</t>
  </si>
  <si>
    <t>ORD10379</t>
  </si>
  <si>
    <t>ORD10380</t>
  </si>
  <si>
    <t>ORD10381</t>
  </si>
  <si>
    <t>ORD10382</t>
  </si>
  <si>
    <t>21/07/2025</t>
  </si>
  <si>
    <t>ORD10383</t>
  </si>
  <si>
    <t>ORD10384</t>
  </si>
  <si>
    <t>17/10/2025</t>
  </si>
  <si>
    <t>ORD10385</t>
  </si>
  <si>
    <t>ORD10386</t>
  </si>
  <si>
    <t>ORD10387</t>
  </si>
  <si>
    <t>ORD10388</t>
  </si>
  <si>
    <t>ORD10389</t>
  </si>
  <si>
    <t>27/09/2025</t>
  </si>
  <si>
    <t>ORD10390</t>
  </si>
  <si>
    <t>ORD10391</t>
  </si>
  <si>
    <t>ORD10392</t>
  </si>
  <si>
    <t>ORD10393</t>
  </si>
  <si>
    <t>19/06/2025</t>
  </si>
  <si>
    <t>ORD10394</t>
  </si>
  <si>
    <t>24/09/2025</t>
  </si>
  <si>
    <t>ORD10395</t>
  </si>
  <si>
    <t>12/07/2025</t>
  </si>
  <si>
    <t>ORD10396</t>
  </si>
  <si>
    <t>ORD10397</t>
  </si>
  <si>
    <t>05/09/2025</t>
  </si>
  <si>
    <t>ORD10398</t>
  </si>
  <si>
    <t>ORD10399</t>
  </si>
  <si>
    <t>24/11/2025</t>
  </si>
  <si>
    <t>ORD10400</t>
  </si>
  <si>
    <t>08/01/2025</t>
  </si>
  <si>
    <t>ORD10401</t>
  </si>
  <si>
    <t>ORD10402</t>
  </si>
  <si>
    <t>ORD10403</t>
  </si>
  <si>
    <t>08/06/2025</t>
  </si>
  <si>
    <t>ORD10404</t>
  </si>
  <si>
    <t>ORD10405</t>
  </si>
  <si>
    <t>ORD10406</t>
  </si>
  <si>
    <t>ORD10407</t>
  </si>
  <si>
    <t>ORD10408</t>
  </si>
  <si>
    <t>ORD10409</t>
  </si>
  <si>
    <t>ORD10410</t>
  </si>
  <si>
    <t>ORD10411</t>
  </si>
  <si>
    <t>13/03/2025</t>
  </si>
  <si>
    <t>ORD10412</t>
  </si>
  <si>
    <t>ORD10413</t>
  </si>
  <si>
    <t>ORD10414</t>
  </si>
  <si>
    <t>18/10/2025</t>
  </si>
  <si>
    <t>ORD10415</t>
  </si>
  <si>
    <t>ORD10416</t>
  </si>
  <si>
    <t>ORD10417</t>
  </si>
  <si>
    <t>24/10/2025</t>
  </si>
  <si>
    <t>ORD10418</t>
  </si>
  <si>
    <t>ORD10419</t>
  </si>
  <si>
    <t>03/04/2025</t>
  </si>
  <si>
    <t>ORD10420</t>
  </si>
  <si>
    <t>ORD10421</t>
  </si>
  <si>
    <t>ORD10422</t>
  </si>
  <si>
    <t>ORD10423</t>
  </si>
  <si>
    <t>ORD10424</t>
  </si>
  <si>
    <t>ORD10425</t>
  </si>
  <si>
    <t>ORD10426</t>
  </si>
  <si>
    <t>ORD10427</t>
  </si>
  <si>
    <t>ORD10428</t>
  </si>
  <si>
    <t>ORD10429</t>
  </si>
  <si>
    <t>ORD10430</t>
  </si>
  <si>
    <t>ORD10431</t>
  </si>
  <si>
    <t>ORD10432</t>
  </si>
  <si>
    <t>ORD10433</t>
  </si>
  <si>
    <t>ORD10434</t>
  </si>
  <si>
    <t>ORD10435</t>
  </si>
  <si>
    <t>ORD10436</t>
  </si>
  <si>
    <t>ORD10437</t>
  </si>
  <si>
    <t>ORD10438</t>
  </si>
  <si>
    <t>ORD10439</t>
  </si>
  <si>
    <t>18/11/2025</t>
  </si>
  <si>
    <t>ORD10440</t>
  </si>
  <si>
    <t>ORD10441</t>
  </si>
  <si>
    <t>ORD10442</t>
  </si>
  <si>
    <t>ORD10443</t>
  </si>
  <si>
    <t>ORD10444</t>
  </si>
  <si>
    <t>20/11/2025</t>
  </si>
  <si>
    <t>ORD10445</t>
  </si>
  <si>
    <t>ORD10446</t>
  </si>
  <si>
    <t>ORD10447</t>
  </si>
  <si>
    <t>ORD10448</t>
  </si>
  <si>
    <t>ORD10449</t>
  </si>
  <si>
    <t>ORD10450</t>
  </si>
  <si>
    <t>19/05/2025</t>
  </si>
  <si>
    <t>ORD10451</t>
  </si>
  <si>
    <t>07/07/2025</t>
  </si>
  <si>
    <t>ORD10452</t>
  </si>
  <si>
    <t>ORD10453</t>
  </si>
  <si>
    <t>20/08/2025</t>
  </si>
  <si>
    <t>ORD10454</t>
  </si>
  <si>
    <t>ORD10455</t>
  </si>
  <si>
    <t>27/11/2025</t>
  </si>
  <si>
    <t>ORD10456</t>
  </si>
  <si>
    <t>ORD10457</t>
  </si>
  <si>
    <t>ORD10458</t>
  </si>
  <si>
    <t>ORD10459</t>
  </si>
  <si>
    <t>01/10/2025</t>
  </si>
  <si>
    <t>ORD10460</t>
  </si>
  <si>
    <t>ORD10461</t>
  </si>
  <si>
    <t>ORD10462</t>
  </si>
  <si>
    <t>ORD10463</t>
  </si>
  <si>
    <t>ORD10464</t>
  </si>
  <si>
    <t>ORD10465</t>
  </si>
  <si>
    <t>ORD10466</t>
  </si>
  <si>
    <t>ORD10467</t>
  </si>
  <si>
    <t>ORD10468</t>
  </si>
  <si>
    <t>ORD10469</t>
  </si>
  <si>
    <t>ORD10470</t>
  </si>
  <si>
    <t>ORD10471</t>
  </si>
  <si>
    <t>ORD10472</t>
  </si>
  <si>
    <t>ORD10473</t>
  </si>
  <si>
    <t>02/03/2025</t>
  </si>
  <si>
    <t>ORD10474</t>
  </si>
  <si>
    <t>ORD10475</t>
  </si>
  <si>
    <t>ORD10476</t>
  </si>
  <si>
    <t>16/09/2025</t>
  </si>
  <si>
    <t>ORD10477</t>
  </si>
  <si>
    <t>ORD10478</t>
  </si>
  <si>
    <t>ORD10479</t>
  </si>
  <si>
    <t>18/12/2025</t>
  </si>
  <si>
    <t>ORD10480</t>
  </si>
  <si>
    <t>ORD10481</t>
  </si>
  <si>
    <t>ORD10482</t>
  </si>
  <si>
    <t>17/03/2025</t>
  </si>
  <si>
    <t>ORD10483</t>
  </si>
  <si>
    <t>ORD10484</t>
  </si>
  <si>
    <t>ORD10485</t>
  </si>
  <si>
    <t>15/08/2025</t>
  </si>
  <si>
    <t>ORD10486</t>
  </si>
  <si>
    <t>07/09/2025</t>
  </si>
  <si>
    <t>ORD10487</t>
  </si>
  <si>
    <t>ORD10488</t>
  </si>
  <si>
    <t>08/08/2025</t>
  </si>
  <si>
    <t>ORD10489</t>
  </si>
  <si>
    <t>ORD10490</t>
  </si>
  <si>
    <t>ORD10491</t>
  </si>
  <si>
    <t>ORD10492</t>
  </si>
  <si>
    <t>ORD10493</t>
  </si>
  <si>
    <t>ORD10494</t>
  </si>
  <si>
    <t>ORD10495</t>
  </si>
  <si>
    <t>ORD10496</t>
  </si>
  <si>
    <t>ORD10497</t>
  </si>
  <si>
    <t>ORD10498</t>
  </si>
  <si>
    <t>ORD10499</t>
  </si>
  <si>
    <t>ORD10500</t>
  </si>
  <si>
    <t>29/07/2025</t>
  </si>
  <si>
    <t>Count of Order_ID</t>
  </si>
  <si>
    <t>Sum of Sales</t>
  </si>
  <si>
    <t>Sum of Delivery</t>
  </si>
  <si>
    <t>Average of Rating</t>
  </si>
  <si>
    <t>Values</t>
  </si>
  <si>
    <t>Row Labels</t>
  </si>
  <si>
    <t>Grand Total</t>
  </si>
  <si>
    <t>Total</t>
  </si>
  <si>
    <t>NAME</t>
  </si>
  <si>
    <t>PRODUCT</t>
  </si>
  <si>
    <t>SALES</t>
  </si>
  <si>
    <t>TOTAL</t>
  </si>
  <si>
    <t>Average of Quantity</t>
  </si>
  <si>
    <t>ORDER_ID</t>
  </si>
  <si>
    <t>CATAGORY</t>
  </si>
  <si>
    <t>SALES  ($)</t>
  </si>
  <si>
    <t>STATE</t>
  </si>
  <si>
    <t>%</t>
  </si>
  <si>
    <t>Column1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</si>
</sst>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quot;M&quot;"/>
    <numFmt numFmtId="165" formatCode="00.&quot;K&quot;"/>
    <numFmt numFmtId="166" formatCode="_-[$$-409]* #,##0.00_ ;_-[$$-409]* \-#,##0.00\ ;_-[$$-409]* &quot;-&quot;??_ ;_-@_ "/>
  </numFmts>
  <fonts count="2">
    <font>
      <sz val="11"/>
      <color theme="1"/>
      <name val="Aptos Narrow"/>
      <family val="2"/>
      <scheme val="minor"/>
    </font>
    <font>
      <sz val="11"/>
      <color theme="1"/>
      <name val="Aptos Narrow"/>
      <family val="2"/>
      <scheme val="minor"/>
    </font>
  </fonts>
  <fills count="5">
    <fill>
      <patternFill patternType="none"/>
    </fill>
    <fill>
      <patternFill patternType="gray125"/>
    </fill>
    <fill>
      <patternFill patternType="solid">
        <fgColor theme="8" tint="0.59999389629810485"/>
        <bgColor indexed="64"/>
      </patternFill>
    </fill>
    <fill>
      <patternFill patternType="solid">
        <fgColor theme="9" tint="0.39997558519241921"/>
        <bgColor indexed="64"/>
      </patternFill>
    </fill>
    <fill>
      <patternFill patternType="solid">
        <fgColor rgb="FF7030A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22">
    <xf numFmtId="0" fontId="0" fillId="0" borderId="0" xfId="0"/>
    <xf numFmtId="0" fontId="0" fillId="0" borderId="0" xfId="0" applyNumberFormat="1"/>
    <xf numFmtId="0" fontId="0" fillId="0" borderId="0" xfId="0" pivotButton="1"/>
    <xf numFmtId="0" fontId="0" fillId="0" borderId="0" xfId="0" applyAlignment="1">
      <alignment horizontal="left"/>
    </xf>
    <xf numFmtId="2" fontId="0" fillId="0" borderId="0" xfId="0" applyNumberFormat="1"/>
    <xf numFmtId="164" fontId="0" fillId="0" borderId="0" xfId="0" applyNumberFormat="1"/>
    <xf numFmtId="165" fontId="0" fillId="0" borderId="0" xfId="0" applyNumberFormat="1"/>
    <xf numFmtId="0" fontId="0" fillId="0" borderId="1" xfId="0" applyBorder="1" applyAlignment="1">
      <alignment horizontal="center"/>
    </xf>
    <xf numFmtId="0" fontId="0" fillId="0" borderId="1" xfId="0" applyBorder="1" applyAlignment="1">
      <alignment horizontal="center" vertical="center"/>
    </xf>
    <xf numFmtId="0" fontId="0" fillId="2" borderId="1" xfId="0" applyFill="1" applyBorder="1" applyAlignment="1">
      <alignment horizontal="center" vertical="center"/>
    </xf>
    <xf numFmtId="0" fontId="0" fillId="2" borderId="0" xfId="0" applyFill="1"/>
    <xf numFmtId="166" fontId="0" fillId="2" borderId="0" xfId="0" applyNumberFormat="1" applyFill="1"/>
    <xf numFmtId="0" fontId="0" fillId="0" borderId="0" xfId="0"/>
    <xf numFmtId="0" fontId="0" fillId="0" borderId="0" xfId="0" applyAlignment="1">
      <alignment horizontal="left" vertical="center"/>
    </xf>
    <xf numFmtId="166" fontId="0" fillId="0" borderId="1" xfId="0" applyNumberFormat="1" applyBorder="1" applyAlignment="1">
      <alignment horizontal="center"/>
    </xf>
    <xf numFmtId="164" fontId="0" fillId="0" borderId="1" xfId="0" applyNumberFormat="1" applyBorder="1" applyAlignment="1">
      <alignment horizontal="center" vertical="center"/>
    </xf>
    <xf numFmtId="0" fontId="0" fillId="3" borderId="1" xfId="0" applyFill="1" applyBorder="1" applyAlignment="1">
      <alignment horizontal="center" vertical="center"/>
    </xf>
    <xf numFmtId="164" fontId="0" fillId="3" borderId="1" xfId="0" applyNumberFormat="1" applyFill="1" applyBorder="1" applyAlignment="1">
      <alignment horizontal="center" vertical="center"/>
    </xf>
    <xf numFmtId="9" fontId="0" fillId="3" borderId="1" xfId="1" applyFont="1" applyFill="1" applyBorder="1" applyAlignment="1">
      <alignment horizontal="center" vertical="center"/>
    </xf>
    <xf numFmtId="9" fontId="0" fillId="0" borderId="1" xfId="1" applyFont="1" applyBorder="1" applyAlignment="1">
      <alignment horizontal="center" vertical="center"/>
    </xf>
    <xf numFmtId="164" fontId="0" fillId="0" borderId="0" xfId="0" applyNumberFormat="1" applyAlignment="1">
      <alignment vertical="center"/>
    </xf>
    <xf numFmtId="0" fontId="0" fillId="4" borderId="0" xfId="0" applyFill="1"/>
  </cellXfs>
  <cellStyles count="2">
    <cellStyle name="Normal" xfId="0" builtinId="0"/>
    <cellStyle name="Percent" xfId="1" builtinId="5"/>
  </cellStyles>
  <dxfs count="110">
    <dxf>
      <numFmt numFmtId="164" formatCode="00,,&quot;M&quot;"/>
    </dxf>
    <dxf>
      <numFmt numFmtId="164" formatCode="00,,&quot;M&quot;"/>
    </dxf>
    <dxf>
      <numFmt numFmtId="164" formatCode="00,,&quot;M&quot;"/>
    </dxf>
    <dxf>
      <alignment vertical="center"/>
    </dxf>
    <dxf>
      <numFmt numFmtId="164" formatCode="00,,&quot;M&quot;"/>
    </dxf>
    <dxf>
      <numFmt numFmtId="164" formatCode="00,,&quot;M&quot;"/>
    </dxf>
    <dxf>
      <numFmt numFmtId="2" formatCode="0.00"/>
    </dxf>
    <dxf>
      <numFmt numFmtId="164" formatCode="00,,&quot;M&quot;"/>
    </dxf>
    <dxf>
      <numFmt numFmtId="0" formatCode="General"/>
    </dxf>
    <dxf>
      <numFmt numFmtId="165" formatCode="00.&quot;K&quot;"/>
    </dxf>
    <dxf>
      <numFmt numFmtId="164" formatCode="00,,&quot;M&quot;"/>
    </dxf>
    <dxf>
      <numFmt numFmtId="164" formatCode="00,,&quot;M&quot;"/>
    </dxf>
    <dxf>
      <numFmt numFmtId="164" formatCode="00,,&quot;M&quot;"/>
    </dxf>
    <dxf>
      <numFmt numFmtId="164" formatCode="00,,&quot;M&quot;"/>
    </dxf>
    <dxf>
      <alignment vertical="center"/>
    </dxf>
    <dxf>
      <numFmt numFmtId="164" formatCode="00,,&quot;M&quot;"/>
    </dxf>
    <dxf>
      <numFmt numFmtId="164" formatCode="00,,&quot;M&quot;"/>
    </dxf>
    <dxf>
      <numFmt numFmtId="2" formatCode="0.00"/>
    </dxf>
    <dxf>
      <numFmt numFmtId="164" formatCode="00,,&quot;M&quot;"/>
    </dxf>
    <dxf>
      <numFmt numFmtId="0" formatCode="General"/>
    </dxf>
    <dxf>
      <numFmt numFmtId="165" formatCode="00.&quot;K&quot;"/>
    </dxf>
    <dxf>
      <numFmt numFmtId="164" formatCode="00,,&quot;M&quot;"/>
    </dxf>
    <dxf>
      <numFmt numFmtId="164" formatCode="00,,&quot;M&quot;"/>
    </dxf>
    <dxf>
      <numFmt numFmtId="164" formatCode="00,,&quot;M&quot;"/>
    </dxf>
    <dxf>
      <numFmt numFmtId="164" formatCode="00,,&quot;M&quot;"/>
    </dxf>
    <dxf>
      <alignment vertical="center"/>
    </dxf>
    <dxf>
      <numFmt numFmtId="164" formatCode="00,,&quot;M&quot;"/>
    </dxf>
    <dxf>
      <numFmt numFmtId="164" formatCode="00,,&quot;M&quot;"/>
    </dxf>
    <dxf>
      <numFmt numFmtId="2" formatCode="0.00"/>
    </dxf>
    <dxf>
      <numFmt numFmtId="164" formatCode="00,,&quot;M&quot;"/>
    </dxf>
    <dxf>
      <numFmt numFmtId="0" formatCode="General"/>
    </dxf>
    <dxf>
      <numFmt numFmtId="165" formatCode="00.&quot;K&quot;"/>
    </dxf>
    <dxf>
      <numFmt numFmtId="164" formatCode="00,,&quot;M&quot;"/>
    </dxf>
    <dxf>
      <numFmt numFmtId="164" formatCode="00,,&quot;M&quot;"/>
    </dxf>
    <dxf>
      <numFmt numFmtId="164" formatCode="00,,&quot;M&quot;"/>
    </dxf>
    <dxf>
      <numFmt numFmtId="164" formatCode="00,,&quot;M&quot;"/>
    </dxf>
    <dxf>
      <alignment vertical="center"/>
    </dxf>
    <dxf>
      <numFmt numFmtId="164" formatCode="00,,&quot;M&quot;"/>
    </dxf>
    <dxf>
      <numFmt numFmtId="164" formatCode="00,,&quot;M&quot;"/>
    </dxf>
    <dxf>
      <numFmt numFmtId="2" formatCode="0.00"/>
    </dxf>
    <dxf>
      <numFmt numFmtId="164" formatCode="00,,&quot;M&quot;"/>
    </dxf>
    <dxf>
      <numFmt numFmtId="0" formatCode="General"/>
    </dxf>
    <dxf>
      <numFmt numFmtId="165" formatCode="00.&quot;K&quot;"/>
    </dxf>
    <dxf>
      <numFmt numFmtId="164" formatCode="00,,&quot;M&quot;"/>
    </dxf>
    <dxf>
      <numFmt numFmtId="164" formatCode="00,,&quot;M&quot;"/>
    </dxf>
    <dxf>
      <numFmt numFmtId="164" formatCode="00,,&quot;M&quot;"/>
    </dxf>
    <dxf>
      <numFmt numFmtId="164" formatCode="00,,&quot;M&quot;"/>
    </dxf>
    <dxf>
      <alignment vertical="center"/>
    </dxf>
    <dxf>
      <numFmt numFmtId="164" formatCode="00,,&quot;M&quot;"/>
    </dxf>
    <dxf>
      <numFmt numFmtId="164" formatCode="00,,&quot;M&quot;"/>
    </dxf>
    <dxf>
      <numFmt numFmtId="2" formatCode="0.00"/>
    </dxf>
    <dxf>
      <numFmt numFmtId="164" formatCode="00,,&quot;M&quot;"/>
    </dxf>
    <dxf>
      <numFmt numFmtId="0" formatCode="General"/>
    </dxf>
    <dxf>
      <numFmt numFmtId="165" formatCode="00.&quot;K&quot;"/>
    </dxf>
    <dxf>
      <numFmt numFmtId="164" formatCode="00,,&quot;M&quot;"/>
    </dxf>
    <dxf>
      <numFmt numFmtId="164" formatCode="00,,&quot;M&quot;"/>
    </dxf>
    <dxf>
      <numFmt numFmtId="164" formatCode="00,,&quot;M&quot;"/>
    </dxf>
    <dxf>
      <numFmt numFmtId="164" formatCode="00,,&quot;M&quot;"/>
    </dxf>
    <dxf>
      <alignment vertical="center"/>
    </dxf>
    <dxf>
      <numFmt numFmtId="164" formatCode="00,,&quot;M&quot;"/>
    </dxf>
    <dxf>
      <numFmt numFmtId="164" formatCode="00,,&quot;M&quot;"/>
    </dxf>
    <dxf>
      <numFmt numFmtId="2" formatCode="0.00"/>
    </dxf>
    <dxf>
      <numFmt numFmtId="164" formatCode="00,,&quot;M&quot;"/>
    </dxf>
    <dxf>
      <numFmt numFmtId="0" formatCode="General"/>
    </dxf>
    <dxf>
      <numFmt numFmtId="165" formatCode="00.&quot;K&quot;"/>
    </dxf>
    <dxf>
      <numFmt numFmtId="164" formatCode="00,,&quot;M&quot;"/>
    </dxf>
    <dxf>
      <numFmt numFmtId="164" formatCode="00,,&quot;M&quot;"/>
    </dxf>
    <dxf>
      <numFmt numFmtId="164" formatCode="00,,&quot;M&quot;"/>
    </dxf>
    <dxf>
      <numFmt numFmtId="164" formatCode="00,,&quot;M&quot;"/>
    </dxf>
    <dxf>
      <alignment vertical="center"/>
    </dxf>
    <dxf>
      <numFmt numFmtId="164" formatCode="00,,&quot;M&quot;"/>
    </dxf>
    <dxf>
      <numFmt numFmtId="164" formatCode="00,,&quot;M&quot;"/>
    </dxf>
    <dxf>
      <numFmt numFmtId="2" formatCode="0.00"/>
    </dxf>
    <dxf>
      <numFmt numFmtId="164" formatCode="00,,&quot;M&quot;"/>
    </dxf>
    <dxf>
      <numFmt numFmtId="0" formatCode="General"/>
    </dxf>
    <dxf>
      <numFmt numFmtId="165" formatCode="00.&quot;K&quot;"/>
    </dxf>
    <dxf>
      <numFmt numFmtId="164" formatCode="00,,&quot;M&quot;"/>
    </dxf>
    <dxf>
      <numFmt numFmtId="164" formatCode="00,,&quot;M&quot;"/>
    </dxf>
    <dxf>
      <numFmt numFmtId="164" formatCode="00,,&quot;M&quot;"/>
    </dxf>
    <dxf>
      <numFmt numFmtId="164" formatCode="00,,&quot;M&quot;"/>
    </dxf>
    <dxf>
      <alignment vertical="center"/>
    </dxf>
    <dxf>
      <numFmt numFmtId="164" formatCode="00,,&quot;M&quot;"/>
    </dxf>
    <dxf>
      <numFmt numFmtId="164" formatCode="00,,&quot;M&quot;"/>
    </dxf>
    <dxf>
      <numFmt numFmtId="2" formatCode="0.00"/>
    </dxf>
    <dxf>
      <numFmt numFmtId="164" formatCode="00,,&quot;M&quot;"/>
    </dxf>
    <dxf>
      <numFmt numFmtId="0" formatCode="General"/>
    </dxf>
    <dxf>
      <numFmt numFmtId="165" formatCode="00.&quot;K&quot;"/>
    </dxf>
    <dxf>
      <numFmt numFmtId="164" formatCode="00,,&quot;M&quot;"/>
    </dxf>
    <dxf>
      <numFmt numFmtId="164" formatCode="00,,&quot;M&quot;"/>
    </dxf>
    <dxf>
      <numFmt numFmtId="164" formatCode="00,,&quot;M&quot;"/>
    </dxf>
    <dxf>
      <numFmt numFmtId="164" formatCode="00,,&quot;M&quot;"/>
    </dxf>
    <dxf>
      <alignment vertical="center"/>
    </dxf>
    <dxf>
      <numFmt numFmtId="164" formatCode="00,,&quot;M&quot;"/>
    </dxf>
    <dxf>
      <numFmt numFmtId="164" formatCode="00,,&quot;M&quot;"/>
    </dxf>
    <dxf>
      <numFmt numFmtId="2" formatCode="0.00"/>
    </dxf>
    <dxf>
      <numFmt numFmtId="164" formatCode="00,,&quot;M&quot;"/>
    </dxf>
    <dxf>
      <numFmt numFmtId="0" formatCode="General"/>
    </dxf>
    <dxf>
      <numFmt numFmtId="165" formatCode="00.&quot;K&quot;"/>
    </dxf>
    <dxf>
      <numFmt numFmtId="164" formatCode="00,,&quot;M&quot;"/>
    </dxf>
    <dxf>
      <numFmt numFmtId="164" formatCode="00,,&quot;M&quot;"/>
    </dxf>
    <dxf>
      <alignment vertical="center"/>
    </dxf>
    <dxf>
      <numFmt numFmtId="164" formatCode="00,,&quot;M&quot;"/>
    </dxf>
    <dxf>
      <numFmt numFmtId="164" formatCode="00,,&quot;M&quot;"/>
    </dxf>
    <dxf>
      <numFmt numFmtId="164" formatCode="00,,&quot;M&quot;"/>
    </dxf>
    <dxf>
      <numFmt numFmtId="164" formatCode="00,,&quot;M&quot;"/>
    </dxf>
    <dxf>
      <numFmt numFmtId="164" formatCode="00,,&quot;M&quot;"/>
    </dxf>
    <dxf>
      <numFmt numFmtId="165" formatCode="00.&quot;K&quot;"/>
    </dxf>
    <dxf>
      <numFmt numFmtId="0" formatCode="General"/>
    </dxf>
    <dxf>
      <numFmt numFmtId="164" formatCode="00,,&quot;M&quot;"/>
    </dxf>
    <dxf>
      <numFmt numFmtId="2" formatCode="0.00"/>
    </dxf>
  </dxfs>
  <tableStyles count="0" defaultTableStyle="TableStyleMedium2" defaultPivotStyle="PivotStyleLight16"/>
  <colors>
    <mruColors>
      <color rgb="FFFFE194"/>
      <color rgb="FFFB3185"/>
      <color rgb="FFF43F5E"/>
      <color rgb="FFFCD34D"/>
      <color rgb="FFF5C04A"/>
      <color rgb="FFFF6B85"/>
      <color rgb="FF22C55E"/>
      <color rgb="FFFFB6C5"/>
      <color rgb="FFF59E0B"/>
      <color rgb="FF86EFA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eetMetadata" Target="metadata.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project.xlsx]PIVOT!PivotTable13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PIVOT!$D$3</c:f>
              <c:strCache>
                <c:ptCount val="1"/>
                <c:pt idx="0">
                  <c:v>Total</c:v>
                </c:pt>
              </c:strCache>
            </c:strRef>
          </c:tx>
          <c:spPr>
            <a:solidFill>
              <a:schemeClr val="accent1"/>
            </a:solidFill>
            <a:ln>
              <a:noFill/>
            </a:ln>
            <a:effectLst/>
          </c:spPr>
          <c:cat>
            <c:strRef>
              <c:f>PIVOT!$C$4:$C$16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PIVOT!$D$4:$D$16</c:f>
              <c:numCache>
                <c:formatCode>00,,"M"</c:formatCode>
                <c:ptCount val="12"/>
                <c:pt idx="0">
                  <c:v>1480730</c:v>
                </c:pt>
                <c:pt idx="1">
                  <c:v>1991453</c:v>
                </c:pt>
                <c:pt idx="2">
                  <c:v>2439516</c:v>
                </c:pt>
                <c:pt idx="3">
                  <c:v>1723736</c:v>
                </c:pt>
                <c:pt idx="4">
                  <c:v>2226405</c:v>
                </c:pt>
                <c:pt idx="5">
                  <c:v>1483670</c:v>
                </c:pt>
                <c:pt idx="6">
                  <c:v>2566476</c:v>
                </c:pt>
                <c:pt idx="7">
                  <c:v>1323566</c:v>
                </c:pt>
                <c:pt idx="8">
                  <c:v>1648464</c:v>
                </c:pt>
                <c:pt idx="9">
                  <c:v>1876219</c:v>
                </c:pt>
                <c:pt idx="10">
                  <c:v>948995</c:v>
                </c:pt>
                <c:pt idx="11">
                  <c:v>3297187</c:v>
                </c:pt>
              </c:numCache>
            </c:numRef>
          </c:val>
          <c:extLst>
            <c:ext xmlns:c16="http://schemas.microsoft.com/office/drawing/2014/chart" uri="{C3380CC4-5D6E-409C-BE32-E72D297353CC}">
              <c16:uniqueId val="{00000000-125F-492F-8329-E554B79BE2A0}"/>
            </c:ext>
          </c:extLst>
        </c:ser>
        <c:dLbls>
          <c:showLegendKey val="0"/>
          <c:showVal val="0"/>
          <c:showCatName val="0"/>
          <c:showSerName val="0"/>
          <c:showPercent val="0"/>
          <c:showBubbleSize val="0"/>
        </c:dLbls>
        <c:axId val="1832927327"/>
        <c:axId val="1832936895"/>
      </c:areaChart>
      <c:catAx>
        <c:axId val="183292732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2936895"/>
        <c:crosses val="autoZero"/>
        <c:auto val="1"/>
        <c:lblAlgn val="ctr"/>
        <c:lblOffset val="100"/>
        <c:noMultiLvlLbl val="0"/>
      </c:catAx>
      <c:valAx>
        <c:axId val="1832936895"/>
        <c:scaling>
          <c:orientation val="minMax"/>
        </c:scaling>
        <c:delete val="0"/>
        <c:axPos val="l"/>
        <c:majorGridlines>
          <c:spPr>
            <a:ln w="9525" cap="flat" cmpd="sng" algn="ctr">
              <a:solidFill>
                <a:schemeClr val="tx1">
                  <a:lumMod val="15000"/>
                  <a:lumOff val="85000"/>
                </a:schemeClr>
              </a:solidFill>
              <a:round/>
            </a:ln>
            <a:effectLst/>
          </c:spPr>
        </c:majorGridlines>
        <c:numFmt formatCode="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2927327"/>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project.xlsx]PIVOT!PivotTable14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PIVOT!$F$3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PIVOT!$E$4:$E$9</c:f>
              <c:strCache>
                <c:ptCount val="5"/>
                <c:pt idx="0">
                  <c:v>Beauty</c:v>
                </c:pt>
                <c:pt idx="1">
                  <c:v>Books</c:v>
                </c:pt>
                <c:pt idx="2">
                  <c:v>Fashion</c:v>
                </c:pt>
                <c:pt idx="3">
                  <c:v>Home</c:v>
                </c:pt>
                <c:pt idx="4">
                  <c:v>Electronics</c:v>
                </c:pt>
              </c:strCache>
            </c:strRef>
          </c:cat>
          <c:val>
            <c:numRef>
              <c:f>PIVOT!$F$4:$F$9</c:f>
              <c:numCache>
                <c:formatCode>00,,"M"</c:formatCode>
                <c:ptCount val="5"/>
                <c:pt idx="0">
                  <c:v>490618</c:v>
                </c:pt>
                <c:pt idx="1">
                  <c:v>570604</c:v>
                </c:pt>
                <c:pt idx="2">
                  <c:v>1790583</c:v>
                </c:pt>
                <c:pt idx="3">
                  <c:v>2691079</c:v>
                </c:pt>
                <c:pt idx="4">
                  <c:v>17463533</c:v>
                </c:pt>
              </c:numCache>
            </c:numRef>
          </c:val>
          <c:extLst>
            <c:ext xmlns:c16="http://schemas.microsoft.com/office/drawing/2014/chart" uri="{C3380CC4-5D6E-409C-BE32-E72D297353CC}">
              <c16:uniqueId val="{00000000-44C4-4CDF-A85F-F100F625DA30}"/>
            </c:ext>
          </c:extLst>
        </c:ser>
        <c:dLbls>
          <c:dLblPos val="outEnd"/>
          <c:showLegendKey val="0"/>
          <c:showVal val="1"/>
          <c:showCatName val="0"/>
          <c:showSerName val="0"/>
          <c:showPercent val="0"/>
          <c:showBubbleSize val="0"/>
        </c:dLbls>
        <c:gapWidth val="45"/>
        <c:axId val="1840092079"/>
        <c:axId val="1840096239"/>
      </c:barChart>
      <c:catAx>
        <c:axId val="18400920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0096239"/>
        <c:crosses val="autoZero"/>
        <c:auto val="1"/>
        <c:lblAlgn val="ctr"/>
        <c:lblOffset val="100"/>
        <c:noMultiLvlLbl val="0"/>
      </c:catAx>
      <c:valAx>
        <c:axId val="1840096239"/>
        <c:scaling>
          <c:orientation val="minMax"/>
        </c:scaling>
        <c:delete val="0"/>
        <c:axPos val="b"/>
        <c:numFmt formatCode="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00920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tx>
            <c:strRef>
              <c:f>PIVOT!$Z$3</c:f>
              <c:strCache>
                <c:ptCount val="1"/>
                <c:pt idx="0">
                  <c:v>SALES</c:v>
                </c:pt>
              </c:strCache>
            </c:strRef>
          </c:tx>
          <c:spPr>
            <a:no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PIVOT!$Y$4:$Y$10</c:f>
              <c:strCache>
                <c:ptCount val="7"/>
                <c:pt idx="0">
                  <c:v>Delhi</c:v>
                </c:pt>
                <c:pt idx="1">
                  <c:v>Gujrat</c:v>
                </c:pt>
                <c:pt idx="2">
                  <c:v>Karnataka</c:v>
                </c:pt>
                <c:pt idx="3">
                  <c:v>Maharashtra</c:v>
                </c:pt>
                <c:pt idx="4">
                  <c:v>Tamil Nadu</c:v>
                </c:pt>
                <c:pt idx="5">
                  <c:v>Telangana</c:v>
                </c:pt>
                <c:pt idx="6">
                  <c:v>TOTAL</c:v>
                </c:pt>
              </c:strCache>
            </c:strRef>
          </c:cat>
          <c:val>
            <c:numRef>
              <c:f>PIVOT!$Z$4:$Z$10</c:f>
              <c:numCache>
                <c:formatCode>00,,"M"</c:formatCode>
                <c:ptCount val="7"/>
                <c:pt idx="0">
                  <c:v>3353882</c:v>
                </c:pt>
                <c:pt idx="1">
                  <c:v>4389497</c:v>
                </c:pt>
                <c:pt idx="2">
                  <c:v>5312858</c:v>
                </c:pt>
                <c:pt idx="3">
                  <c:v>3463152</c:v>
                </c:pt>
                <c:pt idx="4">
                  <c:v>3050638</c:v>
                </c:pt>
                <c:pt idx="5">
                  <c:v>3436390</c:v>
                </c:pt>
                <c:pt idx="6">
                  <c:v>23006417</c:v>
                </c:pt>
              </c:numCache>
            </c:numRef>
          </c:val>
          <c:extLst>
            <c:ext xmlns:c16="http://schemas.microsoft.com/office/drawing/2014/chart" uri="{C3380CC4-5D6E-409C-BE32-E72D297353CC}">
              <c16:uniqueId val="{00000000-DDC7-44EB-9D8F-7EEE7A07BCA4}"/>
            </c:ext>
          </c:extLst>
        </c:ser>
        <c:ser>
          <c:idx val="1"/>
          <c:order val="1"/>
          <c:tx>
            <c:strRef>
              <c:f>PIVOT!$AA$3</c:f>
              <c:strCache>
                <c:ptCount val="1"/>
                <c:pt idx="0">
                  <c:v>%</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PIVOT!$Y$4:$Y$10</c:f>
              <c:strCache>
                <c:ptCount val="7"/>
                <c:pt idx="0">
                  <c:v>Delhi</c:v>
                </c:pt>
                <c:pt idx="1">
                  <c:v>Gujrat</c:v>
                </c:pt>
                <c:pt idx="2">
                  <c:v>Karnataka</c:v>
                </c:pt>
                <c:pt idx="3">
                  <c:v>Maharashtra</c:v>
                </c:pt>
                <c:pt idx="4">
                  <c:v>Tamil Nadu</c:v>
                </c:pt>
                <c:pt idx="5">
                  <c:v>Telangana</c:v>
                </c:pt>
                <c:pt idx="6">
                  <c:v>TOTAL</c:v>
                </c:pt>
              </c:strCache>
            </c:strRef>
          </c:cat>
          <c:val>
            <c:numRef>
              <c:f>PIVOT!$AA$4:$AA$10</c:f>
              <c:numCache>
                <c:formatCode>0%</c:formatCode>
                <c:ptCount val="7"/>
                <c:pt idx="0">
                  <c:v>0.14578028382255265</c:v>
                </c:pt>
                <c:pt idx="1">
                  <c:v>0.19079446399671882</c:v>
                </c:pt>
                <c:pt idx="2">
                  <c:v>0.23092939678525343</c:v>
                </c:pt>
                <c:pt idx="3">
                  <c:v>0.15052982826487063</c:v>
                </c:pt>
                <c:pt idx="4">
                  <c:v>0.13259943953897732</c:v>
                </c:pt>
                <c:pt idx="5">
                  <c:v>0.14936658759162716</c:v>
                </c:pt>
                <c:pt idx="6">
                  <c:v>1</c:v>
                </c:pt>
              </c:numCache>
            </c:numRef>
          </c:val>
          <c:extLst>
            <c:ext xmlns:c16="http://schemas.microsoft.com/office/drawing/2014/chart" uri="{C3380CC4-5D6E-409C-BE32-E72D297353CC}">
              <c16:uniqueId val="{00000001-DDC7-44EB-9D8F-7EEE7A07BCA4}"/>
            </c:ext>
          </c:extLst>
        </c:ser>
        <c:dLbls>
          <c:dLblPos val="ctr"/>
          <c:showLegendKey val="0"/>
          <c:showVal val="1"/>
          <c:showCatName val="0"/>
          <c:showSerName val="0"/>
          <c:showPercent val="0"/>
          <c:showBubbleSize val="0"/>
        </c:dLbls>
        <c:gapWidth val="150"/>
        <c:overlap val="100"/>
        <c:axId val="1589509103"/>
        <c:axId val="1589507855"/>
      </c:barChart>
      <c:catAx>
        <c:axId val="158950910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9507855"/>
        <c:crosses val="autoZero"/>
        <c:auto val="1"/>
        <c:lblAlgn val="ctr"/>
        <c:lblOffset val="100"/>
        <c:noMultiLvlLbl val="0"/>
      </c:catAx>
      <c:valAx>
        <c:axId val="1589507855"/>
        <c:scaling>
          <c:orientation val="minMax"/>
        </c:scaling>
        <c:delete val="0"/>
        <c:axPos val="b"/>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95091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project.xlsx]PIVOT!PivotTable15</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PIVOT!$H$3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B89-4B4F-A32F-9DEA9694F69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B89-4B4F-A32F-9DEA9694F69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B89-4B4F-A32F-9DEA9694F69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B89-4B4F-A32F-9DEA9694F694}"/>
              </c:ext>
            </c:extLst>
          </c:dPt>
          <c:cat>
            <c:strRef>
              <c:f>PIVOT!$G$4:$G$8</c:f>
              <c:strCache>
                <c:ptCount val="4"/>
                <c:pt idx="0">
                  <c:v>Card</c:v>
                </c:pt>
                <c:pt idx="1">
                  <c:v>Cash</c:v>
                </c:pt>
                <c:pt idx="2">
                  <c:v>Net Banking</c:v>
                </c:pt>
                <c:pt idx="3">
                  <c:v>UPI</c:v>
                </c:pt>
              </c:strCache>
            </c:strRef>
          </c:cat>
          <c:val>
            <c:numRef>
              <c:f>PIVOT!$H$4:$H$8</c:f>
              <c:numCache>
                <c:formatCode>00,,"M"</c:formatCode>
                <c:ptCount val="4"/>
                <c:pt idx="0">
                  <c:v>5522910</c:v>
                </c:pt>
                <c:pt idx="1">
                  <c:v>5037484</c:v>
                </c:pt>
                <c:pt idx="2">
                  <c:v>6132531</c:v>
                </c:pt>
                <c:pt idx="3">
                  <c:v>6313492</c:v>
                </c:pt>
              </c:numCache>
            </c:numRef>
          </c:val>
          <c:extLst>
            <c:ext xmlns:c16="http://schemas.microsoft.com/office/drawing/2014/chart" uri="{C3380CC4-5D6E-409C-BE32-E72D297353CC}">
              <c16:uniqueId val="{00000000-D3C6-4AC1-B304-4B4F5B29C954}"/>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project.xlsx]PIVOT!PivotTable16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PIVOT!$J$3</c:f>
              <c:strCache>
                <c:ptCount val="1"/>
                <c:pt idx="0">
                  <c:v>Total</c:v>
                </c:pt>
              </c:strCache>
            </c:strRef>
          </c:tx>
          <c:spPr>
            <a:solidFill>
              <a:schemeClr val="accent1"/>
            </a:solidFill>
            <a:ln>
              <a:noFill/>
            </a:ln>
            <a:effectLst/>
          </c:spPr>
          <c:invertIfNegative val="0"/>
          <c:cat>
            <c:strRef>
              <c:f>PIVOT!$I$4:$I$9</c:f>
              <c:strCache>
                <c:ptCount val="5"/>
                <c:pt idx="0">
                  <c:v>AirPods Pro</c:v>
                </c:pt>
                <c:pt idx="1">
                  <c:v>iPhone 15</c:v>
                </c:pt>
                <c:pt idx="2">
                  <c:v>Laptop</c:v>
                </c:pt>
                <c:pt idx="3">
                  <c:v>MacBook Air</c:v>
                </c:pt>
                <c:pt idx="4">
                  <c:v>Sony Headphones</c:v>
                </c:pt>
              </c:strCache>
            </c:strRef>
          </c:cat>
          <c:val>
            <c:numRef>
              <c:f>PIVOT!$J$4:$J$9</c:f>
              <c:numCache>
                <c:formatCode>00,,"M"</c:formatCode>
                <c:ptCount val="5"/>
                <c:pt idx="0">
                  <c:v>5398413</c:v>
                </c:pt>
                <c:pt idx="1">
                  <c:v>2352917</c:v>
                </c:pt>
                <c:pt idx="2">
                  <c:v>2432276</c:v>
                </c:pt>
                <c:pt idx="3">
                  <c:v>3842259</c:v>
                </c:pt>
                <c:pt idx="4">
                  <c:v>3437668</c:v>
                </c:pt>
              </c:numCache>
            </c:numRef>
          </c:val>
          <c:extLst>
            <c:ext xmlns:c16="http://schemas.microsoft.com/office/drawing/2014/chart" uri="{C3380CC4-5D6E-409C-BE32-E72D297353CC}">
              <c16:uniqueId val="{00000000-8F6D-4E11-B85F-D5A11709A1AF}"/>
            </c:ext>
          </c:extLst>
        </c:ser>
        <c:dLbls>
          <c:showLegendKey val="0"/>
          <c:showVal val="0"/>
          <c:showCatName val="0"/>
          <c:showSerName val="0"/>
          <c:showPercent val="0"/>
          <c:showBubbleSize val="0"/>
        </c:dLbls>
        <c:gapWidth val="182"/>
        <c:axId val="1589532399"/>
        <c:axId val="1589532815"/>
      </c:barChart>
      <c:catAx>
        <c:axId val="15895323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9532815"/>
        <c:crosses val="autoZero"/>
        <c:auto val="1"/>
        <c:lblAlgn val="ctr"/>
        <c:lblOffset val="100"/>
        <c:noMultiLvlLbl val="0"/>
      </c:catAx>
      <c:valAx>
        <c:axId val="1589532815"/>
        <c:scaling>
          <c:orientation val="minMax"/>
        </c:scaling>
        <c:delete val="0"/>
        <c:axPos val="b"/>
        <c:majorGridlines>
          <c:spPr>
            <a:ln w="9525" cap="flat" cmpd="sng" algn="ctr">
              <a:solidFill>
                <a:schemeClr val="tx1">
                  <a:lumMod val="15000"/>
                  <a:lumOff val="85000"/>
                </a:schemeClr>
              </a:solidFill>
              <a:round/>
            </a:ln>
            <a:effectLst/>
          </c:spPr>
        </c:majorGridlines>
        <c:numFmt formatCode="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95323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project.xlsx]PIVOT!PivotTable13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u="sng">
                <a:solidFill>
                  <a:sysClr val="windowText" lastClr="000000"/>
                </a:solidFill>
              </a:rPr>
              <a:t>sales</a:t>
            </a:r>
            <a:r>
              <a:rPr lang="en-US" u="sng" baseline="0">
                <a:solidFill>
                  <a:sysClr val="windowText" lastClr="000000"/>
                </a:solidFill>
              </a:rPr>
              <a:t> by month </a:t>
            </a:r>
            <a:endParaRPr lang="en-US" u="sng">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74000">
                <a:srgbClr val="00B0F0"/>
              </a:gs>
              <a:gs pos="40000">
                <a:schemeClr val="accent3">
                  <a:lumMod val="45000"/>
                  <a:lumOff val="55000"/>
                </a:schemeClr>
              </a:gs>
            </a:gsLst>
            <a:lin ang="81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842000625038365"/>
          <c:y val="5.2238999536822601E-2"/>
          <c:w val="0.79535938352206059"/>
          <c:h val="0.73794415056816642"/>
        </c:manualLayout>
      </c:layout>
      <c:areaChart>
        <c:grouping val="standard"/>
        <c:varyColors val="0"/>
        <c:ser>
          <c:idx val="0"/>
          <c:order val="0"/>
          <c:tx>
            <c:strRef>
              <c:f>PIVOT!$D$3</c:f>
              <c:strCache>
                <c:ptCount val="1"/>
                <c:pt idx="0">
                  <c:v>Total</c:v>
                </c:pt>
              </c:strCache>
            </c:strRef>
          </c:tx>
          <c:spPr>
            <a:gradFill flip="none" rotWithShape="1">
              <a:gsLst>
                <a:gs pos="74000">
                  <a:srgbClr val="00B0F0"/>
                </a:gs>
                <a:gs pos="40000">
                  <a:schemeClr val="accent3">
                    <a:lumMod val="45000"/>
                    <a:lumOff val="55000"/>
                  </a:schemeClr>
                </a:gs>
              </a:gsLst>
              <a:lin ang="8100000" scaled="1"/>
              <a:tileRect/>
            </a:gradFill>
            <a:ln>
              <a:noFill/>
            </a:ln>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PIVOT!$C$4:$C$16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PIVOT!$D$4:$D$16</c:f>
              <c:numCache>
                <c:formatCode>00,,"M"</c:formatCode>
                <c:ptCount val="12"/>
                <c:pt idx="0">
                  <c:v>1480730</c:v>
                </c:pt>
                <c:pt idx="1">
                  <c:v>1991453</c:v>
                </c:pt>
                <c:pt idx="2">
                  <c:v>2439516</c:v>
                </c:pt>
                <c:pt idx="3">
                  <c:v>1723736</c:v>
                </c:pt>
                <c:pt idx="4">
                  <c:v>2226405</c:v>
                </c:pt>
                <c:pt idx="5">
                  <c:v>1483670</c:v>
                </c:pt>
                <c:pt idx="6">
                  <c:v>2566476</c:v>
                </c:pt>
                <c:pt idx="7">
                  <c:v>1323566</c:v>
                </c:pt>
                <c:pt idx="8">
                  <c:v>1648464</c:v>
                </c:pt>
                <c:pt idx="9">
                  <c:v>1876219</c:v>
                </c:pt>
                <c:pt idx="10">
                  <c:v>948995</c:v>
                </c:pt>
                <c:pt idx="11">
                  <c:v>3297187</c:v>
                </c:pt>
              </c:numCache>
            </c:numRef>
          </c:val>
          <c:extLst>
            <c:ext xmlns:c16="http://schemas.microsoft.com/office/drawing/2014/chart" uri="{C3380CC4-5D6E-409C-BE32-E72D297353CC}">
              <c16:uniqueId val="{00000000-920C-4791-BD90-1C94E77CDF99}"/>
            </c:ext>
          </c:extLst>
        </c:ser>
        <c:dLbls>
          <c:showLegendKey val="0"/>
          <c:showVal val="1"/>
          <c:showCatName val="0"/>
          <c:showSerName val="0"/>
          <c:showPercent val="0"/>
          <c:showBubbleSize val="0"/>
        </c:dLbls>
        <c:axId val="1832927327"/>
        <c:axId val="1832936895"/>
      </c:areaChart>
      <c:catAx>
        <c:axId val="183292732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832936895"/>
        <c:crosses val="autoZero"/>
        <c:auto val="1"/>
        <c:lblAlgn val="ctr"/>
        <c:lblOffset val="100"/>
        <c:noMultiLvlLbl val="0"/>
      </c:catAx>
      <c:valAx>
        <c:axId val="1832936895"/>
        <c:scaling>
          <c:orientation val="minMax"/>
        </c:scaling>
        <c:delete val="0"/>
        <c:axPos val="l"/>
        <c:numFmt formatCode="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832927327"/>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project.xlsx]PIVOT!PivotTable14</c:name>
    <c:fmtId val="3"/>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u="sng">
                <a:solidFill>
                  <a:sysClr val="windowText" lastClr="000000"/>
                </a:solidFill>
              </a:rPr>
              <a:t>sales</a:t>
            </a:r>
            <a:r>
              <a:rPr lang="en-US" u="sng" baseline="0">
                <a:solidFill>
                  <a:sysClr val="windowText" lastClr="000000"/>
                </a:solidFill>
              </a:rPr>
              <a:t> by categaes</a:t>
            </a:r>
            <a:endParaRPr lang="en-US" u="sng">
              <a:solidFill>
                <a:sysClr val="windowText" lastClr="000000"/>
              </a:solidFill>
            </a:endParaRPr>
          </a:p>
        </c:rich>
      </c:tx>
      <c:layout>
        <c:manualLayout>
          <c:xMode val="edge"/>
          <c:yMode val="edge"/>
          <c:x val="0.28125312105979511"/>
          <c:y val="3.018791665126367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lumMod val="60000"/>
              <a:lumOff val="40000"/>
            </a:schemeClr>
          </a:solidFill>
          <a:ln>
            <a:noFill/>
          </a:ln>
          <a:effectLst>
            <a:outerShdw blurRad="50800" dist="38100" dir="18900000" algn="b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458358354594425"/>
          <c:y val="0.19005928966704855"/>
          <c:w val="0.65001457531117268"/>
          <c:h val="0.52435262194015864"/>
        </c:manualLayout>
      </c:layout>
      <c:barChart>
        <c:barDir val="bar"/>
        <c:grouping val="clustered"/>
        <c:varyColors val="0"/>
        <c:ser>
          <c:idx val="0"/>
          <c:order val="0"/>
          <c:tx>
            <c:strRef>
              <c:f>PIVOT!$F$3</c:f>
              <c:strCache>
                <c:ptCount val="1"/>
                <c:pt idx="0">
                  <c:v>Total</c:v>
                </c:pt>
              </c:strCache>
            </c:strRef>
          </c:tx>
          <c:spPr>
            <a:solidFill>
              <a:schemeClr val="accent3">
                <a:lumMod val="60000"/>
                <a:lumOff val="40000"/>
              </a:schemeClr>
            </a:solidFill>
            <a:ln>
              <a:noFill/>
            </a:ln>
            <a:effectLst>
              <a:outerShdw blurRad="50800" dist="38100" dir="18900000" algn="bl"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PIVOT!$E$4:$E$9</c:f>
              <c:strCache>
                <c:ptCount val="5"/>
                <c:pt idx="0">
                  <c:v>Beauty</c:v>
                </c:pt>
                <c:pt idx="1">
                  <c:v>Books</c:v>
                </c:pt>
                <c:pt idx="2">
                  <c:v>Fashion</c:v>
                </c:pt>
                <c:pt idx="3">
                  <c:v>Home</c:v>
                </c:pt>
                <c:pt idx="4">
                  <c:v>Electronics</c:v>
                </c:pt>
              </c:strCache>
            </c:strRef>
          </c:cat>
          <c:val>
            <c:numRef>
              <c:f>PIVOT!$F$4:$F$9</c:f>
              <c:numCache>
                <c:formatCode>00,,"M"</c:formatCode>
                <c:ptCount val="5"/>
                <c:pt idx="0">
                  <c:v>490618</c:v>
                </c:pt>
                <c:pt idx="1">
                  <c:v>570604</c:v>
                </c:pt>
                <c:pt idx="2">
                  <c:v>1790583</c:v>
                </c:pt>
                <c:pt idx="3">
                  <c:v>2691079</c:v>
                </c:pt>
                <c:pt idx="4">
                  <c:v>17463533</c:v>
                </c:pt>
              </c:numCache>
            </c:numRef>
          </c:val>
          <c:extLst>
            <c:ext xmlns:c16="http://schemas.microsoft.com/office/drawing/2014/chart" uri="{C3380CC4-5D6E-409C-BE32-E72D297353CC}">
              <c16:uniqueId val="{00000000-8113-418D-BD33-2A5C2F93F953}"/>
            </c:ext>
          </c:extLst>
        </c:ser>
        <c:dLbls>
          <c:dLblPos val="outEnd"/>
          <c:showLegendKey val="0"/>
          <c:showVal val="1"/>
          <c:showCatName val="0"/>
          <c:showSerName val="0"/>
          <c:showPercent val="0"/>
          <c:showBubbleSize val="0"/>
        </c:dLbls>
        <c:gapWidth val="45"/>
        <c:axId val="1840092079"/>
        <c:axId val="1840096239"/>
      </c:barChart>
      <c:catAx>
        <c:axId val="18400920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840096239"/>
        <c:crosses val="autoZero"/>
        <c:auto val="1"/>
        <c:lblAlgn val="ctr"/>
        <c:lblOffset val="100"/>
        <c:noMultiLvlLbl val="0"/>
      </c:catAx>
      <c:valAx>
        <c:axId val="1840096239"/>
        <c:scaling>
          <c:orientation val="minMax"/>
        </c:scaling>
        <c:delete val="0"/>
        <c:axPos val="b"/>
        <c:numFmt formatCode="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8400920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tx>
            <c:strRef>
              <c:f>PIVOT!$Z$3</c:f>
              <c:strCache>
                <c:ptCount val="1"/>
                <c:pt idx="0">
                  <c:v>SALES</c:v>
                </c:pt>
              </c:strCache>
            </c:strRef>
          </c:tx>
          <c:spPr>
            <a:no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PIVOT!$Y$4:$Y$10</c:f>
              <c:strCache>
                <c:ptCount val="7"/>
                <c:pt idx="0">
                  <c:v>Delhi</c:v>
                </c:pt>
                <c:pt idx="1">
                  <c:v>Gujrat</c:v>
                </c:pt>
                <c:pt idx="2">
                  <c:v>Karnataka</c:v>
                </c:pt>
                <c:pt idx="3">
                  <c:v>Maharashtra</c:v>
                </c:pt>
                <c:pt idx="4">
                  <c:v>Tamil Nadu</c:v>
                </c:pt>
                <c:pt idx="5">
                  <c:v>Telangana</c:v>
                </c:pt>
                <c:pt idx="6">
                  <c:v>TOTAL</c:v>
                </c:pt>
              </c:strCache>
            </c:strRef>
          </c:cat>
          <c:val>
            <c:numRef>
              <c:f>PIVOT!$Z$4:$Z$10</c:f>
              <c:numCache>
                <c:formatCode>00,,"M"</c:formatCode>
                <c:ptCount val="7"/>
                <c:pt idx="0">
                  <c:v>3353882</c:v>
                </c:pt>
                <c:pt idx="1">
                  <c:v>4389497</c:v>
                </c:pt>
                <c:pt idx="2">
                  <c:v>5312858</c:v>
                </c:pt>
                <c:pt idx="3">
                  <c:v>3463152</c:v>
                </c:pt>
                <c:pt idx="4">
                  <c:v>3050638</c:v>
                </c:pt>
                <c:pt idx="5">
                  <c:v>3436390</c:v>
                </c:pt>
                <c:pt idx="6">
                  <c:v>23006417</c:v>
                </c:pt>
              </c:numCache>
            </c:numRef>
          </c:val>
          <c:extLst>
            <c:ext xmlns:c16="http://schemas.microsoft.com/office/drawing/2014/chart" uri="{C3380CC4-5D6E-409C-BE32-E72D297353CC}">
              <c16:uniqueId val="{00000000-A0AD-459A-8C38-E7CACA2BD3E0}"/>
            </c:ext>
          </c:extLst>
        </c:ser>
        <c:ser>
          <c:idx val="1"/>
          <c:order val="1"/>
          <c:tx>
            <c:strRef>
              <c:f>PIVOT!$AA$3</c:f>
              <c:strCache>
                <c:ptCount val="1"/>
                <c:pt idx="0">
                  <c:v>%</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PIVOT!$Y$4:$Y$10</c:f>
              <c:strCache>
                <c:ptCount val="7"/>
                <c:pt idx="0">
                  <c:v>Delhi</c:v>
                </c:pt>
                <c:pt idx="1">
                  <c:v>Gujrat</c:v>
                </c:pt>
                <c:pt idx="2">
                  <c:v>Karnataka</c:v>
                </c:pt>
                <c:pt idx="3">
                  <c:v>Maharashtra</c:v>
                </c:pt>
                <c:pt idx="4">
                  <c:v>Tamil Nadu</c:v>
                </c:pt>
                <c:pt idx="5">
                  <c:v>Telangana</c:v>
                </c:pt>
                <c:pt idx="6">
                  <c:v>TOTAL</c:v>
                </c:pt>
              </c:strCache>
            </c:strRef>
          </c:cat>
          <c:val>
            <c:numRef>
              <c:f>PIVOT!$AA$4:$AA$10</c:f>
              <c:numCache>
                <c:formatCode>0%</c:formatCode>
                <c:ptCount val="7"/>
                <c:pt idx="0">
                  <c:v>0.14578028382255265</c:v>
                </c:pt>
                <c:pt idx="1">
                  <c:v>0.19079446399671882</c:v>
                </c:pt>
                <c:pt idx="2">
                  <c:v>0.23092939678525343</c:v>
                </c:pt>
                <c:pt idx="3">
                  <c:v>0.15052982826487063</c:v>
                </c:pt>
                <c:pt idx="4">
                  <c:v>0.13259943953897732</c:v>
                </c:pt>
                <c:pt idx="5">
                  <c:v>0.14936658759162716</c:v>
                </c:pt>
                <c:pt idx="6">
                  <c:v>1</c:v>
                </c:pt>
              </c:numCache>
            </c:numRef>
          </c:val>
          <c:extLst>
            <c:ext xmlns:c16="http://schemas.microsoft.com/office/drawing/2014/chart" uri="{C3380CC4-5D6E-409C-BE32-E72D297353CC}">
              <c16:uniqueId val="{00000001-A0AD-459A-8C38-E7CACA2BD3E0}"/>
            </c:ext>
          </c:extLst>
        </c:ser>
        <c:dLbls>
          <c:dLblPos val="ctr"/>
          <c:showLegendKey val="0"/>
          <c:showVal val="1"/>
          <c:showCatName val="0"/>
          <c:showSerName val="0"/>
          <c:showPercent val="0"/>
          <c:showBubbleSize val="0"/>
        </c:dLbls>
        <c:gapWidth val="150"/>
        <c:overlap val="100"/>
        <c:axId val="1589509103"/>
        <c:axId val="1589507855"/>
      </c:barChart>
      <c:catAx>
        <c:axId val="158950910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589507855"/>
        <c:crosses val="autoZero"/>
        <c:auto val="1"/>
        <c:lblAlgn val="ctr"/>
        <c:lblOffset val="100"/>
        <c:noMultiLvlLbl val="0"/>
      </c:catAx>
      <c:valAx>
        <c:axId val="1589507855"/>
        <c:scaling>
          <c:orientation val="minMax"/>
        </c:scaling>
        <c:delete val="0"/>
        <c:axPos val="b"/>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5895091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project.xlsx]PIVOT!PivotTable15</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a:outerShdw blurRad="50800" dist="38100" dir="18900000" algn="bl" rotWithShape="0">
              <a:prstClr val="black">
                <a:alpha val="40000"/>
              </a:prstClr>
            </a:outerShdw>
          </a:effectLst>
          <a:scene3d>
            <a:camera prst="orthographicFront"/>
            <a:lightRig rig="threePt" dir="t"/>
          </a:scene3d>
          <a:sp3d>
            <a:bevelT w="190500" h="381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flip="none" rotWithShape="1">
            <a:gsLst>
              <a:gs pos="0">
                <a:schemeClr val="accent1">
                  <a:lumMod val="40000"/>
                  <a:lumOff val="60000"/>
                </a:schemeClr>
              </a:gs>
              <a:gs pos="46000">
                <a:schemeClr val="accent1">
                  <a:lumMod val="95000"/>
                  <a:lumOff val="5000"/>
                </a:schemeClr>
              </a:gs>
              <a:gs pos="100000">
                <a:schemeClr val="accent1">
                  <a:lumMod val="60000"/>
                </a:schemeClr>
              </a:gs>
            </a:gsLst>
            <a:path path="circle">
              <a:fillToRect l="50000" t="130000" r="50000" b="-30000"/>
            </a:path>
            <a:tileRect/>
          </a:gradFill>
          <a:ln w="19050">
            <a:solidFill>
              <a:schemeClr val="lt1"/>
            </a:solidFill>
          </a:ln>
          <a:effectLst>
            <a:outerShdw blurRad="50800" dist="38100" dir="18900000" algn="bl" rotWithShape="0">
              <a:prstClr val="black">
                <a:alpha val="40000"/>
              </a:prstClr>
            </a:outerShdw>
          </a:effectLst>
          <a:scene3d>
            <a:camera prst="orthographicFront"/>
            <a:lightRig rig="threePt" dir="t"/>
          </a:scene3d>
          <a:sp3d>
            <a:bevelT w="190500" h="38100"/>
          </a:sp3d>
        </c:spPr>
        <c:dLbl>
          <c:idx val="0"/>
          <c:layout>
            <c:manualLayout>
              <c:x val="0.13455670452619087"/>
              <c:y val="-0.1025641662794367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path path="circle">
              <a:fillToRect l="50000" t="130000" r="50000" b="-30000"/>
            </a:path>
            <a:tileRect/>
          </a:gradFill>
          <a:ln w="19050">
            <a:solidFill>
              <a:schemeClr val="lt1"/>
            </a:solidFill>
          </a:ln>
          <a:effectLst>
            <a:outerShdw blurRad="50800" dist="38100" dir="18900000" algn="bl" rotWithShape="0">
              <a:prstClr val="black">
                <a:alpha val="40000"/>
              </a:prstClr>
            </a:outerShdw>
          </a:effectLst>
          <a:scene3d>
            <a:camera prst="orthographicFront"/>
            <a:lightRig rig="threePt" dir="t"/>
          </a:scene3d>
          <a:sp3d>
            <a:bevelT w="190500" h="38100"/>
          </a:sp3d>
        </c:spPr>
        <c:dLbl>
          <c:idx val="0"/>
          <c:layout>
            <c:manualLayout>
              <c:x val="0.15902155989458922"/>
              <c:y val="0.17357012754981599"/>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flip="none" rotWithShape="1">
            <a:gsLst>
              <a:gs pos="0">
                <a:schemeClr val="accent3">
                  <a:lumMod val="67000"/>
                </a:schemeClr>
              </a:gs>
              <a:gs pos="48000">
                <a:schemeClr val="accent3">
                  <a:lumMod val="97000"/>
                  <a:lumOff val="3000"/>
                </a:schemeClr>
              </a:gs>
              <a:gs pos="100000">
                <a:schemeClr val="accent3">
                  <a:lumMod val="60000"/>
                  <a:lumOff val="40000"/>
                </a:schemeClr>
              </a:gs>
            </a:gsLst>
            <a:lin ang="16200000" scaled="1"/>
            <a:tileRect/>
          </a:gradFill>
          <a:ln w="19050">
            <a:solidFill>
              <a:schemeClr val="lt1"/>
            </a:solidFill>
          </a:ln>
          <a:effectLst>
            <a:outerShdw blurRad="50800" dist="38100" dir="18900000" algn="bl" rotWithShape="0">
              <a:prstClr val="black">
                <a:alpha val="40000"/>
              </a:prstClr>
            </a:outerShdw>
          </a:effectLst>
          <a:scene3d>
            <a:camera prst="orthographicFront"/>
            <a:lightRig rig="threePt" dir="t"/>
          </a:scene3d>
          <a:sp3d>
            <a:bevelT w="190500" h="38100"/>
          </a:sp3d>
        </c:spPr>
        <c:dLbl>
          <c:idx val="0"/>
          <c:layout>
            <c:manualLayout>
              <c:x val="-0.14067291836829046"/>
              <c:y val="8.6785063774907995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flip="none" rotWithShape="1">
            <a:gsLst>
              <a:gs pos="0">
                <a:schemeClr val="accent4">
                  <a:lumMod val="40000"/>
                  <a:lumOff val="60000"/>
                </a:schemeClr>
              </a:gs>
              <a:gs pos="46000">
                <a:schemeClr val="accent4">
                  <a:lumMod val="95000"/>
                  <a:lumOff val="5000"/>
                </a:schemeClr>
              </a:gs>
              <a:gs pos="100000">
                <a:schemeClr val="accent4">
                  <a:lumMod val="60000"/>
                </a:schemeClr>
              </a:gs>
            </a:gsLst>
            <a:path path="circle">
              <a:fillToRect l="50000" t="130000" r="50000" b="-30000"/>
            </a:path>
            <a:tileRect/>
          </a:gradFill>
          <a:ln w="19050">
            <a:solidFill>
              <a:schemeClr val="lt1"/>
            </a:solidFill>
          </a:ln>
          <a:effectLst>
            <a:outerShdw blurRad="50800" dist="38100" dir="18900000" algn="bl" rotWithShape="0">
              <a:prstClr val="black">
                <a:alpha val="40000"/>
              </a:prstClr>
            </a:outerShdw>
          </a:effectLst>
          <a:scene3d>
            <a:camera prst="orthographicFront"/>
            <a:lightRig rig="threePt" dir="t"/>
          </a:scene3d>
          <a:sp3d>
            <a:bevelT w="190500" h="38100"/>
          </a:sp3d>
        </c:spPr>
        <c:dLbl>
          <c:idx val="0"/>
          <c:layout>
            <c:manualLayout>
              <c:x val="-0.1712539875787884"/>
              <c:y val="-9.4674615027172365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PIVOT!$H$3</c:f>
              <c:strCache>
                <c:ptCount val="1"/>
                <c:pt idx="0">
                  <c:v>Total</c:v>
                </c:pt>
              </c:strCache>
            </c:strRef>
          </c:tx>
          <c:spPr>
            <a:effectLst>
              <a:outerShdw blurRad="50800" dist="38100" dir="18900000" algn="bl" rotWithShape="0">
                <a:prstClr val="black">
                  <a:alpha val="40000"/>
                </a:prstClr>
              </a:outerShdw>
            </a:effectLst>
            <a:scene3d>
              <a:camera prst="orthographicFront"/>
              <a:lightRig rig="threePt" dir="t"/>
            </a:scene3d>
            <a:sp3d>
              <a:bevelT w="190500" h="38100"/>
            </a:sp3d>
          </c:spPr>
          <c:dPt>
            <c:idx val="0"/>
            <c:bubble3D val="0"/>
            <c:spPr>
              <a:gradFill flip="none" rotWithShape="1">
                <a:gsLst>
                  <a:gs pos="0">
                    <a:schemeClr val="accent1">
                      <a:lumMod val="40000"/>
                      <a:lumOff val="60000"/>
                    </a:schemeClr>
                  </a:gs>
                  <a:gs pos="46000">
                    <a:schemeClr val="accent1">
                      <a:lumMod val="95000"/>
                      <a:lumOff val="5000"/>
                    </a:schemeClr>
                  </a:gs>
                  <a:gs pos="100000">
                    <a:schemeClr val="accent1">
                      <a:lumMod val="60000"/>
                    </a:schemeClr>
                  </a:gs>
                </a:gsLst>
                <a:path path="circle">
                  <a:fillToRect l="50000" t="130000" r="50000" b="-30000"/>
                </a:path>
                <a:tileRect/>
              </a:gradFill>
              <a:ln w="19050">
                <a:solidFill>
                  <a:schemeClr val="lt1"/>
                </a:solidFill>
              </a:ln>
              <a:effectLst>
                <a:outerShdw blurRad="50800" dist="38100" dir="18900000" algn="bl" rotWithShape="0">
                  <a:prstClr val="black">
                    <a:alpha val="40000"/>
                  </a:prstClr>
                </a:outerShdw>
              </a:effectLst>
              <a:scene3d>
                <a:camera prst="orthographicFront"/>
                <a:lightRig rig="threePt" dir="t"/>
              </a:scene3d>
              <a:sp3d>
                <a:bevelT w="190500" h="38100"/>
              </a:sp3d>
            </c:spPr>
            <c:extLst>
              <c:ext xmlns:c16="http://schemas.microsoft.com/office/drawing/2014/chart" uri="{C3380CC4-5D6E-409C-BE32-E72D297353CC}">
                <c16:uniqueId val="{00000001-C582-4B5E-9F06-B9E0B5B3847B}"/>
              </c:ext>
            </c:extLst>
          </c:dPt>
          <c:dPt>
            <c:idx val="1"/>
            <c:bubble3D val="0"/>
            <c:spPr>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path path="circle">
                  <a:fillToRect l="50000" t="130000" r="50000" b="-30000"/>
                </a:path>
                <a:tileRect/>
              </a:gradFill>
              <a:ln w="19050">
                <a:solidFill>
                  <a:schemeClr val="lt1"/>
                </a:solidFill>
              </a:ln>
              <a:effectLst>
                <a:outerShdw blurRad="50800" dist="38100" dir="18900000" algn="bl" rotWithShape="0">
                  <a:prstClr val="black">
                    <a:alpha val="40000"/>
                  </a:prstClr>
                </a:outerShdw>
              </a:effectLst>
              <a:scene3d>
                <a:camera prst="orthographicFront"/>
                <a:lightRig rig="threePt" dir="t"/>
              </a:scene3d>
              <a:sp3d>
                <a:bevelT w="190500" h="38100"/>
              </a:sp3d>
            </c:spPr>
            <c:extLst>
              <c:ext xmlns:c16="http://schemas.microsoft.com/office/drawing/2014/chart" uri="{C3380CC4-5D6E-409C-BE32-E72D297353CC}">
                <c16:uniqueId val="{00000003-C582-4B5E-9F06-B9E0B5B3847B}"/>
              </c:ext>
            </c:extLst>
          </c:dPt>
          <c:dPt>
            <c:idx val="2"/>
            <c:bubble3D val="0"/>
            <c:spPr>
              <a:gradFill flip="none" rotWithShape="1">
                <a:gsLst>
                  <a:gs pos="0">
                    <a:schemeClr val="accent3">
                      <a:lumMod val="67000"/>
                    </a:schemeClr>
                  </a:gs>
                  <a:gs pos="48000">
                    <a:schemeClr val="accent3">
                      <a:lumMod val="97000"/>
                      <a:lumOff val="3000"/>
                    </a:schemeClr>
                  </a:gs>
                  <a:gs pos="100000">
                    <a:schemeClr val="accent3">
                      <a:lumMod val="60000"/>
                      <a:lumOff val="40000"/>
                    </a:schemeClr>
                  </a:gs>
                </a:gsLst>
                <a:lin ang="16200000" scaled="1"/>
                <a:tileRect/>
              </a:gradFill>
              <a:ln w="19050">
                <a:solidFill>
                  <a:schemeClr val="lt1"/>
                </a:solidFill>
              </a:ln>
              <a:effectLst>
                <a:outerShdw blurRad="50800" dist="38100" dir="18900000" algn="bl" rotWithShape="0">
                  <a:prstClr val="black">
                    <a:alpha val="40000"/>
                  </a:prstClr>
                </a:outerShdw>
              </a:effectLst>
              <a:scene3d>
                <a:camera prst="orthographicFront"/>
                <a:lightRig rig="threePt" dir="t"/>
              </a:scene3d>
              <a:sp3d>
                <a:bevelT w="190500" h="38100"/>
              </a:sp3d>
            </c:spPr>
            <c:extLst>
              <c:ext xmlns:c16="http://schemas.microsoft.com/office/drawing/2014/chart" uri="{C3380CC4-5D6E-409C-BE32-E72D297353CC}">
                <c16:uniqueId val="{00000005-C582-4B5E-9F06-B9E0B5B3847B}"/>
              </c:ext>
            </c:extLst>
          </c:dPt>
          <c:dPt>
            <c:idx val="3"/>
            <c:bubble3D val="0"/>
            <c:spPr>
              <a:gradFill flip="none" rotWithShape="1">
                <a:gsLst>
                  <a:gs pos="0">
                    <a:schemeClr val="accent4">
                      <a:lumMod val="40000"/>
                      <a:lumOff val="60000"/>
                    </a:schemeClr>
                  </a:gs>
                  <a:gs pos="46000">
                    <a:schemeClr val="accent4">
                      <a:lumMod val="95000"/>
                      <a:lumOff val="5000"/>
                    </a:schemeClr>
                  </a:gs>
                  <a:gs pos="100000">
                    <a:schemeClr val="accent4">
                      <a:lumMod val="60000"/>
                    </a:schemeClr>
                  </a:gs>
                </a:gsLst>
                <a:path path="circle">
                  <a:fillToRect l="50000" t="130000" r="50000" b="-30000"/>
                </a:path>
                <a:tileRect/>
              </a:gradFill>
              <a:ln w="19050">
                <a:solidFill>
                  <a:schemeClr val="lt1"/>
                </a:solidFill>
              </a:ln>
              <a:effectLst>
                <a:outerShdw blurRad="50800" dist="38100" dir="18900000" algn="bl" rotWithShape="0">
                  <a:prstClr val="black">
                    <a:alpha val="40000"/>
                  </a:prstClr>
                </a:outerShdw>
              </a:effectLst>
              <a:scene3d>
                <a:camera prst="orthographicFront"/>
                <a:lightRig rig="threePt" dir="t"/>
              </a:scene3d>
              <a:sp3d>
                <a:bevelT w="190500" h="38100"/>
              </a:sp3d>
            </c:spPr>
            <c:extLst>
              <c:ext xmlns:c16="http://schemas.microsoft.com/office/drawing/2014/chart" uri="{C3380CC4-5D6E-409C-BE32-E72D297353CC}">
                <c16:uniqueId val="{00000007-C582-4B5E-9F06-B9E0B5B3847B}"/>
              </c:ext>
            </c:extLst>
          </c:dPt>
          <c:dLbls>
            <c:dLbl>
              <c:idx val="0"/>
              <c:layout>
                <c:manualLayout>
                  <c:x val="0.13455670452619087"/>
                  <c:y val="-0.1025641662794367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582-4B5E-9F06-B9E0B5B3847B}"/>
                </c:ext>
              </c:extLst>
            </c:dLbl>
            <c:dLbl>
              <c:idx val="1"/>
              <c:layout>
                <c:manualLayout>
                  <c:x val="0.15902155989458922"/>
                  <c:y val="0.1735701275498159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582-4B5E-9F06-B9E0B5B3847B}"/>
                </c:ext>
              </c:extLst>
            </c:dLbl>
            <c:dLbl>
              <c:idx val="2"/>
              <c:layout>
                <c:manualLayout>
                  <c:x val="-0.14067291836829046"/>
                  <c:y val="8.678506377490799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582-4B5E-9F06-B9E0B5B3847B}"/>
                </c:ext>
              </c:extLst>
            </c:dLbl>
            <c:dLbl>
              <c:idx val="3"/>
              <c:layout>
                <c:manualLayout>
                  <c:x val="-0.1712539875787884"/>
                  <c:y val="-9.467461502717236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582-4B5E-9F06-B9E0B5B3847B}"/>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PIVOT!$G$4:$G$8</c:f>
              <c:strCache>
                <c:ptCount val="4"/>
                <c:pt idx="0">
                  <c:v>Card</c:v>
                </c:pt>
                <c:pt idx="1">
                  <c:v>Cash</c:v>
                </c:pt>
                <c:pt idx="2">
                  <c:v>Net Banking</c:v>
                </c:pt>
                <c:pt idx="3">
                  <c:v>UPI</c:v>
                </c:pt>
              </c:strCache>
            </c:strRef>
          </c:cat>
          <c:val>
            <c:numRef>
              <c:f>PIVOT!$H$4:$H$8</c:f>
              <c:numCache>
                <c:formatCode>00,,"M"</c:formatCode>
                <c:ptCount val="4"/>
                <c:pt idx="0">
                  <c:v>5522910</c:v>
                </c:pt>
                <c:pt idx="1">
                  <c:v>5037484</c:v>
                </c:pt>
                <c:pt idx="2">
                  <c:v>6132531</c:v>
                </c:pt>
                <c:pt idx="3">
                  <c:v>6313492</c:v>
                </c:pt>
              </c:numCache>
            </c:numRef>
          </c:val>
          <c:extLst>
            <c:ext xmlns:c16="http://schemas.microsoft.com/office/drawing/2014/chart" uri="{C3380CC4-5D6E-409C-BE32-E72D297353CC}">
              <c16:uniqueId val="{00000008-C582-4B5E-9F06-B9E0B5B3847B}"/>
            </c:ext>
          </c:extLst>
        </c:ser>
        <c:dLbls>
          <c:showLegendKey val="0"/>
          <c:showVal val="1"/>
          <c:showCatName val="0"/>
          <c:showSerName val="0"/>
          <c:showPercent val="0"/>
          <c:showBubbleSize val="0"/>
          <c:showLeaderLines val="1"/>
        </c:dLbls>
        <c:firstSliceAng val="0"/>
        <c:holeSize val="59"/>
      </c:doughnutChart>
      <c:spPr>
        <a:noFill/>
        <a:ln>
          <a:noFill/>
        </a:ln>
        <a:effectLst/>
      </c:spPr>
    </c:plotArea>
    <c:legend>
      <c:legendPos val="r"/>
      <c:overlay val="0"/>
      <c:spPr>
        <a:solidFill>
          <a:schemeClr val="bg1"/>
        </a:solid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project.xlsx]PIVOT!PivotTable16</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5">
                  <a:lumMod val="89000"/>
                </a:schemeClr>
              </a:gs>
              <a:gs pos="23000">
                <a:schemeClr val="accent5">
                  <a:lumMod val="89000"/>
                </a:schemeClr>
              </a:gs>
              <a:gs pos="69000">
                <a:schemeClr val="accent5">
                  <a:lumMod val="75000"/>
                </a:schemeClr>
              </a:gs>
              <a:gs pos="97000">
                <a:schemeClr val="accent5">
                  <a:lumMod val="70000"/>
                </a:schemeClr>
              </a:gs>
            </a:gsLst>
            <a:path path="circle">
              <a:fillToRect l="50000" t="50000" r="50000" b="50000"/>
            </a:path>
            <a:tileRect/>
          </a:gradFill>
          <a:ln>
            <a:noFill/>
          </a:ln>
          <a:effectLst>
            <a:outerShdw blurRad="50800" dist="38100" dir="18900000" algn="b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PIVOT!$J$3</c:f>
              <c:strCache>
                <c:ptCount val="1"/>
                <c:pt idx="0">
                  <c:v>Total</c:v>
                </c:pt>
              </c:strCache>
            </c:strRef>
          </c:tx>
          <c:spPr>
            <a:gradFill flip="none" rotWithShape="1">
              <a:gsLst>
                <a:gs pos="0">
                  <a:schemeClr val="accent5">
                    <a:lumMod val="89000"/>
                  </a:schemeClr>
                </a:gs>
                <a:gs pos="23000">
                  <a:schemeClr val="accent5">
                    <a:lumMod val="89000"/>
                  </a:schemeClr>
                </a:gs>
                <a:gs pos="69000">
                  <a:schemeClr val="accent5">
                    <a:lumMod val="75000"/>
                  </a:schemeClr>
                </a:gs>
                <a:gs pos="97000">
                  <a:schemeClr val="accent5">
                    <a:lumMod val="70000"/>
                  </a:schemeClr>
                </a:gs>
              </a:gsLst>
              <a:path path="circle">
                <a:fillToRect l="50000" t="50000" r="50000" b="50000"/>
              </a:path>
              <a:tileRect/>
            </a:gradFill>
            <a:ln>
              <a:noFill/>
            </a:ln>
            <a:effectLst>
              <a:outerShdw blurRad="50800" dist="38100" dir="18900000" algn="bl"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PIVOT!$I$4:$I$9</c:f>
              <c:strCache>
                <c:ptCount val="5"/>
                <c:pt idx="0">
                  <c:v>AirPods Pro</c:v>
                </c:pt>
                <c:pt idx="1">
                  <c:v>iPhone 15</c:v>
                </c:pt>
                <c:pt idx="2">
                  <c:v>Laptop</c:v>
                </c:pt>
                <c:pt idx="3">
                  <c:v>MacBook Air</c:v>
                </c:pt>
                <c:pt idx="4">
                  <c:v>Sony Headphones</c:v>
                </c:pt>
              </c:strCache>
            </c:strRef>
          </c:cat>
          <c:val>
            <c:numRef>
              <c:f>PIVOT!$J$4:$J$9</c:f>
              <c:numCache>
                <c:formatCode>00,,"M"</c:formatCode>
                <c:ptCount val="5"/>
                <c:pt idx="0">
                  <c:v>5398413</c:v>
                </c:pt>
                <c:pt idx="1">
                  <c:v>2352917</c:v>
                </c:pt>
                <c:pt idx="2">
                  <c:v>2432276</c:v>
                </c:pt>
                <c:pt idx="3">
                  <c:v>3842259</c:v>
                </c:pt>
                <c:pt idx="4">
                  <c:v>3437668</c:v>
                </c:pt>
              </c:numCache>
            </c:numRef>
          </c:val>
          <c:extLst>
            <c:ext xmlns:c16="http://schemas.microsoft.com/office/drawing/2014/chart" uri="{C3380CC4-5D6E-409C-BE32-E72D297353CC}">
              <c16:uniqueId val="{00000000-83BA-4918-946D-B10A898DF04E}"/>
            </c:ext>
          </c:extLst>
        </c:ser>
        <c:dLbls>
          <c:dLblPos val="outEnd"/>
          <c:showLegendKey val="0"/>
          <c:showVal val="1"/>
          <c:showCatName val="0"/>
          <c:showSerName val="0"/>
          <c:showPercent val="0"/>
          <c:showBubbleSize val="0"/>
        </c:dLbls>
        <c:gapWidth val="45"/>
        <c:axId val="1589532399"/>
        <c:axId val="1589532815"/>
      </c:barChart>
      <c:catAx>
        <c:axId val="15895323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589532815"/>
        <c:crosses val="autoZero"/>
        <c:auto val="1"/>
        <c:lblAlgn val="ctr"/>
        <c:lblOffset val="100"/>
        <c:noMultiLvlLbl val="0"/>
      </c:catAx>
      <c:valAx>
        <c:axId val="1589532815"/>
        <c:scaling>
          <c:orientation val="minMax"/>
        </c:scaling>
        <c:delete val="0"/>
        <c:axPos val="b"/>
        <c:numFmt formatCode="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5895323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umDim>
    </cx:data>
  </cx:chartData>
  <cx:chart>
    <cx:title pos="t" align="ctr" overlay="0"/>
    <cx:plotArea>
      <cx:plotAreaRegion>
        <cx:series layoutId="regionMap" uniqueId="{0A754FF3-821D-442A-9880-2C00D8F982FC}">
          <cx:tx>
            <cx:txData>
              <cx:f>_xlchart.v5.2</cx:f>
              <cx:v>SALES</cx:v>
            </cx:txData>
          </cx:tx>
          <cx:dataId val="0"/>
          <cx:layoutPr>
            <cx:geography cultureLanguage="en-US" cultureRegion="IN" attribution="Powered by Bing">
              <cx:geoCache provider="{E9337A44-BEBE-4D9F-B70C-5C5E7DAFC167}">
                <cx:binary>1HrZct04tuWvZPi54QQIggAqKm/EBckz6GiWLFt+YciWzBEjZ359b2dmZdtOl7Nu9O2OunqwrMND
YgN7Wmtt/v3j8reP3ctT+GnRnen/9nH55VU1DO5vP//cf6xe9FP/Wtcfg+3tp+H1R6t/tp8+1R9f
fn4OT3Ntyp8jTOKfP1ZPYXhZXv3H3+Fp5Ys9tx+fhtqam/ElrLcv/dgN/Q+ufffST0/PujZZ3Q+h
/jiQX15lL11Vv/rpxQz1sN6v7uWXV1995dVPP3/7oD8t+lMHdg3jM9wbiddJTKnESYJ//SGvfuqs
KX+/zPlrQljMBSPy15/kH0tfPmm4/S+t+dWWp+fn8NL3sJdff/9x21eGw6fnr376aEczfD6tEg7u
l1dH81w/vfqp7m3624XUfrb6ePnrNn/++pz/4+/ffAAb/+aTL1zx7Sn91aU/eeL+6v4/weIfe+L/
4fr7sQlPw18Z8PUR/TAUoteJjBLC4+i7oUBeM8lxAvHw3VAAc57+wp7vB8MfN34TDvuzf+tw+H6k
fhkNX33jv5qX0WvKIpEQ+tthS/F1XsrXNKFU4Jj+5iv+jzj4LS9/z5t/bs33XfH7bV8Z/u+dhKen
YJ6GpxaKxJeb/SqU/otHT+LXnOA4iv9JHiSvScIlYVA1f/2h/1j6t6P/lyz6/vF/cetXG/jl1ek/
/61z4StroUldPEErfOqrIfx3+kW+jlmEBWXyu/UJ/IKFpFH8e8awr/3yL9r0fc98dfNXu4XNHv5H
+eb+SdfdT5dPz+M/zuf/HkUQ8hqThGAsvilT4nWMOY4w+6Y+/WtGfN8XX977jSvuARf8Dype9y/d
kymfzH9nkvDXAuOESfKNJ+RrjKWIJfs9PeDybwXzt6r1L5nyT/zxf3bxrTv2/3/d8c/B1h+4J4Nm
kf+Knb/Aez+++uuuAc5/c+uP+s1vJ3t8/uUVl5hGNPqiBX1+zFdH/wf++c5dL0/9AA+JX8c8oTJO
oOlEmBJ43vzy+UoiXhPJMMURiWIc0Th+9ZOxYagA2X9uYxGjMuERwHeWwE29HX+9hAHVc0APJI4i
QiSJ/+As17ZbS2v+OJHf//7JjPra1mbof3kFS7jfvvXrBmMMKwiJicSSRJxwDNc/Pt0CLYIvk/8l
o3pK+m7h+cCqrlLbtq5vqyhZfsPwv+HT7ywDTOObZUQSRzxKJE8i2Nc3y/QJTpq5NEmexO30fsJI
7ASmZVDT0E77UrsJovEPbvSdBT9nzJ9WTBiPIaGwpER8tujLjemtFWNbJDkni9TKadxV6YgqPSvD
qcl0ous7MfLmMBTidpyxRMpLvb03KyV77GVz1icVPSN+ivJoG5szuXbzhS637Zwsrbv4C3uhwf3J
XnB5zBh0SI75Z0d9YW/DUbvOi+F5W1j9PE9rm/acwL+tNDJrUCHUXPJkVrWwz8Hi7XlcxPywlo3b
s9HGn8pxbN8Yuwxn5bLZTz82L/pznIiEU4o5AcIJMQnx+KV5XHrsGrkm+UhcfFFvpF3Smlma8X6u
TmuzcKsMcfbUDXTJMcLlYSijJQebxaFaYv42Wkt9tS7ViRB3xBW6WUrCtCqmUVQq8VP7SONE7Kci
DtedjeyHsSTtXq/e3f54L7H8zlELDikUURoL+P31XkS9zXgYKcvd2FXnKwsinZclKrPFiepsDvXY
pppiliPbz88mmW2hOm1kq4we2GFJJLoZl2V4TOKJIkWIOdctYu8W0u76nl3wUEeZ4fWU8g6VV4aO
03GwVZWHsnl0zFeqLtg7yQZ6OaAxNWa9Ems9Hdya6GMbuuSSaOPPY1RsTkXVzIyKalLsKm0S1XDO
83EVsYq6mV4Eh6tnkYRyU2Sk7sQSv10MjaalqqAanYLG86qaCMkhs9vSvPvxWf6auF/XD8ExZTHl
hBKaJN+kmeO6b1m/spwUVF9Z3JqdbWZ8LiKx55R8Qs28XI1rvfSpXkSlD2Po5k+J78KH2Pnhwpfz
pFXkI36cbddlHPk5UcZwkqKCumtb2f4wTX25nEqn12c5zuRudIU9yW5B7whty3O3JWWZdq7Gai3x
ci7asdkNY4L/InCgsv4pRyEzP7cEEVMGqfB14DiB3cQ/J0Hf+umy1NFYfD7a+OigrF+jNZE7T0ik
CtJtN8GL8kQdw7OKhXAHssXiDevZ+hLmEn/8sR++U18F1HIRgQcSLJLP1eWL6tGVq546NrN8FhFL
abCfqmk9xkO7ZHyZgKv/qLZ+5xgAi0QRIHkqCJT0rxez0B9msQ4sX9eev8N2tZ+zuLn68SrfKYhf
rfJNlnaiqZOeBpa3tK5fMKh75+tokFPxYNbdj9f6TkUQUkKPho4qaBx9c3wQko1zkWe5YTQ6UaS3
5y3xyXkcKL6Nlh7KrrGztAoIvbmWpgjZjw34zpHKmMcStDoGIC/+9kjRzJyvGMu7gU8PZPaxWoqN
/0UXjj4/5stsZYIAcGBMQAkHMsbJ156LoOSKtWuSfGLh1vVRmWq87pt6uln0vZX11WJoSpf5eZnX
dKw6dLWRrlDQT0TW0HnN5Dj26VDF9ibp3bzn5TAottz2kfNpu1Y4d3XZKTxWRxcv0aqo3EKmZ//S
lHX64yP7Nj6YECyOoVfGBHgjpsDkvwz5Ld5aPyaB5x7aTlqMtVDJOpXZllj0F97507GBwvq58ZEE
AAxh4pvwqLYi6viIZM67pDwr1hYdON6mUxlMt6N9MR7gqOVfLApQ8NusToB6YQ5wCSorZwDPvt7i
HA0s0mQu8qmb71nd2pyWIuxlsczvqLc6UWTpb1FZH0M5P3Jpmh2f1+ipKSOiBlydAPuolQuuaJFc
987hDIqb39fB7bvBONUX9WMR9Y92Ivsaz1YJ0faq10WkfDdYxeflyNopVoH3+Foms0u97pSs16pU
iHVI1XjFu0AKdiFssWRlwOcuQt2OL3OlZBEhRZ2+GX0llfGlgwS6XXmbQtE/trG4K6Udr7bkKXbb
s8Fbf2U2zTLDWPmut2i8Qr6JdnPTl1mxNURpL7QKPW/2XZ0YDH93zeO6IZItY22qVC799Bx1Muzj
KpaN0gONH5c6EjuJ9b1z03UQ+xH2WTcl+VjULOSs0EbVqNTvOWP1poaOhR3zbZubWrrD0jGdRmvQ
l7Fv2muyJMWoosYPOWli6LlhjF562ooLrXm/q0lJsqJu5yKVZCrybU64zgroUu/b3sx53ZvFqGZN
XZfcMVfbbPBUl8qMY9ylm6/WU6BVfFNUk095veYLxbm0y8FWZttHHT0Uyf04tWpd4mxYI/lpnel5
O4/3fhpfGkCXD3Vk2x3djM6lmN7qyp/1eul3/ThMF0XkyYNvGnoztYEJtTqr4Vkd6pXcpJLU32i5
PSzlKC6mlseHwYWgqrFEnWrFkqQEDdNVWLZlT7aOXQ+T0M+mB7eNAdROVVTlJzENcl9uRX/AXrib
vhPknfGuezvXdG+awQ67ulnEtbXa3aC2G4NaSlyxVEd+zfpmWt905Tbc0GId37iokalHYb1HVeH2
zqL2EjlfHrYloNsWgNbl2PgqbUDFyIjXHFZO3GWxoTFv5wXnYyzIEypIONrEsssoOJ9V4L3D1ujh
phq7D2Hi64fm8w5nzNA+FNM1LuP9Zu8xISQVer3yxXpRIN7vG9zMR0ta+7EoSHVvMYSkp2MNAFyQ
TPiWnCHebdkw+CHb5NYpu5Tshvu5umy93TLsVpLaNZhPAvfLDk3xeqZd0FeGiZfKs0eDcSFVT6wr
VIjq5S3vuT3E5YzUusoOMN1C1dhX21HMjVFjKN8G1791ch4bNTASPnSWDA+laJODll7vJV1t7goT
pcB8+vOgA8uCDMmhCa7bBSTKnFEwiuDEPMTBoIsarMocKeDLrbmFCrscvPbzkQw0yeFb5T7i83nR
Ty+UlafOLonqG5kYZTBd0qau4AuorO6mRYp8Wia0a6kQV0Xv2pxYJO7ouH7oBbO3XZiTKzZCVYAc
3LKY1tOx0+x6c5jejJUGn0SjNVnVz+NZTPoZkmqodpWc53SUNF0i6855M1WqpUmtyrVqUlZs1ZuB
VhY+c9sJYw8btL5PVwbVkcX9Cg3Ca8VI1Tz1oxnPp5LNl/VWdDdstfPFwJDOkQtDVnXNnsX1o690
vyuTxmQx6jzU1ZC1k5yyBenm0raGqhUt0Uc6N6OahW8yLyuc1W3pryOkZakKoHbJjur4gRaeQQ0s
m5BXlckIb6/QgMfbslhPRE/pSPvj1jb3Rdsa2LFrbyheSNqtdfSMt6W7dVMDSF/MW7xv+ogLFTbT
ZEtIrkKUxJlx1XbwC70jxZIyE0dqHItJcT7uzebGXIbog5n8qSIs6+L2g6njRNVmivezS6J9QPjO
ti7rq2W6MGwqzufRNl4x7Pp3w6ZJ5vxsivcl0LNJVYXmu7VZB2DXWzgNZCjTSNN86dvyctx6kQ7R
TNJqpluUcru0CvkwpmMtDVKsN/EukXGd2rk4A9hh97Zp2pOlaLpGpPa7GhtzXlnrzljS29s48TdV
S1ZlO4me6jjYpy3gdk8KXj8URsT5sMT1eV0E+g6stnk/tuzSTHW3l4vY9lXiqidJUHPmBR4VT6Bz
hmj1kBdOHqZ6HFM3NEAHu1VkfWn10VFWQ+lnPmtDiy+62Y27wUPxbupwE8intgIdQSVo7e/FwE3a
k8pdR3O33iZlK04udOuJb7w5wRxozeNuKN6aTa7vxq51qYw6cruU3u8Ni6EXVlGzj8NQvxeWbamL
e7+bvODvXInxsa6kPWtoCe22Wq9x0lbZ0tLyGpSdIcew2/O5XNlpmHp2XtCR5VUx4fsIV/VNVw/0
GPpZnMeyHHMsm/Ji0gL+18vp0vPm2Wnf3FdM47SOS3yAEM392H8QmlU70wFeVDx8ri6yqkirOge4
f+PJeuxjmlMUztx4xXCd6z4xV3NXe1W6RQwpcUmRo1HwC+oTeztsNXtmtdfveGRYilD8sBYxy2yF
of35YdqzeQpSDdvQ7HEsjUJxos+G1idQw+KwizmiWY2bPuUo+DvEphgDMO3ktOOOVUdPudvhNY5V
R7zNtlhD4BdDQC5bTBIfm3LajkbgtyIe+LWA+9W4IHRjZNNdbLV/TvqI5LgNFBBwF8ydCeMl6umB
9/EnI8JZ2W7lNWtlki3r1GblXDXHicI5l7xmqafrrECOuuhLl09lkQJQK3ah0LMDgWCt8gkReTUT
OV4NQ1++AYqZEGW6muxkbJJK8X4KlzGVxQMPnNxqPeCLaJjdGS3L5WJZlv65ZzXWavJVdT8bMAbh
mL3QBcuPoq7MWVvXTR5VcB8pBMpCYgJRNYC+XcEaOimoC+tTJHt+rqd+Raqk1uRBcnPrDDfHyjfT
SzcvyagaityprMS0762jTnFSkzeoAEzSVK0UmWXQryeQf6zSSYH38exiaJWjL+5jR0ZwficBRs66
3K+esg5wpk+c8lW0qbqPugfL5PIu8K0rs9B3Q1Cuqooib0ZaJcrbRl62VTvtohbNGQUytECxQeyx
9NCCuCu6xyQa+V4yhFbVzo1V86zlhey8A+NxQjXgmYbmk0O+V51H29XSgkCZDaF3V26t+otmam51
sn2IefN21PG4q6o1OgtlUR7GcXs3bhEk9KZ9ulZtOIx0s3mkJ6PE53aDI84B3YbNf5aIlszoxGeu
E+N5RAPZVcVY7ThtijONuClV0MVynKp5V2iaNbqTO+iutSJUW6361TQntNTuwSzbaSyet5jfijm6
D2J6Ir46irV8z9r+XQUzz4Mukb7xExaHHhuexljz824S7ZB1ttaZxaQPym6bvNTYhYwzuR10h0YC
UlQEOEkwcyFZGO5Q37YZsYL2KnbReNmauoxVnzD2tMxG1CmYMF77gpU3nVzuikXTg42NeVw2vFkV
ZkwPIC3NL1NTDHeb5n6/Lhblxjl+MGgthWLQ9p7HUUwgvpJClXFSqMJQt4dMFj4dgr0RZTMfJkzK
R2MHogIZRZ7Y0ixpKc+oad1N0oLgooisfTb1tTtyZuYHHGpoOkJM1Ku6ZC5N7AacFcNLN2oskvoT
3GPyLujNZX5FCTTWJFRxum09Omtn0eSA//sr3sm6ymOQWvMQSX0+xRViqk4s33VNxfeNxAOU3NjS
lNQR2pleiju0cCAMHETDN9W22kcg7PgEEoXdBxFJSO5R7lGJShUX2w1p5nSS2jwPIDruFjrgJ8jh
KF/pXBzaUWzXaMJjvnDZAQwegz1SI9AFrmjRKLyE9qKrfHEVAHzkrGpNakln92Mh6qymMTnpUrzp
JnwW6d5+2May3uPKV3fxhOzdxihKRzesN7WGctprmdxIGeH3Fevk7dhG0UXEcaHgkeXHz6XwvS5t
dTfO2jP4sCWn0LBIuQbJN3wbhnveylZm41B/hMLSXVbTvLyZ8Vo3Wc1buyO+N+/n1XjYQ9UeqlJs
591Ql5dkK/3NFBZ7ZhtHj64ch8uaaKssisq3tRuLKxeVBhIItJc5EfVJA2B7q2VNNxVG2e0B8ziX
+ylGudCLPPiJT8NnlaG+AmVwemhjUAYXtOozK6deqsTO/Q3uKw5yyhbWgwG8dkq6IXmZiY+82hpT
31AI1RsvmtVUCs1RdGQc+HHVAZs8tAFEWWXqudv5RphDZebmbd/r8OibGJOcYhgcKOs3LDMA582b
Ed67ySKxkjzWKPSKaw3ERpQan/tqqi5Rgk1OmHWHqQiTQpQ4oIFVuIY22ewC3ToKWeLLtFrF+oCI
MW9QjbpUdIJl3m0FkEMzXLZ8ueGF4BD8UzseHGwBKSec+QR/xkk6xx1Ay3YVfFYSeZh1LKVgt6gq
64yHBlBIEbVx6mXZvyEDAcEUY8B3cNl/7Fyx5NM2RVdk0gHoPQCeyyKg6YlVRfNoGDIhLwgbptSa
eK5vaVUN+85TALtoW0d/snEPlaFcb2GjIKG7sCAgVZruoamv+4Un+tBShOmDLor+0xQ1HVBrUA7N
WRTrJE6BGLD5JNc6idRWEL5m3dqGOQMkjdAVZskgTmRNujlfGHs36kUf3CbobbdReahR7VelJzsI
BQi/sZDtzIkceOZ8NfjZQynYtnFRRVvLaqfN4rLBTgBu+SZcvvZhjc5B3itwmtQMBlXCNptis0fH
xTN70VLZv6kn1qQzwomaPQeehsTyaXNy0yADx/PZhqz+wIibdr3roEWu0GFLheeJnmuut7eRiftP
FehAF3hj6Bm27h/HYu6ZEoUbzqAVQhkA38QmX0ctwiUT5XrZ20Q4Jcat201swueghpVQzyfdzdlE
uzrzhXVX9STxpcWseQ/UEugin7340DShBXUdCvdbT4Rsc0HnUzNUwqbzjIxXck7cY++lzToXF+9g
pAR5NXU1EL3a3pmpEOdFYGW7Q4J+6CIQoOa+SuMhhuEJ6Jn7ZtrO2nae4LBBAlNmQ+VtvfLufhmX
YUexK0+uEuSqZS0C4SOMgatxMv1uNdtwXLWPcofqMOQ6suEtbZLp0ED7eijbshigwldJAzsh/VnY
mvbJAlzK59kOB0jV8uTFSK5d36BEQQc0Qi0RKlA6LENh0mVZiz5jvIIuuUzbRUMIEANgwx8i5sUR
1NXyFE3LS0+ml9CjNxgogOqamhwp4UsmLI138Qwl1DIzPgRXlmdCOnnexGX9MnFd1mqz9XoJyhZ0
Bg3AWgkU8VH5mIAMGuo+3RaHXno5F07BbO1TH7G5//h5CaPiZB7k7VLFFcuTaMKt2qYaqH0C48xV
YbrGypGJpnEBm7NrARR8e2AhTDAP3OYPNXKmTSexDFdLwa+namAXA9RgBtsqsnpYelB0WjqepsFv
xzDHg4LseMTwlERFiMUZEJN2nwzr0n0uEUsW1u29GEGHK/dSx488iPkKe07f9bD1MwFtWIG+OBxh
xmVzUJfoA3SnNEaV31RTrOwSkWVOAcs0au5akXmyXVRG+5NMwpQWg3fPa7eA3KZHtC8ccF20NC6l
fh6KtDArT60YIQ8QYcceIG2pHDSrWQ0LtOShjZZ9Eja0t7jvMh0S26tyjNxlHyGzw3HgR8ujEiuo
dOTOiZB8BCmjkdnciAWnqFmOG+lvdRGqaxKBLihR3wEHHOlFUYzp0EAcrslqy1QIux7A48OcblEM
Q1cxQ8RW8mQn+W5GlD9UW5KctWtwaSs2AtKsXjIGvfdsbBJ6IaYxyQTAlXcTSZqTZlqnAA5cHi3T
nNaTtwre8Zgvllm0MWgJaM0lrWBaZ4Bf3fAVWHE8zdMpcFl/LMMGDbgrQkoZjNHaujRvdMLa+7Ic
t1uESv4A83oLlKgudKHi0dNclNimXdIQmsVmEA8C1R1osF10N6xGAp+tixQokDuSre93Dl5TTMMc
mrT37WTS2ECoyHjR9X4GLLmHNt1gVXM8p6hlRZXJKi4Bbq3TeyijfgD6yxq5k3YGaF9s9XCEKbTY
0rX3Tu/6mo+3AxH40AG8t1BNhZ+BdkV1qSSb0U3drc2lt7Y4E14P+8qGLptnlpwvsfGHuSVmJ/zW
ZGzqgQP1XZKFonHX9WKve03pG7IUyoTofW2TJ9lJpphNlloB4vN5Um26z0xI0mHtLpKxYIeyrPCt
s4ym3lBxpte5u6j79t5UMlKkm6pPnkTkjoc4vh9bWxxrgCA58tNdEc0tFOlkvp31jA9jx9rLBTop
vHlh8r5sxtsCbeVdsmm9h7fBk12kQWUGQZdezCYe9yxxw27srVEwDHkcRcAnXHZovxT6OHWB78cY
wqiphk8DsJXndcMpdWhJx3UM6cI2riaYfLW100cc2S73wbR7XvWgDRV8sBDhtMw3ulX3wzjuNpjH
Um/AxzDryvHaf4x7vZ3KeaZXYhwCU6GNsVMIKqkB/WkfF3jc2RYjr9wQiTxiV555oGJD66Y0sH7c
NSt3lRpgtOxy7LuTCPC2iEO5bMzlVKPxUUv2PApU7ke0kONqBvi26JKbEYfU9sl5tA0H5IDf2aGM
T8FXV6D9Wpgd6L2tmhuLGP5QuW2G0gR0OJr1AnL+tJ5AAHvTyhhkBcxTGDykUV2D2DeN7khDfSpN
EwOXWLpnOhR12tLwftvKc0KAVSh4T92WikSlVjDbj6AdILZzDCjQxuojj9beKSu9dmowMMkC6MFP
DC1tGjYgyEm3cmUpM7kgugGREugEvGq/vDdCJic9tXFGbQKkfVx2JdTcDPOynbKuZh+sNvFd4ksz
5mUVVUHNKEp28doMh25dXQxai63OGKrbZE81YY9hIqh8KuADSM/gEuC9ktzTmNfAtSZQ29p1ylvI
W5cCl843IVa5gwEFSBmhXm8KFBd33tFR1aO0cs9FdJSMZqXw0ZlnUQ0DzGme18PEt/qp4AV0Rd5A
SIWa2OYe1VsDI0dCK/lU1gUUYniDlqfYV6g4JTXwk7RsEzI/Stm0N7LkjB5hnN106TrCfAQGtM15
x6Yt3dplSWcfgSaaDLUaS+iH/5u5L1uSE+e6faGjDgRCgps/4kBmklnzZLvsG8LtQQxiFGLQ0/8r
3f25y3SX/TVxLs6NI8ouCxDa0t57DXAHEAL205B3UdnnD8U0lo9mYNhtsW/UiVdY9DSntPbBA8m5
eN/WynxcGtf/XIqyjHoWmiqaQuTNGnVd7DazOlg7uHHQLXQ4Fj6Oe+XgVaMYHFEtpi3YJQHpn9Eo
7veFO/WAMAdxIbiPHj4REWODj91K3XCnmVH/drde4Z501X7MHNXjRqdbH+c7qFa3HpGXuhjII6PT
4kRM1vLeR0JyjRWXvU+7okNF3EWTls6VWOjn3p/NTi5ue1RjlwNdWrqoKsJkrMIPoxwf/G5+Zqme
hwiBi4i3XneaS1wrkEPC6r65CUFdjnmPhV7laDZK3z2TbKh5wNld44Qs0SUrVFvtUQagUh0Im2Wk
7Fh9saOv4p55Okbac6rrzIsGkaJmYqMDlgkHKtWGenoMm3p4I01rozn30KRWfndTgMDgqPJaeyTd
01nQHQ0yNCl0k6bPqBcqZw9WWrcTpWdPY+MNH3Ja6Cru+TJf2kE7Mh79skDimwMW7gYcupWR2PKy
OEC/YClkeFwcanYOSh0X+0/V3Diq9h+7KaRItNA/zR0CcMQv3mtJaLKM2HHRW52v88bvd2462+dF
oGqrYkBZ6GxwLJZb3lfP00S9e2lpKg968JYPrZOXR4Ps+JqFA39eOkvR/AKsh5TI+nFTLKFzPSvi
dJEQmAbwwUiRVFqmtx5aQ59Qm6IKsUV6k4+yRqMC84eZJJmg+9Sn6g1KuHyn+z4pFzeeKupcspAA
L9Bj+aYaumNv2ungV9PbQVcdZlC+AYCctDQQRwUsaW9sr2NnWfps5/c+etwFufUkIEXsK/mboREK
jJEWlcmIhRYp7vRfa5vftJ0oI5YviXD7XT2pZs/LCUc2GvmxDXJ04LN2n7neuNNg2piIua08hEvl
osYHG4bvmJ//7hrXb0FqbKdjhfrz2alD9FY5605+4Xaf6xL92N3sYoFMeZ/mUdWF46PyqTvHHR3K
Y5mWqBqsFVciC6o37sx1nxg068LYYdLivkQXjTWX91lX3gzCILMY2/wCyAkgB7dSx7kPVbXrHdN0
Easm+2DnvD6CeDbpnZsF7jEoHaXAtzCAE5aieC6wK36ytKdxDXLNI2/TEX3iuc0vfcuwhflivBtK
wGajm6KQa1xyqXK3RcnUNezUuyOrY+5P5c2EPOZiXFI5AEJrGdC0bF50ZFWDYB8cl+2mAVMeE9e8
LbXNUH/YYJ/zsU+mgBZI69wTFy2OwSnzE18jg4pQlLrXqOCaKOuBKo67rrP3dftZFzn50pQziXth
yFV5zngn6+YP4Os1N144mripVHFXWMuPCCXvLkQ76C3LXLEPQuLvgtHWqPf8IXKtdmO/bOaYFQX2
rdotr8BzYkjLRuTOaTddYsed4xG53MFgl064VwL3b/ozMtal9J1Cu+EiBQq0a8sw29W5xx+MDfPr
kjb+JxoKkUbo6uHwKIvZ2xnmkyibSBGrzEw79JC8nZNRE7UlGZ77PPMfKdbnfdZSLCXpDeg72ObB
B1UraoBDxTh59K7AJosG1chOTueU6KaUS74LSr96zKu2TIzmw7suxV7XOB4A/akGsy1anAJPXBGT
jbGqKZAlKQa9F032CWIa970/Bvnt4upuBziRxC6IilFTeH4ciHCMXUdyzJRq4qL2lsuMBDhyZDPi
7UxNF3wkE3lfB8sXOQrv2g+9OywodOvRTYorNRR3GaGV2UG5da4cWFbNN6EFdJ20qHpN0mDzzOKs
1+MRy7pD+uihZTpVQXaiRS7fiM7Ry/kgGp1dE6pljglmFpQBG17VI02Pvqj6T66cIg8991R4w21H
quVUO7OIy5KMfTxMBegz2ZCn9xLNokesrvxdWbf0eXI9teNCy70kvjykTWpved2ouBMG9WW6jICd
FXWewboc3pTWRWMqqDq0wy0NTlnvdjFoY/JLKG2wa1On3IfcLo9d2LVXdVVXB5wWas9Fry/q2WlR
jzqjC/iFfquSTTx7dXdJClRfrlTqwl8kPZEhHPT5DPFiq4LloNlob9BoGU42K8nHUkr+1tNItGsU
SUdNMo0+rMiSOS/yAx34Xrmz+UzCzj3lk5vSSLgTV3FG86vUTvMdVqRCSs369w0fi09eqNBLz6R9
FMIdp2hBvdPuFsDHYDDs0DWOwG/EnyW6JE+LTEMTA9wI5tgZB/1I50rfsLLp/BsnqMeLYaE1uEtk
MnsftdaxyzMg6LZ07hYvC1BJ8ooeQ5qpfcsHcFRoi65eWIindPTcm6xtkIhQgaaNcifEM0KvlRog
ZmDVm6yvQCEhoFBZ3VyThrwRNfnigdr5VLWke2gMSw+kmfNzVtuMMcvztw7px9vFSPHkzeX4QJax
2RXF/YRW68FlhXkuG67vfOrNzyTNhn0BIsql1+RBbERqnrGtPPNSedcLOecHU1XeeCVzL2ulnUTJ
rLqTQ17GqT+Wn8cx1Yducp24r8YcpYqD3QEEqyNqw1zGXesOWQz6h39SQnfJ2Af2fSW7fomGxbqf
Ko8gH9OtQyKFPPmyyH25qxlHX5bV1U5zYWPZGjfu2JkaUZsAW5NsT1XL0ffhQ9J7wly0U9rEGaf0
2Q9Vg70Wd1VFXV7RezRb88vRDt4BPdsCo4r50LROeZJGeXet6PS+CkO6I1kdXBqKlkZRf53Qr+Ez
zgyVmjlBGh320eKxLkqLzIlTXdTHjqNrzAP5Psiyz2ApfQnQbY0lUOw8pYdZgKLWaV4kbdd8KXnZ
RCEnSZ33KqqWEpvfwnZZNV7JXl5Nonk7G2w7sxW7WQEYInRxgBtne4RsbCjbjbmgJzW2j4umRzCG
YuGM2XEpahX7Uw4GAlChIZpmAFmBQbun0k4kXXK0TnehPHY0xXLFOnS/FyjaHtDqYkcdzMWBDRJ8
5NZCggt0v/gg2qU/ECGL60Dk5aML/OvJr1ExNjZHK7xqaPJ/bOMgbwR0vxflID+SLGPXKIGdgw1k
mdQ612++kfP+1Gj8yb//Q2fwqcEFcpn9KY/+/uP/PDXgDFbfRLx//eVZXf3XT8mX5qxg0etfOl/n
+2/hMn9e96y++OGHv4lBXpF7/KHffuUf/zstiEvPpMzvNNm/CUH+r9Yfq//Ics7aij/+wx8akJBD
YuW5YeCAww79IQcB9Q8NSBD+BhAOY3PGIFv89i//0YCI3yDOQEEpOP4zeKmgB/5HA8J+o27oh8CI
wUoD95r+Gw0IP0tQXvBCQbOFRgJXoqEbgk7p0RXBscnEBEY+wO40s80E5IlkdG9A6QYW3xhTx0Fj
1V2Qpxk4dtjr6niUyyCArxdtFWfgrOqo9x3R7yxwvANgdutHXgVdwnEmJs2TZmHkGKCE20PSwr6g
bPOmiIAjf8F8ZRSaeYGKWTjmJxCM9oVf6zuW1+59qCm/ke7CQQ8j9dXshvkJifp8bVz2GLBWx5jB
JXFa2u+axh2uCy0OOmiRfUzF3ufeBZCYWLTG7Gw/2RgMUZDphxZ4Sh80B7GU4B2Vxt17vlnipguv
UxQfNyPRMmE2+1DTPL9cXAX6Kxl5bMGaOKB/9LkNQbOeRv2prsogKVuQTwftW/S20uWEDG+4t+jy
AZIHOz/EvgMKD5rYNR0+ipkEyHad/lCYFhlniGsGOf+SjoLeDN382RrjH5x5QRFQkBveIZAL+3sI
JJhIbzdU6bu58y6HTl2hggcJ0FxUDOzNzAGOJTryiTUBkObZ+6xUm2jWFFHJF3SsliZ2J+9JhtkY
NXlh936Zpztgfk3U0eId8Ip5PwjxzAvnqugpOp9iN+mpj3Mzd/tQdsEuMGS8RJ7eg7BPL6qqWZIl
Z8lMwL6Cf8Jd2bcAjuysqz2TlXsELeD3ZSLfOrbOvfW4ixPOd2PVM/Oh0m4FNg8f5Sc3BTScFTNG
MB62XDqxT32PRrEyXXBbVVJcejNfvvbhANYGQ9EaAXa3l8iqp6s+K28d2uZfWT81ICG3XkTP+Csg
UdCMcjV8bkugUSQgD7QLL0ozVDFomqWKLOm9WzcFFLuo4K5sBLI+bh+CrLkvhQMUdxJ3tsqnkw9E
5DLvBt5ETpm6d+HYdLvcXz4pv5gPAVEfKmg8rrXgJ+Iq66AS0eUD8m0fbIWuuJwdgOAdDw4e6q59
PXs2BiSzXA6luKWE+Q+D1JpeIQ0H3dHJatrt6oXkXlyxsgLpqFImj4HHSbIHUoycthjxsGfIBnFX
cBNOMTd5pfbMppWTlHnB8cCkcB/6IABrsPAqPeJAAqK+U9w6TmzGzimiFhCz3GsBisHO2iznsaBN
KnapSpEWyYKyPjKkzuaolv0orwjLq+FoaNgOceaWGrBXyfL2HSmLHj05UgeD3ZVVAMaHcJogdkdk
Wjd+VgzLMajLfrlMu0xNh2D2FY1k3ffBI2iffnMqwSVuvrZlbkNctwgRATpT6Dq5pODRkqY1A7If
gq24hOBmxXJ0/CbJPL4g//chGdkPrpNnYFiQQH9u3DGrgJUHYOlRyBMyMIxC/4PjyuVdPSFiwqFI
73rZB8uuSEE2A3N8zpojurzKidyRVKgYixlZjt8o6aPpoTBZoiRRP7K9wW28KQsHETIECIUclWJZ
1NWjLuTwZUpRde7ybJrAiAfWU97xpqiKgzWsDvYVOFryBkg+3j5b2iyR4+wOezdFbhg7PLAeElrS
oh1h0G448a4f1KeuJyY/hKLsShDsghSUjZHaj3UokLDMJnsIa+vsfcVxQdOWuwFUQjxomwlzWtIZ
7d5unCPV2AtOXPdDyfPsug7Z8HFCkQ2+VDZ316YBGTLKAlucqpnbj4FPYj/TLHK4fioG8ZQN83NQ
F/NO10CSAn/qDrbM1L1XUGx7ueQHWdfDIxOiOUCvE7yXbocWsTcw+4FCrTahA3+u+uu3Kel3bVjv
CMi+UdWPwyXHuH3EBwddR2yhIIdfDYC6vCQkKWZ0BP065nIiTaQC0t0uvaJ7ks2pSeSEfvWuEUhu
9m5dq+kSu/bbcWCzOPCsGx6LSijvIVXdmB6UEAGI4ppfaiCxRbT0gzM/+CoHSUaxTu5GdMCyRyVo
9plwRf0IeZrOdkHP8qceTbMRzEc79BcWDTJ7yMZco0Uus4jm5XIE3/j3OSsAGXGsZQrwnwNuka09
s32KuAc1/W4YlvyWkRrNMm+erwPP3C8A7k8pcM77gKMJr5UF9G8dcUUgcHqvZ7+9b4kT5tG4hOGT
tmq5X9K+Undj2DS/157vHw0gwVM6VgJwuwmqjzzN6T3RSICFO4S381AB5h5oEfwu3cC8U6jyu11f
+zmPes+kqAoGL/gaKNtdtYuZvoJ9Ppk4D9GIetKkExAikqWPXY9DwybAelZf87PkLC5I5tyU48gf
mobydxVaBkk+5q4Apw04/RWtuxm7AthvBG2mp0Z2rYw1mlZfQF1tvo6CTM9oXRhA8ywLd9yv+iai
xYB+aI6u6i1pcu9aKk2qa3Am2RNQjq66qts5QCOKNozvJdjKxT50suBZNBJYVqHDOSmgD3MvOC3Z
5wZlFUhEbvDkNLW6qvMhB7FlSMUb1VP/gzU4QQBYY5MU1SKf+Uice3emKCMV8MrrZkE7LXAFP6ZT
6O2p9Ollhgr7NDK3HMFpAm/Fh3iUYI9o+vIQ9D04Y5YsoN6S0Oo3c0bJTVqDigScVaMe51LZ/roi
OdotVlb1hF2yU0vUO2EdG8cuap9BenGhh9m4B+t52r/vi1E9o0GJRddI6Y37CsWSh55oKCBLrUEf
OQWpGdITAU2pPzrMwfnXyYDX96PvkuXW52nm3hMgQUs0N8UwHiCuA2CuPbG0uzbDowN3U7JE66Wc
PGhMaTklsg99eZXXhC/xWE/jPXVRH15Aq+E7V1NR2Ap8UtIGcQt+LlQKrQCzhizAwrrcb9+mlR/P
lV/HhSqgYwwhZahLhDyAzjCeKB+vS0GDZBq68An8Mn5fIHOBIinFvs/nLj8SZr1j6AOdbt3cPeI8
q27BlKmgttEQirIMHDyUyWqHvoS90ikDeaFGA/sy99B4hcaiaycsiLH/NKMRVEfzAhzFeM6NXiYQ
qPr0wUHAx73O0/3AHdAUVTs+BxRUlurc0Cl0N8QlyBSgybRcPjFfZhL0ZpwOYHoAUl4CdE/6pgnK
BOLuIjxycN7xWsGR9WLUnWy4c13l3AYa/SZFMu8Nm4a5g3iFoBff8BLbcjVwXu7aoqhOJEi9Nwsd
QRVrlkXIfbgY8zh7xQQkbwnKC/An5Wccc9gs037y52icAB0fVe6gZ4/642NLq/ByYY66s6y56yD/
SXRuaKTCVkV9bf2rpm+DXW38yw78sH3tDk+S5yV4onV6ORHffsSBUTxK4arPrYEquys72h3AgyhP
dOjTOkIp032W6ItHTeOnJ6mcCVBHhQOqnTMBZkPeF+DRapTjoOSCaZ17OAiSaUbafu1nEIdogMUh
Ct/Z3pZM93E3LM2nVi+fAH2WXgxaUnVuCoKmcTCeCtMdVRVoBS+Ksz/r09d173+veM7SqxeCSW82
tdM0w3xijQKM7fm6v6gVKZ7+/WWgFQ0hfufoSvkr3ftoqxoACplOYkb5HRVSFnG3oKPxi8f5Ue1+
fpzz+4VEzXNQEeLHHx+HhsQdgtA3J2tq87E4n/B8sKgI5BJA9z6TMv+iRptVUE9WbvCLq7s/CtX+
uLyALpyF0FWHfP2Y+SRLSCa84cT6vD1k50TADSoAnufkYJy0ug86rzuUDVvel0sDnRiyidEJnyyy
C/YtzaByp86JR82R99v5DoLy5sS9bm4vHEcOoMvZQQCynnJ1C+wFW1UjLPogBUgDkR/C6+t77f4P
y+PvD4RK2IHUFxMLUa2/Ep9aj2VCNYCYba51EXWgXrTR2OQTJEV8DHHGSxV4p397Uc/hDqM0QGbK
4db140vs01SysQwhAcmlvfKEh1x6eO/08iIXSwcfkp894Y/yyfMrw8WoE+IBMRJj55bAiwCQYJHV
KqiG02Rzsvd79/NckkPlzMMvnupHaeu3C2FZ+lBNCjQ5IBX/8UKgpkKf2eX1KTeVO9xC1ZLi4Kyp
b44/fyL695cGdyGGKhJp4tm1ZvXSZJmzAsC+Og2M8ssMrJ0deoGZvEL3wzO7ErpunYQ2R53XZpO+
hW7OY3cB9dHsRMpnvmV/oF1J8MRNaoFUnfPD/luu+PNb/ducAKjC0grR2MG0+GsHAkmYBP05yKH7
yBxxakHKuJubGcXSv76Oh7CHpcS5kwR9849zz7tMd+AKAQxOUQzsemgv8p1M0cD/dp3/1+2+6/+4
MK77fS/bff/z/19T8AdXopc9Pmy6L17I33qCPxi5nXuC337/z5ag+A2RLhAY65bgH7YwFM1COIEE
Z8eY77YwnvjNQRT5WDgcPACs9u8tQf4b2oQ4aQLhooXHQY77Ny3BHxcowUkiGDqL4aoRqNM5bUDs
4seM7kL/Vo//yjrgr3FXC3Grzcxrt73SghffzVOyvuv7B3RxHPn0X9ig/LjD/HX7q80StjB/msmg
7aft/TnNAqnFK3waIdmu3Ih53ZAeXqyVfziDXnuYler7L6+cGdiZF6GnDJ+cZuHBh5+P/6Oq/a+H
WeUKKysXimZb9Tg5gA2ulmCo54SAgNUD8vi18Qp2m7/cB75fMDi7L7w4av6yzRhVKOaLJjPgXDIN
+v7+5090HuifLrDa+P8ydJlKLaYLvnipG7eldrMrv8wK95qacwuw0x2IppGjGFJatEvH/lcn0Hnq
/ukGzlP98gm/u6AYKaGS+o/5SVt6HVgsf3icmEWQq2ZC53FvXNQMgIxk4Fa/SFxeWTRru6N/MAAR
QJl+8XyvDb7aFTYafrw2+vnvX0zePxl91ODBmV/4Rbw2/GpvaLZZa7w2+mpn+Ms5ZGiItXsgJ2O/
423TiI23v9oN3O+WHXPDQKZZOJ9Z1HUIpd3Pg+e1J1htB26xkLrRLdruzSL4HbDAbHhbDQP5uml8
sYp+DbWtM81+AEk9rfaLZARSp7xE4ffz8X9MaL/vLuusL2xKpoy7pAm05bY6ADBvx72aFgphRJ6x
cONlViHusSYNppaIBAovF7RZ3tQOiPBUzfs2H6Z5W6iJ8wn0Ihg6KFJSb66CpHVL+4SWeXZbCx4+
bZurVSBP5RxQ2ByEUOjP+V7pXnhXki1N9670Azh6/fwqr6yotZVZFsi2DEQbJL1iy4lU1rkNJQWM
vm1478cpatJ8cTA5PDECtKfIKWb2nltQ7LcNv4poM4pGBHDcTkaFNzAoCTDLEJSe24ZfxbMBCLOA
9R4kDHRBvIMlgEpKQ0ZnN15gFc8lyGNdCLZzEtKqq08thWJy3xfCTnebnuCMZb9comBNe5qSGbps
neVvRaD13ZxLiK9+PvwruRZfHeZVOE5+AR5MUindpQ/Abzvz1uts6FyAgxmKe1ggevz084u9slT5
KqrF0sNdHaUkKF5syI+D9eYwysozx3/bBVbxPOdLB4YgCP6lli0DxxiYWFQY9El+cYHztPxD6rF2
/oL/n3QqyFwSMEuh+C2kB85ZRezIL+SQVuV+BnxeP6sq8D6YWk71L2aOvpLz8POUvtip1CxTAdkt
9l0VqPYC9IEUomgLgmG+D0Bkg5CkHgo7xjmsF6pDOVspdhySquZxdAb+q+r/tTe42g2WlBMRlCRN
AH+YnZdPoNMA8vnFYgSh4p+n1/3xKf1xmHNIRsPEc2wP5RNNxwGsbmvVsQ3RPb+VugJwSdhUHZkN
av9m9tBZgbQ2CIrnoHR9/xe38tqDrjYOYG9+20yA21uRai/mNvzSzjNQxm0LdbVtqN7jdJkLAROQ
Fq3/gYIfC0BFft40vL/aNAzteVAUMNaRQG/e+zhKb7QDp5Vto6/2jM6DCoQQESa+QiUD+lUAvMXk
/aK3RdnZEfnlYtdQz/nuDPOoYZlS9xSwvnd+n8F/7XeQdzjwvsxNC6Ul3Ifkp7Y6M3a3Pdlq//Am
NOlKt+cJD9IKDNzOBeq+GEY2Hhf+KiWw323UTOfT/X/roPbKol03/3gaOnXRzTbRBvoGW0M1zfu2
+MUe9Nroq9hHezMjM46GpHBzSIkBce5S8L83LqpV6KPqaQKaN/DdQt0YgQD9rpbsV1nra7e+imbK
25rNMLpKpFiGa7PUsFBRXUaLjetmFc5ZYYbWg6gzIWkVniB0LXepF7Bk06r85rD6Yu/32tFvhxKj
D6nL4skTZ9M4+iuHv1fmhq2iOahdG4wCr5UM8KyAjHWMoD9l2/bRM6vvZSgXINo6U6pt0tFcHXR4
BuN9Zg8/n5lz2PzDccxW8VqnfmYtJVMCMO0LHB3hYgIXzrZOhknwjU+wClkPfPW6KNMp8WBr8RAO
TbGnrCl/4b/52uyf//7Fu4UtoMcmy6ekYT4/nUGlHTwSNm43bBWyFFymFCQTMDe0Ype5qsR1O6uN
t76KWBzUMM6i3pDAQial0C26kMZmM+ySfv5yX5uaVdD6qdQlrA6gfa/z+QJM2uHKpKnaGFSrkIUN
NxmpKYZDb+SkH73JCdQtfEaghtx0+97qDC4p5MdyhCkzDP5sXLb++wV6ul8s/FfmZg1p+AWBn2OQ
jvtOZTTytIGFZBiajbe+ClqvLZibFsGImSfvexghQi89p9te65ln+3LFl3AvI0TzP2+dwYwY0ivY
IG2b9XW0+qBmBBkd9+GEprF7Hl1vn5jz63gRraUzwg4JHgb7uQjhbw7r44hzKNy33fsqWjPmBwDi
HYzO3C9dztRB5nJjZ+vss//DreNjXkEuMXgIFk6iBPhKWcnnbbnBGUR5Ofo8eCKFfci494cUNih0
hMK7TYdtx+s3W+wX015lrVs3cIHZ15BpQQ6WfzEQ2mybdXcVp9r2Q9tkYGBWZcYizvz3ZNTuxsFX
h6uT+j1UjmTYQ65UQymYwwUROrZN6+Wb//CLaelAvoK1jjFQp4QQ8xawHjC9+yuywytbzDcWwovR
4agFq1sYmYMEa+i1Bjxylwr5J5YJiBGfgbj744x+nRnyvY+49oCeDQPQi5ETSA0hZLM1XLZ3ZACf
dNua+Wax/+L23Q7fITCtHJOFVXUPD6DWT9rJHT5tm/tVrNI8dftmrnCyplpdhIWmO13C8mfb6Ktg
NX3aevAYNMkQeh9o4d7D/u9+29DrSNVLUS0LGcBhJzfYHt8vLhSw28ZenalhnleC1mJIiikLdibz
nxp8X2HbC6WrOK1LDa1VYExCwCqMVQFNrNs52+782/ctXq4Wx5ta6HjhqKbmz/lC37l+dblpUujq
MA1A14FrB1kSDKuHyLoargyL9uS2rfcbT+PFrcNQFYJg1g8JvvXkPLMB+0Ck8cmIbZnGWqxiOuU6
Km1MUjW93TWz+D3LYZe7bW5W5ymc1Tox5j0cO5Z+iauqxa2Xv0JeX9nAzuSBl2dSCB/KvCUwOmn6
AaoPLSlYgWn7btutr0LUHdyhx4cosRyzFMTranoWYJhsG3sVo2AThkWalSbpfWjhaTC/V11wt23s
VYyyic3whsbYoHE+MbNc+0z/4usqr0y4s4pQWMtC7O1JmKSmhMAkJb3KLez3Nt23szpJIR1uhSUu
2XMnvK0W8T7oF7Vta3FWIQoboxG7OeZEZfV9IxsIG7KNt73Kdlk7Ld6MBv6+seOxn9xL5m8jeTir
TLddfChkWtR2vJJXQTMndZ/+K0LT98PZWYUlVDxzZgxuuq3eWGjnC/F220tchaQK4YNtS7xElpW/
93N4H1i+bZ9yVvFo8EmbeZmgd110QZ/sMrgJDE71btuNryLSq9O5LvJwSGBCB0lbXR7DNHzeNvYq
IkuVa3z9xAEtMEd2C7u7jwzs7U07LMyuftwEsbC7Tjk4kqE3miNfM7ILQyjwt9w6+Kg/jh7oUcCc
biT7jj/2zS5AF3vbwKuIzGTWMfjzDwkMTeFG48E5iHb8advgq5iEc7hcljrVe1hIHycFbL/zimHT
SsFH5H6ckt4YpyQKgwew7PdM+ylnS79xVlZxGTJ/cbog1Pu+8u58jD2bcevYq9CksOvwvJmibex6
zpWBV+xFx2a+cVZW0QnO8aiQz2Kh+BCQW6d4o3i2KcFi4So259CwCUbRQwLH5aGAMUrKmx10YjTf
tLX8je7dThUDTR8xJFkLV4vxHcCHN5uW4pqsBRMRp+ce5sUYKN86Ay0OPqQlNuURaAit1mI2CvSj
Z9z4PN+ZxrmYIX7ZthaDVYRC6eUwkXk6CUqoLfBdOzgkCXfbjK/5VUb24FyacYDUWN3jOwBx0Web
khQWrOMTxqqLhEIzcV1oY+En1MeUFV+3vc5VgC5AFDRY3hpsBv5e6hlUcv9x29Cr+AQ7Oi0D6I1g
UKAmyAtFBx/MYhsNgwWr+Gz8qQ5h+NsngJBgK2SbG+FBvbTt1lcBalroczM69UkDrg10P6Ynl3Bi
Xh62Db86P2ETiV2RGbzRcfmskcHNOvh909BrNtWAgydrYX+ZlFw+zC2+pFdV29bhmkgFr9eSF4r1
iYXF/H6cpLsjqv607b5XwZlbmJ71cwn+fQbjTLbcQCX8i7TzHCd/h1zgpPDjnjIR9IPHVvQJzDl8
g08V8eIadvNzNBUuRP3b7n8VpH6JD/eUMCKDdsv7oDL2jrTl07ahVyE649Nmiou0R/yP+Nadhms/
Hdk2qI6JVZRKN/Pz3nNx44y+q0a48MIz6+22O1/FKHTDbdk7mU5gMMgm+E8a+NbWEByV2w7p/+Xs
TJYkxZmufUWYgSQEbCGGjJyzsipr2GA1CjQwIyGu/j/xrrr4urp+Y9sDQQrJ5XIdP0+yWaesEiKF
MwSm5AKzUEPe1/2+szjbgk9h0tjjwIxHlz57mcL6qaR81zUUjG9+n5CwQipNj6blMy0NOQcpmV4i
4epdSl8gMX9/OknQ+m5BrjqXaBZFD3OP3sOd6jS21UOZpQxgZFkN58Z26Hq0CXyCxL7qMIxQfn/z
Ca4PM4PT/Rnh8c56cqfjZd8a2qqgMic0LLnEcE5KtO4mcCXK4FO2b7fYKp0yzJJwIWo4R619plF/
P4TTzvferM6hxu0Ed0F/Hnn6sY6GF636XYc4diUI/7PYVC7MKNHJ4cwxMnkGEXree5Pui4d8szIn
KvtAwjoV9zZVXwxEvczgBOwKK3yzfYLZVPkmDvuzqCl8Vx0KFcc5DPi+gdlKkeAuAVWa9Fg3MEcE
tYTzd+igXfd90W3noJXotYbWrj+v2UCKaGSP2En33Z6zrQwJXhzAAy0tpkubMZiGw8xOjfDOyqz6
y2bKMDv+ZTONN2sUWmB4by8Nxl5ULikaFM/OZcn6ffcIoB3/PivhdgDzYwOWWwoCSV9Y15lfc5a4
nYfGreAoMiRkDk3p56HyI9xt4B+PEYpPu2ZmvFmuSbIsaWhDuB5qTuDXARE7+u92xsd4s2InDQXe
CCwFXHsA1syjlaivyi9ACOx7+82aXeqBD27B2MBvGV65k/mw6GjfnrftAAYawAF2M2PcG7Bu/RiO
JziUVje73nyrNwJmifoOPIqzLOP1Y9iC0sOSFC6F+x6/2VLBEO5i4vFZQXbtx1MygxGbx2ULp519
P7DJfnEZp9qmsxh5OroLbG8+VL3eV5tnW8lRomChw6cBXB02vdZifHFqet333pvVCiydo1qL/pw0
2RcQcKO8Yuxv2to/hBp2/ef/uCbqUTJP4STYnekg0y+wgljgZGLszimzWapw1l/8SmEShJUKGzxI
X+AmHCTHfQOzWaoDXBanTuPpsfUzYILdrWr+pmL6Xwr6LzGYbdZpXy+Q16WkPVsODAZMchuJYJPU
8CUX4AmqG9N59zqbUV9grxnw81SBHfkeLW5J/4z63zi8ZonhNwr3ku2NVPBmzBMNv4tHsfQpeNQr
k/3wAc4roI+Hvm9A1qiqoIdLLsxbDlGMWjuMq2Y4WesIVbKC45Z6ucx9kMozSUCtuJSAfHtAI1FN
+BRA2etPEYX12oHC3mwuHKhz60mAgzii246s88kQsqyH0RrafFkSxsrnifFAfhujGAi8FHal9jws
+HsP3bTGRxnaOC2ahEQKlm0wab4RUSuyew4XKbxyvxL4C2QOPlt8uHT1OKzwqctgQeqMBr3SDkzE
R5s4AINiXVlWCBhmw7zLZpmHvXpNk9y09RDdwRJRZhf4405AfmK0XRFTZS/rGpjHobEhO7DQ2ivi
YijXVx3JNtmXhbBNkmMWNnO4nbVnDt9cVH2CnAia7Ys3W6UXZaVHIgn/t4qbnyVTr4Ak7nvvrc7L
4iZm0QTvHc/lecz0LSyx9xUH6SZKxhbKFBjtd2eSZeD0BJnKMx21O8dkk9kMoaBc4dLuLAjcRBbV
/+Jy2Jf00U2clBbuww0sz87gNXSP6Aarb2CRbvaFMroJlBWvYZtF+AhDHsXu4TMjofyfp8+7QtmW
oz3AotnazrZnlYr5bQBvA8V8OLntHPZNpOzhuIQ2kawFxXGGHx+R99Uq9nWaAdD9+xYSYgnHsEpv
zx7A3Cv+zsnz0ocwxd03NptFGjV1tAYw7TtzYWCPSMZmXvMkiFV/2PUDW6nXBLBuGVRTe8ZF1S/Y
JQIJMe7r6GAk/X1wutkNtvcJbPJCUFvgT5ksuqCZJL/2vftmudq4X6kFhAcMsGxN86TtQUtCtQN+
8/t+YLNiHTgQUbgIJAhhBPu/BI6eQH/sTBC2eq8ucSXAE9jCcUcD5sMc8aILXHje9+6bNQsungeu
s2nRVQu3DU4tbM3h5sf36fsZ2aQ3sDMWEDK1CMPNnNxW8PL9gjOt31cKJptFmyymX2EZiVMa7KAu
JYPTXhJOyc5Jv1m1cDKfAUjC7iRrAz8414scppxm56zZrtkhAnsM5+Rz4Bv6s4La/OdqZrNP+cm2
oq+Y0EZWUnXnmCc2uKisiYqwBLToL3eHf+irY1vhF3pby5LrtDmvOqLDe3hi2rYok4Z0sGNtg/do
OHsMYA4oD8jiFCwyMxxGT1UQA1K3a+5u9WFoCoYToUT+6XxfpQB5SBhQmKoBMHzfD2wWNg/pijPL
NTKVU1TemVqg78z3HtSQfT+w2Y/XcB7QXkvAlqHwZswXJx27epUCHLHvBzbLm4+rGRqCH/AzgWx5
nT9Cvf9937M3S1tPxk/ZvDbnbmjGYhH01zrFe198s7IFYCjjqBJzRm570kTdEjLuKwH8r4XyH+c5
EwShcHAQOU+wpS1UwHDVALzHvkHZrOqp0oOInG3O5Tykx7kiMPgFTnrffNnqxFwCM/UGX/Rcg1n5
zUhHvw8Btptd774Vio2SNbD7BecKudZjYtc73Yu/eLlc59u/HBW3OjGx4J6Rw5r0PC6kuo30kF6Z
V27fJrY1JHNwigVnlJozVSk4WjJN+1v4SDXVzmHfLFOWLS3lTWjOSdzAFy9LbxSL/L4lupWMDV0j
wICom3PGKnc/DoYVySTty39/0+sr/tvAbxZp5sDjchH2d72yHil/OIrsqMMI4HmOU12zL8faashS
z8uUU9Gew5nCA6+KJwDQFfxg2317cbjZi+FDOvY2qzE3YwIoV/hOROXOab9ZsnCymFKY17Vo+Y1j
2G2ilL/OYF/+9wf495lPtzKyBpMxUFAFHqMERp7WB91rU8X7upngqvV77qzrJppDMgL9gnrmS2do
fJ7qON016DTbZM4dqgthaRqNy/ArBrlPX2AIV+8cmM3mOvup8bOvNRQCsHAq0HzYf151BuvTfQO/
WbQwpCkBqx30eR2Sb6gdPZik+rjv0ddv/Y8dBJgy3FajQxBNqy0A2P0425+O9vusN8Bk+f3xNY5v
TVVeh71LSxQcx/QCmua8a7pT+K/99vItkfOywpj5XIoKZaeIAEClln07FNh/vz8dsJ7ExyPqb5Gb
Ig+EE/QIoBw10u4qvsD14vcfSC0wtchs9TmquD+AIho+t+jne7fry25VZZ7XqHC5PjiISAAELsMo
fCSkg2Hpfz//f5WW/xuP6VZYBuNJoMj4jKnDQSR86qOomW9qZfvhhIMYnJThpcfHQx/rpb0PPE4F
910ie/OZRHCqnTlZLwkLfAy2WTnDXcEHSj2ZJl5IYfre18UqqnL91pa+nk9Nhz23mGH+/50axu5s
J6dbX1f2RMsZ5O0VHhhVHpqare+rCP0tL+rqU/G+qdMOSNI5YSv+7eCKKoTy81F2VbAe8F+P9QMl
ZWu///eg/CFEbgVx0DX25NqQfBRlJB8t6O338FEW+zZYupXEtQDCtqiOqjNZwp+c9C9ZJJ73vfkm
xuCs6U3AHWyVV+hsNWEX0o5/M9K4BsJ/myqbKDPPgRHruKhz38Gr4zLAU90dMg/VA6BfNhMXnnGw
Hff9JZuYA+JEzBnIiOegC/iRKRDl106LD/uevok5lS9nnBGpOtuWVYegXD9OkvxtnK6D/W/jtAk5
USjqWQ0zMNHAT7xCVc2e0kosXxcZBX+pbP7pJzZBJ4SBuSBdr47jQhU/VFM/9HC6H1BsBxIMHW1/
OVT/4ZNvVXOQJ4jZcg14Wj0pdZrjJYI6LNDH2qwpOKJ257UT3YroRIXaSTloDFpDAgjd+EcEop0b
WLLJGwIYjqAQAPJvhOs4EHROE43+EqD/8CW2IrqEQsu5ogf3oESfTJdMj/GpTTPc+3NhdbhLXUCT
66//Y4OP8Wxe10kAm44x+YRed/Ep65N9ra1wo/796aPP+rr2gzwnSTydoLlO87KK9h1W4Jn8+9Nt
jVIknaPqXLOUnTrrzQG4zl3nOJpsFnLIu0jrRMPr3Na3YUlz1vKdY75Zxp6GemwnPHpd2bHM+pOp
ya7zIdzcfx8SD9e1esxUeVA1uUvi4K7n+6p4dKuhg6zwaoQLQFEnXX8rx3E6BzF93RU2txK6Enhc
62mAyR6J8dh1A8t9ptlp39M3qzTM1FDGYVCfk3rs7qB6/dgLv88clm41dIInIrAEXD0NKtVpziag
U3u9T4pKtzK6wC+4TzFDfa4lECFdld4HyTAe943LZnkuMuznkbYZGFasXk6EuA/doNS+oiLlm/VZ
tRmYWKzJDo3tH8EAPcuh3beJb6V0vloWYQQSKT3Ndd4AHQDgZfyXyPuHLG2rpLNQ56/o8MMiGi2Q
8dlQdByOwvvGfLNCV5j0jHbqanQtGV80oE0CiDg02T5BGgypf48AmfHouVBxhkardiV5qsvhrgXP
el8fJN2q6WbelE3S0+wAUDDubF+gAvjLyER/GPetlo7xNYI5lajOkQ+ovQtrE6PBSMA49D2cktpz
HWcrBVHNmvjIUV1zAFWo2MKOs+P+1M9Z2B/XLhLkq0liYs9lSutkVwWeblV4S9BH8N2YrselYRKX
mobpfKxGNTaHXfNiK8Nr6nriaVSBXTlUHAHKS0D+qphH9Pu+H9gs9mFS82rLbj7OLajUJmUOzCe2
q9JMtzI8pGwx7aiZj9HV98vFPTq1WbJLX023KrwusWwsJzzczvBu1iMQoq0m+zR+NN7sxqya0Q0P
RseRyKgrqIokgM76275B36z2VqVpGNJyOloC0kcaACPdLyzct69tRXgCWtOQBXQ6tlDW5K0axKMG
xPht17tvTb+Y6zoacUDQgwy3Hkyt4lj7eN/AbD2/6sFFLS5ipyM8KslzYxb1jYdrsi8N2grw1rhy
/TTb8dg0wBfDuRqOMKzc53pC2SZn1tlEV5rG47EGQ+YUlxP8xQO1744dHJDfAzgFV3rVCoht6kwF
xdX0Hu3Vy19i7B9C7Nbsa3Y9LLMSPx59Ag6MCtVQJGpnrrIFmMRq5gHtMeqrgV2Lm/yvcKj29RLS
rQQvWDvTl5oCgojumUPmwD1FPN53eU+32i8QPllZWyRWSUe+jYa+morsa6+mW+lXZVBSbjs2H+tw
CPOlI+WxLCGj++9V+odj4lb9pSPVE9UCds1LHdvnaja1AdOZ6OHEhg674H//zB8mzlYJBsR2ySKJ
PyImaXCwJBZFs8z7lGB06/fVVWUyTRxPB8YKSHrIwIqs9T/2vfpmuSqJcAA943Dsls4XtenlYTTl
vo1vqwTLOhZOJo6Ho1WzPZkqJSD4Zeu+nW+rBPMGxw1QcofjVK36FI3qwxrJeOcnJb8HGqCn2Nqi
1nPs0iopjF5kAUnqPtk/bvV/f3qT+GRK0rI7BiYYCrl2TU47v8+5CR3Qvz+9ZAywQMm7Yz31VbHG
RhcpbPIPu2bMVgM2Rx4l50GkJymb9f0adsubDJu/+db/YSltVWAldS6aIVYG4ilCP8o14egAUNoX
4beGXyDcoFwNMOWJBSid2+B7q5v3+4blWsv7R61IRSQqwc9ITvD5KnVuV6gTp2oZP+17/GadRrql
7RoO2SnuwGgrnFx4dc8j3aT71urW7qsb0xlZfJedwLDOZUZudbgzE9uKv2DEBWYewaMNw/Z31UM0
+wSJdKv8AgwCkO+kz07r1fpIuYgVrErdzumyWaYy1NW0evBx4cJ10wzdc8j3uQmC//X7dAljiIqo
MezAIX+QTXDPmvpl11T5P5Iv2AhVA23YgfDZRGfWafRdV87MH/Y9f3PZ3HRRL/XcJifWRgss1NnI
bq+ten/zE7wWnv6lkL/Vc9UB2KmpK/nJdMF4M5XWmscxCYU4ok81AcPRrK56mNby/+Nw/b+j6r/9
6Gb5Jp6UjZU9aKbj4pqliHStSXdUCqtOn6pyAYC7b43DFtbQHnv7Iv3QJJdWd7wyJxyspTK5XpX1
l6r0QfmVUgfZXRNC0qpyKv3qXI4kp+vvFY/S7sGOJaiilyUAoVLlw6pFUOchzWoq8gHsQCRCLcen
Ay2wb8XXbqgM0JhMJbW5ULCMSXvwONAn4uB7C+658lQur7CQc7bOY2XQw5M3vl5GQDCzOeAM9FFY
w6ubqFMc1vcGNcvJgK0+6BkvOCZt86EjBgcZmcj0l+kM/vEw98weOOS+IB1jhFRhrSP1efXzAuqS
CunYfAV1NkzmfBmiMHJ5nHJRfW5qprLvRszegCXu13YwOdy+pP90FenddKvxwHTDNGosnKvHSB0S
NE6WxxVXNuQYkHIZizLFTMsKy52PzYFYcFzvotTy7FTH82rQF9a3QMU3oikS3ln+IMO5Tg9hTR0t
qoT3yMJSAw68gQFuvvQCVFXoN2VbAZmX4byfFKiQLKLFm/XNkORAKyboG7H1uWQJ0kbEEm7mW3yt
tqrzIUVml2dRoM1hNg350k+GH5xfl+T7XK+enrqhjdXjOpCUv1U9SZJHOpWU3q9llc4ARq7oUWGn
zM0RHBFWnsz6AR0aKb5XV9cdXk6EaybmUwhXY2RjJmxXdeM5Xdy3PjV1K4rWohh8SdCBlL0H1XkZ
faEb1iRHkQZXG0g968YF6GJZIdqCg04y2/no8S1BpyQxCmnkwlWTggDOVXbiqmrAdV2cGVBN8cFo
r5mlHe/CeVRHNyBGPfJWzPL9shABAO8wt2Q+SRqPS9GKihG4xFZeH3CuqdLP6USb9i5bVhz8qjic
wX0F7xrF/DwDVpAgg5omSmmRxZTKl0ilAz/BYEUtdw1xEara4QRvtRXXzJMV6N0C/5dPUHJymKyF
ev5GdICemcEmrHtNYhOlh6ocY/kNZ59UY9EY1trDKON2fFRzKPh7yLN6c5I+QZtQ1oZtfLvGAVH3
UeXU+qNugMxEx8wQtOyxx6KtjoCQe3LpTCT7j1Vg0pAgvCnBY+CWWdY9htOkom9MlmXq81JkRpyd
sza+DYeatZ+k4z4u4HkfohtdOBplsHaOuf5eTkCOihxE9PRbTHnffUR3+VoVuF3C3oU+j9Y/QNU3
pvif24B9b+Vg14shnffv1QqYatFVWEnfJcM0vxGKrI9TFopTSPpUPqXDnPBjmNZd9a5X1bI+OzR4
kAA30fANSA9XJ2J+Gd3UNL8Ubm6qO8l76s9tK3V57kkWDXdznyWkkIwy8jnlhGU/IqfKR7SQB7e4
Rlq/o7XF5NLF4iBgEBQclnpN3S0YEna9gXkQ/aSzmoFUqdHp+JL4SjePkQDZ++LaevbHoK/kcpP5
IeTnhC8q/BjyUpXvqj4TXdH5KYAnogyzEU00hgPkZ9cxHh7GcJ3CC+14pz8A3FG2T3OcJdUprFSb
HKZFWsROF6dDdYJ+Ohoe+szy7xqeAE1RomTonqolHBBKqnZxRx630yAOIW6r7J2SMDg+lWLu0F4T
JFa8r9IxYxfTdR3PJ2Df+Tegn2VXiGZUk8zTJipDgI4YXS6jNuN0mBwBSnsaGxLljV5d95lOGd7g
EIcigp3hgreoAzEOuVyCsTk2V0ueHIZ2q3rsHRrTjnE3uC8k9I4DryYa+HICBcEfkC6Jn6DAw7xY
6ooAJ29c3H70PfiMMDgyBpZnOVXrWl/chC7Z9x58uqHMq35KFsT7tXNtm8sJ27TLUfG243c3Wxq/
AcExYEMA0zzL3mk85fohu2kejoA44qbz2Dhi4hy9n0181lmUqaO1ggL4LaIpXe+uXGRULRZgrLKb
sPTIEdHJVlWXsfVtkK9DXQevPFYDOVQMaNzDGNooOyR+XeXbEK5U3thpddl5Nm1QHnpHSn9PAct5
DqNR1q+oHBGv8lrrKTvBNV5Mt5nCCebRoySWnpiqsd9NZRn30Hmzark3IpSqaNchmgrWDUmAvoVh
LGuH7rl1jN5NoTJoxmjYND3XS5iQmxZXxvKxhdNd3efWMwB04Cue927IoktEs3F6isc+aL6Sekn1
Pdd0xBxrKqOrH1SnK2aCgWXbeGxFWtsT/rJFHmMDNvQHELKr8nYUtaQXNNFy/TAPBICvI8KR5gdw
mWj5c4VVMjzNx0rGN2NbCwFtMzqwMEdS+CjdVnLy3U0nDYVmmEBDHB7HDtTD3E6+Ia/4zfTNRtW0
fNEwjUdPekaqlhU97BdFESA+lcVSdsurJHyiN2nWodclbhqIVY0d0qDw3Twx7NWtW9BAYpOowIVC
Wj3jdeP4aXFegGTeEIabo7pUwfzemLVtbiHdrVZkRc26fMeuMTYKHqlhGL1cb2poWNCqT9aHNcyY
GRGJV19eUolPD6NZDrrZvUNA7p9AvxiHSzhV2XSzTDwDbR3BoIIngMAwjmM+ZVjlIfzqxDqLoq+d
9y80W3SWg5qW8lPCDOJbrqiTw1M4RWn/dR3GjslcT3aJL57RcHlkmP3VJzkuQNDgj6Rt+aRQDnPv
UoVBvF2JHJZDQ+d4usH+H3QCg0uMPbo1SZxA8jS1Kz7mIOzJOhWYD0nkJ/NsMWb2tpeQhT5JW1d1
wYBzHj+BJE/iz4YkPjU5HMLCpsNIUS1+NPBMDZ/hWs+yry2cV9SXXveK4HwFQ0RaGElkcmOSafTI
36ow5W3eB7PHVqgXbB/I9mAZy4PYJocRJg2th0YvCb7BVd6zIsSmLkHQ7tX7ZMb8PqrQaV7Uy4qa
q0ka9jEm0EUU1KelLHAWZcnR+zaZz0QnMbc5XULTP3ZVX6HlOIJ956nLpG4fqOlcoHOODqyvsu2n
5RRHNbNPURMO8N/FPWv2nqWNq05Wg5Tz3JOKfkpHUF4OIytRCkjrYOKPvunK5BQO0pEn3D/R5p1W
ybjeRbLpWwRMhrUBWTyEaulZwUR1eCgNyO9LkTImnj2UL0Gx8NrYd+PqejREo++VuAI2hqUqkiyq
uyc1osaUV0bo/kg9+mr1CS1q0RFk+qY5DGFJ8CXqSkcPbO4qDY/v8Zr8pJBWVqLIUhuTg5n7MJpz
tS7+o0w1XJPy1aBr8X2H5jb6Jkbe3g/NjIyrqIQMikjCFc4XiO42Txyn00cyw/bgRnDXYb9PlhBp
OkUDbzflnrJgutR4hfBlbpspKUjM+4Py1dyc1YKl/jkOB2dPJFE6AplkgOVZxGqaHqiGPDgfabSe
MmxGbsqHuJTj4wzpVNYUhptE36ux9E+pvwJQ12Gld2OaqvCYgmCzYBtFynEYVjCu35y2gbgo3sTT
+1mXkX3XDHNU4I6kJ1+8Lp0tSlexG6Rr8dErdNEAek/zYZHVTTV1MNZg6KvGZkuLdZ2yLm8BQ+Lg
TofkRiAf+OhMQu8ErJRMzjPZj0UVES7g2dqRvG2Z5LepE/4HQ/ePfCBYOua8ynHNHvqADM+hg8Ur
jkB0uhc8JStyp4gNzzboINudlqTgaCN/wH0OmrW7xFC4kaMN+cEPKfnQukAcFZFc5cYs051VOnsS
Dg76B4VpXMTL7ApSlfUNYyy7n7nwtyJa9BcvrHzNqB6KOuQvOh7Mh1hmTZaLsBshO5m1Un2+hHXm
xlwg2/UnD1Sdv+GWiDcegfQ+SZ9mB0xnXph1XpdTM8j41kO+yD64IE1ehXZQLRzI1CTBTWkS63Re
YuamaJP3Vfijnko/fYhjzn1ua7OkkHJG1vlDffUDuGi/rLBNSYfIdyDr9v1IcI6paSsPgtsouLUR
Qzc22kpdeDtUUZk9jsEyTieLPv/wbeWa8CLzzE53M+ti8QWZq+mP8UQCctPVXc3u5WK1yWfRWJ27
qBvSNzrrLnzq6Uy7I2wafANLgpFXlzawmf4cVGAJyyL2dVwfwlFWUz7HNVLRbJqTuhg0chSXlzSg
VOc+9nP9fUlj2t/bpbXrN0CpHNKhakpjzG6NtRV3uUTDkDzCRack5yHVtXxZIpz9j23DqDlNCeLO
AScakVz6q/zu2CeG0Cc01cj4DvpZGh2ibImzS4S2qeVXDTG2eZrHKe3CwmfCVrdjP4Iun8NQJMX1
6CqJ9i84GicEp2BINte7cdQj4kLVJC566AyW5KvCYdV9VrHKLqzFFRkdjUs+RyNVwReDC1Yck5c2
BnERReiqwOxAspSXs0V0H4d5OVgjhvQjR0//9JY6xPZP49hnRB7ipA+wX5VNHNhX7la5iDwgJKH5
NJWDKbKSavI4runifzG0++sfQ41utmMqgS1853W1ZDAciNvhOZ3xesuxsXB3PWd1QNpnjlWGiBjS
oU8RnqolQbGwatDWfCNpWLkbqioVmgNbB6QAueacC9jAtzh/IOOTfeFtd81FgHGZ3IuchkG4c6aE
Gt70GLT21Mpgyi7jmM0xvtiaueHQE73YLyqL0YvEK5WNXyanenvqRGiCIlNzdFf3ouRFj4vw6d5L
yQQ+SVKjGXBElb0YOtsjKe057GTe5hUuuWiQ7sv7VpD+7MolfddT4idkB/G6dk9ea50PYIPmaAoT
MwVfLJXtybs09oUATnW+rHTEAa3K5iQfJ9cGXT7Nkxtfksgl1S8LtEl6XFUYVgfurvtqLkYwJm5K
pNn3Nay5MOtoZOhtKcFnveuEbz9mKQbhQKeJRToPa0ge3ka9ygBZqg+D87JiXp+RB0TJ7YQtQH51
jtZnHAGi7HMLi/OkKuJMhPW7zsZVBUvoyPB6zjHJYlqkiKoep7kAjXNrUkX1YypduBYDFvwHFcXm
qMuaN1hq5XzbhqhgPKBeQePntFm4unV2yL6hEvMJqcdEOJAqHBLwFowY8q4hovwCPwtZH4RBUKzl
oB6mKURmtsJgxF10klZFt3oAR9DWEd7UyUD1Qz/RUT8M5TzezV3Xyq8JTCd+Br0ax8MyB/iMbEne
1Myulzsqxd6+MPfGkUtMB7H2yNWha5qWXLvEnNCsnPFcdk4gN8BVpQXsLl1Qr0UkHFHfmeSjQ5cJ
CIzptdKDxu/hTSEZy0kMBfoFpfRsvKd92gfPNIGID6KgpBH2YrkQk8ZHmX04oqO7lPVxCWkqk6NM
ef0ierDhjxG6V/pfiyXKFkGFytUXeDWAhjvE6ciOTUU8wdSsyetQ4zxy9o0ccyIRQLvczgModoLM
1fc0NiN5o26ubOHNGOG0kzBtl1zaVAef6zoqv6XX1OQmXdBl/sHz7uek9MSQ7mZ9hGTWMDXfZGCC
pEXGB/OzjbFk8xTIjgJYkJAddcbS/xX/FF0xCD49wt+yZDjKAKp+Wkjikk+dCDL0H9dZicpgkBk4
I40dLAoOSEqMu415237XeqER4hyrZPMGp7ZMFmSoHL2RE/M/cHQW692gSfnTVHrNYvC/vSX3pnKs
/xCUIY9/RkBmxD9wtKxQGZEivs/aQSF2hJUviIh69zxkZdKhrwN3S0xwET7XAeeoZiP1CO9iB0PR
U2YHTg7LtIb0aLkdba7NvLzCEzliH7shsy9BwMaPaZlEH6D9mNZzW6IJ6CZocTBetFnskbMUhr6r
tN1HjLm6ayIFWRuXfKTwOGHtpa2yrC/irjEu74JSfUKn7pL3MZq3uo45fjcsXfCccLc88Gyt0lNb
wnrhqGO/nHtgJc5Rp8MLA5MZMa+h49v/o+7LeiS30Wz/SsPPIw8piYuAcT9IioiM3PfKzBchqyqL
2kVJJCXq198TtqfHLrTbd4zB4F7YgKucGZtCoj6etUwU8zdaDXAPO4e8n5SNtjAPi0XE6xsCRLA5
m/0Sly+AhiORcudxHMKlrrEsJBGNBkwcAv5jScxTuXIMiRGgBKUwZdQsQDys2IJ8ggye7ZhUwE0W
1Kujp0RMW3UINdHPiF+vm/tQDjCBr2hguK/wRtKoclTbDMu2N0s6ARuLbnRTijiLNN7O0zAUy7Cv
x6IuszAWevl80roeh77tuotViK3FazTBfN/QeGlvIiUWDGy+ivZS6mA4g4RSLHeAovsdlom+30+M
1XMelq6lkMuhGHY3LASLCPIxzvFdAI4oNBs0ttsLRMvOe3M/B2Xtsp5Z2p4Hgeu2A+LHtq8BQ21S
2qIa8kJtw4rLp5A4HM1Cdk0S22wczXIeDRQDZ1n1F16X7B7q5REOAeQ7AudAUEMUi+Il2CAn30s4
ZPwTcKbV4UY0E/rVyEmFAh04zQZ4YG6t7o89GIrqrdzGucvwTcHwLpsSkzlWzNZ1WTkWGvnlCC9K
rhCRJkWWLFzb4zrEozwIdICjGrVwXFZpwBB7uF+S6HQRBrVTCu2KI3ZMWHyavN7mZDkamDKSNBxW
0+IyBt/1YXHvLI56MkTlDonaBErMLozp8xBjQsvdkkxlJmLH4fUx3DfPFUdMTU6QN1+9tAA04rTr
bVk+kXXD6qGCgNNzLmjHsi4J2zAfgIa5bOgdoK0UJqhV5TXMheQm1uMk71AIUrnUIwVa76wv2JD6
cIsxwSSami/BhFaFlMHqkdyhy8aJQ+n1Ir5wfKjl04wBlV+ymbYii1vRhLetWghCkzU2BWU1d929
h4G/2Yf1TDqfMpjtHQDMst8UNuoGkANO6hVDITraixHF2slcXJUDqbYjjcnaXyUaOG3KdbQgL12X
0wdhUVVeh1vRQ5dUkKY/s9IF4S18k4LjmpqibQH/03u9R3/jMu2hdNNdBlaF2c/90s0BChI3I49B
CzjlhbTd6Rvi2PjkdEp0DTMqNmDdtQV+2GTwV5jZpshioeEF4SHD5pKZoD+roLNwn5fQJ3NecF6Y
w4L1esknpnWza6NIjnmIRhrTpOPU+XKP3WCbXBQx4tcgvmxP9WBoSxvyuqyS9bwwRMgMPhGVsBxJ
DAQXVFV04LNBhQ7qnLs12jCzGB2fASQYwNaPmO1S4LC0SWEY3ep8xGnQ7uPV0vFDVKxpA+wdaGwi
9N0ixOSbbroWfq4GDJnBzbTDnBhnQTslBx7q0K/HhspIPiMzujOXC7b2q8YHr+I6xgyyRsMNE1W7
fgrwaZIgLamJBrs/pVljQ+rk5uJre9pBXxTB0KwYvqCXRcCUL5S68R2dsVmZbMRxgccNMCuRgWth
2K2SuUv6L5XH7hraPi868jEZF4wYBgTDhmkw8DY6tNUM0/mcDFbeMCweCqOirLevTQk24q2ul6HZ
xyrugwVHV0c9upj5VN3FGPdxLYeJiNleYzQaP0ods0WmhiZIa15EbOUjBT5Xof4F+L/5nEyxbZ51
YIfgdlAgfO7caaOKxAIv2zATbkSuMWxzemqPZQfeCydJrKP9JLDx4Tv0KNrxAg5AxZZsA4c0YKdb
TaISOWHcyItFg0m6xHQt+SXGonh+6Nu6mc6FipbhGFgUs79FhBQk46eZbW+HLrBpK8IluBwI0qnu
AjvbCmscYuizBJNxv/O2k9N1NRsYXTpGhHvcWkgaM0lmkDxV1PaImJlUYL5IPuviMVpmLP49+g1q
t50HG+q7MbIi17A9LlpFHvMUKq4zKlZjz/zQJ9HZBJR9ObQN38gzUEXGzqsGTGCmSQcBwA5+YjLJ
HOfmBmzrhKgF+3EKQ5tFvKuDFNfcFdezj8E1MsRj7AmFtHrcVwEF38N7UDw+bVGxJlM/rprlUylY
fGZWm2xnOl4D0iPSLVxsAkxPoSttsAmtLxmd5vmZzUhV/xAqtt0lBttK7FtW2uRhWUDN5K2StYI7
EYK026rvW35RqLZvHhaJA3PhQ9nM58SiUufK4b2GaDT3G7utrejU+VpPSfOEjV5VuIxYTMtjXg+y
A2wdI6OtIpnFxayDDNkf3OscPKCQyb6BHPAUYSxekWBIZpolCQIwu10HKmi2RwxgEw6sEbWebnGf
7gE8Q4wDKg2zW+IfIhx2mKsSVjbbE9iTYt07XMn7ZNvEJTbRPLgIgyLBYMcJ0uvCE40nwwOpOdeH
phYju9zaAc5rGvrBvC6VTRBa0VhEh+yN0qsvU7pwJsBxhhBdkXGWLuMANua3ziGy/nZA7MIc7k9R
rxSYxspQ7i6nLXF1lnTL0uS+m06Ncmbm12wq4v4Yw8m7nI29tlGunNf9ZTgjpwYQKQHfOvhJ2H0F
EJ+mwUxpsAdHaaq8lSrBtlOPs8aEFHVV9L4KtMhfFJuq13tEMsQG2HtZTNvXqGeR+qybgbRHEsHq
eCRAfccrpAZM5rFFJDVmm57F6yWNg9l/8yOr9aX3KpgB8K2hzLYE40gKfNmCW6nmGWK/0cRXlnTz
khmP4tDjhLdQ53YLwyaDNp6DM4/jk7zWyX0CZfN169AM/ESWRs1Xk9lofy5Qe7edvm1RwOuQGI9m
+FnE9WfAfEGU10wGekZYK/Yz2dzjbO92mKwb3CCxkJ62+cukl5skmFyU+SCgEy4WOU6wS2h2OoKJ
BlyFSWJiyc0sXBsgbqAS1Vd7uj9+FRbxCfCSM3Uch8TTlGC9ax+iaQoNrj3FutGkWs5wVQNiQlGU
KElF8ihkAeQ1kRqL67AUZtljGUUWomv7yn2YetXr5bCJjn2aVstjbF7G2p57L7b1kxSddjenDMfo
bO5skXYIuxlTTKPqBJbr1eGeCwLzVnqfiPO5hNPgGkRJB8M7ZuMN0NbYALViKK6MmXmHcXWUKYxF
4bJbuW6A2k1jeQ+ZBMVE5FDKfF9D2Yj7Ijo2kN2YOFkkz0KTBErznoDPcoe+mMbBpBX8fnE6SOgI
ogzc92Q/ACQpgLcAbIh5B1qxVUHKDcbXOmVYZQ0wxHaA2yNFSD32nfsV9lCUA/VrzMtXOKy9nVK7
oMRmPHTOsKrOlhH54ZhDCV8ZzaeohJQj/7d5MojnDZg8gKmKTEagCJrTQJqxyBCUHD1FeHRw4ZZS
6WNSnrBfhe33qk9rZlzcDOE87YAWbBYi66AIjv9W2JWsfo7bMwR1r2tOeD3YdPMluwFh1ducFzB/
/zUF0/flc9zHfTf0c7sjyUsdP3L318T1P7tUfqN2Y23kQNfgeaPqXgK0qNhftNB8Xzo3IK0xKSoh
9rhNEoBIiSNXM1br+U88vH8QWAXK4PfKK0BhoYEiDcxEgOtvLIfKXHRLMCADcZ40AKfQ1agFEMkY
3q4zoFtssOqAZEOw4nv61xKqk6ron6mNvhOWKVA0axVMYj+gzbTNK5hariAeHDPMa6AfwcXJP0ka
+CMx1Xc6s2mccapBU7xHIMAoHowfCptrhTk3X3BnQjop4h9aTKWr7//kCP+BhPP7dKIa+jDcTUK2
5xKdHAaxM7sRWPOffKA/evbv1GcajX6zKBMG5Uj3uZno8yJ18Sdy8T967tNB/M1ZjTF97LQq2N6j
9iMtJ3+sbBv9xSf/TmFmKDX9YDnbA4PegUit0oICefzXJ9QfvfPv5KHF6irDkorvFQlm3NNdkdIS
d/+/9uynV/3NcQkbHUEdhOMSbh2yeU2ClsltePjXT/4HZyiJfv/kfKLdotcap0spkvDrDExpyQj3
IXqFZNjpVFuosc9gcmL6L9XzRd/HFJVSLQKZLWyPOlT2KR6n+bqmgFf/9Qf6eXH9J1f39yFFovYR
YCEV7zuZlECgk94vIFfwz4enhj/HmLzxf/qY9vxQ6fqx3qpHijONnRVzZUvsVVS5Qzvj19VFqG5O
jcBI9su7+/ffFQfPf/8P/P3LoLHZV6X57q9/fxw6/Psfp8f843d+/4i/Hz6G6/fuY/7+l373GDzv
r6+bv5v33/1lh7nc+Dv7Mfn7j9m25ufnR7Xx6Tf/b3/4t4+fn+XR64+ffnj/2lV9jk3PVH0xP/z6
o+PXn36AuhA0ycmd8u+/fZFff+P0KX76If9oy+qfP+jjfTY//SDEjzChMMq4xGx/+u8Pf1s+fv4J
/xECDCQ3CZqE6BCTWLR7NJ+WP/0Qyh8BQ0SQyNAE+AXwgh/+Ng/21x/FJMSjCI8oxTOGP/znm7v9
5Vz55Uv552XPP5ff/dcphQ8nQxEmcUw5nFUgQr5bzqueQZyWgBapJiDZEK2MIHSdWl5KZ9wNhIKP
NpiC+z4yGIlBeOsLCFygaIA+tcFIWrevXTO5d0xV1bFoEhSCt5yB001sCkjB7CsIxu5WTtZ7PH2J
4W/Rtwog7wf2IJ8XO0PvuCUooauBfPEhHm51shSPYwh+FHvB+VM0xN37IBGMHQBUTueiaW79wO6b
oXUXCIiE1Criy3NUc7Ij9VakCiRNnkBw8TAMyQvgtTijCxSZfTOuOx4Ey4H00BGuYVjl86wxtPnx
gXRReRLqDnBNmORer0GTW2vGh7hDhPasMIurBRXkcjLsDCqW8QC+Y/mEmyskN2HRfgN63l+6SJWf
Je9GwBOz+Wx7OT/WNuyQ2l9AHRFz+HhjF4kqr7s1oOCnCvrW1IDA0XFusb2SyeVCoZjJEBk+YBcA
vuMNDSAVImASFlcppLPkdaAiSUmhFwjIYI8d0smxK2ZQvJF60chnGbTzRTnSDnOG3LSDpXpAKM/P
J/n/9MV+VX2BSHT4Zr6/2n+3QPx/tCTgYjm5+P54Pbh/r3HZl+/9b9eEXx/164IgfwwFF7jmIlzg
P2eA/LIe8ORH0DEi5AxxviAiTl7EX9eDiPxIKVK/ZQKlJK7+04/+cz2IfiRxzJKTxpVISmBl/m+s
B1Be/m6CFDFsJYkgXAqsS4hv+b58ZiA4+fvAzHsCRcgpiWwF0hq2DPItoGr82INjAEW0upkfkrqG
HHBEeFSfd0EDVf0EOirtQiUvQgQnAlldo0s+Jk2VdR5AWAagVW+Au1g/ZrXtQnuZdOveijpyELMK
gLd+igAMI5F7gz2NBUtmq7iA7G2Zprzqen4sE1y1O2vRTX3gvm5et2pdl5xGCCnYSQBpUJEPHRI4
SV+oyxVK1c8YhGF2E8lyWF0ib7cGIBPC/INdh+5bRB83w06j6fHeQQzwxUGC+e4B6ndPqNnmn7vG
9C+hVWrKfAgmN+1YUZZ7Fc/qqyOi/tTKDuDDSEIHneOCS/AgXLc+zIRYNIyzKbwkYrSv3mukeWx+
fY0kVMnp0hN9XUFjRPKup7VLeW82CMjDsCR5awJQdrxWaId0HaoLEApEAQ8o7JtvuolCQOipTV41
SA71ThD3W6fVgNCuHZhyi6UznqZrHlMGDTXkUalZSgokPemD83mOWoMndXbLA8h6owvp/IwEzX4Y
6HGg/ZTFprefsP7VbRoaM+MDNG2sU7JO3X6s+/ozCNLmcqtjfQsPW/y1pHR9AoEPghPMAHbFyzr2
57rZQCaCTFp3BbpLnrsZ0XNukwPELcwKBTPBOID63ix7Lq0yzyPq1FQ+bkmVpCMqt+8pV/W4wztY
n91i2ttej+VdA13ntIfMJTkrKxQ7Qp+nXmq1Cgb8llVC5lVv1yiXwm6fgHq46ZxjVALjU2HR3dsA
iuyzIHb1O5sd6DgoT1V0QYXup5RNBBmonoIe6wghj8iGrKcdIig92m4RN+wyPcymSI0XFqZJL+dn
y7nYMtsu62sN2PYSncTI7a8SMN07Z4oOTpkEXpBsbjgIHTpVfXRY0Nw+HoqlPiliRsiqcgJM+ACN
mL2cuzi8s/Min5oakV9JU+JVgx4USZaAALstahO19yCzhhQkdnRWjTy6peVmLlZHUFzWzj3rUkpl
/9pDR3YhMJgGOR0m/kWDPMhp38lgD4TdnFeF51D9rRGsCKxfdkk/8NdE1VSmHa3omA02UDqH/iFZ
sGdF3goC1aajBOxY74ephK9gINZky4bCRwi8jLqP0WRhsQeukxeyVOMnOJ7kZ+5kfCEWZ3qgN3hy
VGc0WTzIT9ZVss3ApSF/xtD4XbCKkxsVq4HvunaBBB9KTXsz9htIATQnxeeTiyHx24Cu1fto0vaF
DeX8uawVwOQWcsn2MGEdqPdhs9norPEh0CPFYX9IC+Iimxa8EeXFqNXCsqESuC+WyBp0kAUmusxW
oPFkVzWQ5qTYYS5XsGLENAfrMRmI+yhq5YcCGj84CYyXMKsg6ibVOGGhxQyq9wa4TnEWJmX71Y+W
7utERZc9rnBk5pO5/DJxjhZPodlhJWQDM2x5lYZFFH+ZbAfVvRc8vlg3sADXyg7uLdgA69V9PGcU
muhLSWv1hDMKMHiX4Kzsp23Y42biXxvr2+tRSbJkEwJxBXAzFR4Y9ofJjgn3pZ7i9SAUkvV96Tso
FNZmzW1NocUAJuf4pWr59oDFhnWPTSKLd1kH8jpUOCH2XIzgU5RuXiqPdD/IC9AqCyC5Cz6NZLXX
jUvIN7uUALFkjZ1VOiKGRiCtXl0SEg5fTTQmEdb2KiQHSU8DCkD6GiIvzFzBHqkBXhxiyNym3RIz
Mmem36LwahLenAnsqB5lQcEX08X6tLO4UmJEIfW7GYqVi4hVb8rQ7ixqK+xpQm3f29XqB7ug8QSw
MkkZ6IUHALM9UjLiESXbsGmIJlVJG4LD3Nw7SzA+nlVr1N8mDZSDsFl6d6S9YUfRjtuLgeFF7+iw
yB3ViLU9mwoTVw8k7laG3y2q53EG05HaUrb7BLf7Y7OG0Ao0MZxUabiAS7aFFjcDNmNvJwb7NvR0
2Efjap9btcrqtitNhwUlVIynEeiJtxpChTNM0WuU2UVXX7nlZVZW0yDBGY3JCsMUNDCPKrDu2woj
Spezrhvf2BRDJWDmGSxwUSubxUE3GIh3C+agNhRQ/KBqGOYv5yUUe1txCzx0IztRFcrlEoxQg2ZM
yj/NkF3gxg2DItmgxg+7BIqMpICALREr+IQQCk3rSuwDbZlq2Kd2ukCXadEY+wpsaMEIDil+mcaA
u1uoYG0UIBdH9JenfpMbM/J724o1h2nl06AcLkwF5QtE6hLOMVZcVNEEcdw6x1/XsiZHjPMSGlc9
ZsZpn8e+emuwt0uLUXywtfpsVBwcaNUOEPGrzmZ2ruDwZWqNP5kG1N9u0FiJERw8o6YsHOIlOsaw
EwBCj8daH5FTUcJhFkBSmqFJiLlctT4aMyVau+3XSU5rupby6zCMQwn1vKHPpZbBlmqCPNyzpWnl
er3h9PkKchfKs8Vh1InLtjM5ekGHyxiKTtAjpD5rIPXdhQ7xfrbE1sWuRuYCF8Sct1FVH2FqIrsS
kon7htF2z1zR5gUiK790EBJ9k1VhXlsZQSq1+flzMEIV0mw8rvIF2i3wzqzg16C1edonS093KGPa
alABfcMhjxuC4CkuqxYqJ1j5hkw2duxzyALcdj1KwJc7JNzDTtZp7EUQlgmp2s5NakWzUBBdj9Rt
EN2vSGHeDdRGL6Eom/qYQBL3IcciTDvo8XHuSN0eu25OogwrAoozIQaXN9vWgiXc+im5WjadXBIT
ep8ZCkyi03N0zqYpaNLCleazDg0QE+j1/RsJkVQNRsVESWYDuWG1UAXiSnpOuyo1xGIOVbzdDp1n
xZo3OMpXFNpdWAqbSPAUUajnTTcVmQ4HeHcHHs7PGKI2CMQSGn6ZRz+9WPDF523HZJn3oYQMFjel
9VpNCXjYNplIkAnKQENBMF3fWEHLMoXy1uSaQ/KV08ZM/NJhJ3uEr1zWWM5IuF9g+cDdbxNji9sq
weuFbbddsRaXabYmUoJ0bfndkmzDMwK8hMiYrIajDISA1Wu09VlPS/DINeRCiKANJ7+zFZ7yshqE
r24mWqirtYYaNIvCGfMLT8a7UHf8Ht3CqEAt4NCYUuW2SGOtDHGeQI2Bzxy1luzdXOcTKMLcmRJm
FkS9TncM3POFLXB44GeiW5liGWcQymEqxpIBAcehItg372QZy+6TYvXwEU5dWN3D9YDlQi2n6agu
9aYRS2/adwwKxb13q1eXUuuZINrZ+A2XTaK6XdNVogdpW0NPhQXaG9jISvPcIOnC4b5MzI0dfHHR
W+eQHtxOH51l9H6BA2bOqU7auxIluE/hSJLnEM6MQ4gyqw8bOfIEu8lyAf1v8OpJgRqvAo6Ku2Wo
7SvWX4wLMZpu46yTc33o+tj7dOmIPCL7yn8aKt9uIFVp+4nHRJv8pNzqsAjABHQYwBBDVw1J95wp
xI+3mJRJA/1d0GKKmSuQSWcS0z9UNA7yuMGV0bGaQ97uR9JAzcxL3N3SGOVk/lBEparON8ObC2Zj
Px5tTKFbruoWocA2aZNvrnfdl3lCxjwYOPQd7WbspZ7j2iN7hZcLzLAHAm4hyHD2lvE5OOnJYc2q
db1nsAI76BL6IQneh2kWZx6SZDnkCWLa6mPZ16AHss1hu4M+L+RCvozrQuU9GzCXHCBEDSHxbZB9
JyCCs++sX9PZozpyv8BFl5q1hR00jAeIUlGldoxwPeHE3ALZXZbcwF9hI8Aa15tWGFgj+E+hL2SP
BPeb7bwpfHEHtnNsb2Ht2NDl2MCRGl62MQ8KNFYvtkU6lkIeFAFRFmVR5xx2Km3PJg+BUzmO41W5
DRiPNGx/sKBT3cXXpobd5ZzR2ZU3chGW3yAqsVjO6rky+epYfwdp2hhcSoaZ5NG3JNwOyPJk0X5e
t7I6MlpX9UsFbUZ3Bl7a+71ugNm8wWZE3pOqbniqPbSxb2gZ74tUrIoKDEkmKhS+9yWcENI6zxgz
p3WsMrDnCA3IlQ/JG4Da2WSTmRbI0Aod5kXFfHKJ2/e4nDWS2vMYIpdpF0IMdYaMs+ZglMEsERZ8
fSh71MAcfcVrsi8nHUlAulbVV0MMpWa2dXQwO9OE834MSgefoFr4AaklSXEeTcMKt00N7XGGEkdR
nPcjgK0QLZch8SnuDF2zg+KrnV/XBuO2HlffXbUR8M8MTkq2QXyyGKnPe9L75KwAzuxTwxBt/oyb
FJ+P8Wp6jDlkWS7dEknwoFWFOrsn6MRAYVNcw8Md+HIkc3ON7Geo4Sps7SAYvq3HJHmFkJ7FKZSG
GsYjfBwkIEyV386oksJdlEG8tfDYMBGnWyDMXoTTyNNNopa+6prXpA4KTORUq9uy0bgnxoV+C6I1
KdOWbHCaqXtYSYjNp6qZcfIkSwufbeRqWGK4LvOqgNQmNB1uU30ZFN+2CrPekYoaOyNADK5MTVv6
L15NUXScF6owsBI3n4+jsw+QSfEMLo8I93/mu6OLxiAG99reW4i8EWcNi+mFWnHFYmopoPsooDnm
0Ncp93kW0raY3iXMAgMkuiL12Aq3Z9U8KZ7NwPSfZxUpfB9yA37XVorewJ7dhleI5nMqx6Mh84tR
xBfkI+qG+3SAXY1m8Mmsh1X14uuIpR8aZViEn2YaY8fUQCvy3gW8PwaoZIFZToDL1+1sM9NtlKet
YlObbx2LblirovuxGuITZ9Ada1SAbp8jisPBFz5d4Lw0jzjyyRkQX4LHD4IOsLTNRw0I9V3NRD17
Xxm4SJVBMHtNw3MXURjewUbQzEravqrGCfTdT1CvZmKgMAosjmmS9yPSh68Ta0esS5Hskn2AD/Y8
qia5APfuYXtrBmBLvSwWBHFis5/PUwGnE5j1Et6kCg2J+WJlgRV7hCT7fxfd/H+Ry+DhKffij4HL
i/epB4PSvP8WuKS/POofwCVjIZck4f/gK35lMuIf4cNkkFRSQhjo+f9CLqn8MWYIkiSQA1EhxCmy
6VfkktIfYdKnQDVDGuMPiKH9byCXp6TN3xIZnIExgdkt4gmeCa3D37F+Mws0iESzg8gL0kd/A+X8
N6AgewdmISjMnRuab2OMAek3R+lXRuVvve1uh6o3808/SIFP8PtXhu0biUEUFzFj+CwnRPU3ZKYq
WbTxrbU7XiQT2iYF1klYw5BVwHArO4YEdaNQnAD+T0UVbPfrrNf22Lpyu67orL8B3PUr0jYQgAGW
QsqXQfrhog7jEObNCqqhHEBognF+9vI2bkc42yxx5T5iRZghmGU4bNyJ80AZsLXwL24A1gpQBl4h
/4xPN+iG5zmPoi81UX1uGwQtQVeeGdxDoIHs732H7jED4IMHIbmArZOk8TrV99FKwVqsoAzh2g8o
JLu0uRYzVAapXevlGraIR5VIvF7h1/mAjXR359mwa3R9WaMN9arROBRrstEtK1aCeI6qqfDgxVdN
1g2j+xLxIH4yYkY0x2ypuqlEMl2yHopkWvkiDeFn6VIdergcYeiCB7JWz9VCk3ts1AAqbqXGpDYc
6BLaOxh84rzAUP8CgXSksObEAbzUDXZKkQvkzQLd0rdiDdGsiTFpggC6NslXo0Hr7OCWD1KM/uQJ
Q/uMPyLBgOeFjsr7Gb6hFrdh30AYFaoaQvzGL5Chy/IiBFJ9sbAAGjbI/TGLMX69Vl18A1lyVe7C
xrPbMWjgNoxnclnNK7aneu1vV7Vgfw79BGCpbRQG82MHm6DWRX8YYrteuloaNJoVaLiY6mRfo032
ol+dfhp7oJrZqOdA5aAPh+cQMQBwAwLLTgXm9uAAkXMy3KoQlj50FTfgolpvDab+fuyyeNYJoF+E
VJxxQiqdDSVwKJjPkEwIB4wyBnoRCpONbqW/we8tIzCMnn6wQDCyw7a/3zlmktuSLxArEnhAWWZP
pX6MwpYK3WDMoYcfandQjiClZgaXcYiRCa/zQWn2zLwT226rUeuTc4fJqsA2WKYw2KOSdBDaH4tu
Fid3JNNX1pbmbexDnEjNSF4UGcqPwgj9BUemup+bPrlB9C5846Nvfb+rYlu+QJ2E6aOylYKUvEeL
NSfU3fLQ4lW2sKRnyHlPTOZbEb+hbnI+51vN16yIXVuklavLPi8j6neQr4T7em79Qzhs0X1PJSov
FxqaDdzdSYAMjeP6ZewERy2UWvSdK2jyNsuh/DRVOHq7WE7DVdK2DbwOieLPDq0lqbCWrlDTVes7
sJn5CfYlDCphP/H3sarHPtUCxCOlEyhU3tYTyUY60o8AmMZDaXT37Fhd3AEZEi+QcIcO4GWLESZc
IvKo4OwDEEBdA3k+IOCHgY/xbvaWL6kale7SApbWOZ8j20X7qpSIHeBTG9Ccr0igVyXwi11JQnmg
JVxKWak2Che7JGcQ8zl3KJtyuoezeIQRWJH2YmuwYUixY8Mqgj41taRAbIMbj9S5DjFrsnlGlhZ2
n4QM9UmiLIYvBIAEyTmLurNtPIkdaVALmFJdeJoZKnwejhQHXPG1rG8DxCPchkYwWFQSJpps6+ly
Vw0yesZXytJBc0hHuNR8V6AC7AG+vTKPYdHZsYh1dy2t6t2mAWalmq/jCxyN4BpWLEPYFMb8DYs5
vlEJ4ztIaUF7lmGLGyTZ6JC7BCWrhlwSGxxEA+AiN1EG07A/BtqcW8V9j2iFOoFz2/VYFhzSI4a8
Cbb/w96Z7UaOZNn2i5gwGo3TK0mf5ZJrHl4IhRTiPM/8+rs8qqpxq9AD+qWBBjqfEolUhOQizc7Z
Z+91xlsCTtNLTkKdGZfKiX0h4ch6L6Qr35lVjKYfDaZZb4SugdMi1JSeIaMNF+yA9bPDNJmhbzja
ziacSvU2FWv93UQr9VoRIyNCe3Jpb3tS7qtf5/TqXuS0S3TQQ03anm0Y2W1RFiK+VGyiizfwAYxj
RaYt3nW50bvHBUd4RLpR5+1qqyKBIEEd9jmF7Rz6SxRC5CzZmLLtyg742YQ7dasM2FwBigAjdDLw
mvJ5cNoxaPDu01lXWgEsYxJu0IQVWju4mo7/RTfN2EM9G27aDjsrmvF6dAldIcg44Zknqf2wR00/
a1lrvwxpWxyZR2WnNcWyfO0a8r0VL9ygWTksr4DAOPTgVEy3qicZuCkyTmqyOYTUiZY3Dbqpsr+r
0rIe56tfNqHHLbypFlnNK2e3Pwt65X1rGUj8SZmCB2Z4f+sUk77lB6WJjqritayi9hix5y3xU5tr
B30pypjJradCwjvXbMRym1dvY/CdfwLtuEX0DtG5hYnARSH1C59Xfsuq0G7a4BInepEBxE58WZu2
2IfRwlgzo2L9FNFiN95gwSa/qawlJ0JkjfGrQDDjF32NK/vOPDsk03V+tjmMlzfQbtYTx299mVtp
7SL8nu8V9/ONJaMZxAtcnneicAjtercigEXCWiN/TG2M55IGxqWfB/vjW3igP6bB7C/K1sbbcA7l
Rdid+dtYSLY7YbI+m7xIXy7NufJ7YSXbucp3krRW7TtVHzIpyvv2e01GIDtm09kmlnXiWNdfmrxP
VDNgu9CHw0Bnm98042i/m2SOftYsBK+LuEVzoecZcfUhjYG7IC7MbLdhzDIybopC523Ra+uT2yW5
t3Q9njm2MKjMnhxgMQRVX2u98Bo2ON4Bi6kaX42rmomckjX2NaNVtAmDGcxINrwEgF/mTks/Gxyg
t9VYvY5Fi9zXohnGqU7OvehI3FAYNEzweo1OdImV9WitxpV2vqDV+UWo0m0dw/QICj4JvQgXhs8Y
toG2SOerkb1xKmPLMb3Z1hkRh5Xb7Rs67RsEHlz9YfOczYb65WTSzfe24DHbuLIjcapLigRPDXb/
47AKngnyYMPWUgCWHggJRCHDEQOxysmisAvieUh5O40BiAtB4JaHZgTfBqQpzeBPDLNWnYZRAU5A
atGZ35UlhVCuuPQF116bCwLRzsr+eI8LXv9pszCsOKfz6C1h0fvqa4OaUVHQrwIBYm0TJ0tUEPi2
deMmm4vlmDSJ9itMWpIXCWaUzMtamroatsnHFUNMKmNItI9IQ2vwDXY+fQIc4RRwZUEfxxpp/bF0
aqX20Uj6l4tqnZ4nEntcxlAxusMC18z1eASm0M/SdInOiyGMB4GS7WzzieCVl8AgaxGbyubQW9L+
LkIsfbMKfcfN8qBtatc3et1CPFfx64STH2F/pWJrETe9rOgq8t1wUUDBYWREJUEi73Xta9Gj+l2Y
PkOfkjERMYn0us856p1iqxJtwXRE6GdYa/6yOpJ3kDsijgczDgrUR9J8C7ur5nJPJGtOvSV11H1a
a9pmYov4Frd2vrHdUHHljuGF3BzBOXtw1q3TFl/g0/RXnkTjh5xBumlJF/GGVbZ7Yb7c3qTxPGn8
ibn9sOpLUm1E78aPGkviz3KY+Px4KV6ISXNckSRjYyoS5/IaKnxH2MyxESSrOS8B4kWnk1qqhx/i
psOXiscSPcLp4oLha8jQraC7+TGcbmz9VYvjJ1XjsfKqTqrz1CHgJ5Igph9JnkIvS6YyDvRhmX4S
jUFOvTbF47RyqHh1CfE+IPhlM6BhtQBFZd/Pcj9AuCLzk83LUfEgUvTmQPwmzBueyOK4Ije4GDHX
WNnktzh9hyLAOzAKtPW83US6lTzWyHkP1QJMcLWJNK+FvTq+aFp7M0ln8is3ZcxkNsMk0A4t7Zjl
IQCKecH7yUNsuU9ViC5OdHahEuSizJsgasccHUonZActyIoJQLGKqQs0tfDR2qp61pHjtjXBUmsz
ZLVgNjvH4wY8l4sgbHb5K6AAtzuSu4p/Z3bUxh44Saqikv2GzOAtAnSI5LJ6EYORP02dcL5lEVV7
IERzfRgIGb2VdMbQAow2/UxVFYktbax5xyyCiIahlXCKZCT0E9QJykMXYYWBc+k4BnnPUHE44OeZ
uYar5h5xn6xsX/AYem2yUmDj3GO9tGrFRdpJo59y7GvwpVolnuyyNTyYPL/LNZ9ttF82W3mtboeW
NxZaGu1NKyId2hJarXp4iQA2QBwcE3ScI/szeODI6maHPjXbS2cwHSasR67cVOSgvXGu012Ckekw
OZFZ+1qVflt2J1oP7xu5P7c17620POkOk9OpqQ6FhD83x9lzvFoFJEXd2mAK2JVkGnZJpfWovpH0
JmnddbwAd4kWOpsF5dm3c8WQwab8aCuIgRjg+uw62KWxQCIK4iGHIjlOYpsZLHUpG728nxTgpWJp
GRjqVI1GQSIn5K9ZVH5TlXqy0eBJePaCR3CZU+sOb2e3hZ2/H7jY4NlNm6jLpktpteJFEMCF1S9S
0nRt91qGIypZIq2H0XKcDSHRZYuWfmfHGgYlaQ7Wnqyue0CeVSH1iYxGTihXBG7YJCddzxhVtYmz
bkQL7C52Kve4ju2k/Cp0QzyVTvnb6exdQ1rvp17i7BKN0N/6sXQBQozO0Y4l07nGir4dLlDf5gMa
2py4S68G0YCEDGNzw5+YaZf1z/RpNhDvuZK7+qkgV7yXcA9JCaHePRlFrJ3ysBy8kbjK3maW8VyT
hvkIB7HCvxGL9jMOdtl9GBltEAVAQmisDB2x7to0mxxOUjkHfQIBAtN7nX9ret/eLHpMZTnGLhdY
OuuCaqBesmkL9+AqXTouS/SUk27hcA2sKZtGehxRX8eAiV6FtJlUCjhBuDNrp06YNtQOB5UzgUYN
qJG6I1tvOXZ6vrX33lLrCFsiCUUwzxoPxcgcwNybBW0C3BEDKqusOpWBABrwhhilbn30AFt+12Yi
Q4J7brYETue4B3d0Z3cPCaqLfKOMKaInI7d+O4DsggQl59RN3XS7pDMGLiAgFKYDvOwvAJJ95Smo
EffIAtW+HwzjQfVixE7qCI5EnEVTwGgzWkhxdeA2k4I1l7skCWnO07wcJTwAKW6Gtq73AMmuSrVD
jGBLdqT/Yrbm9Lv/Wenzf6uxU2H9x5n9H+uj58/4s/3s4r79J4X071/3N4XUEX+59HJCAJpj0wiT
kX/zesu/LBO7ttCh1f6xdP+bt1PKvwRnISeCga0bGZAv+odCav5l0Sq50C6lxO7tqP+OQqoLvOH/
IlVeXaVUbMTKET7Uv265k8PizLCa5g2DGDnurStz6erkBMIWq58oY+86N4jtGsHsjmuLwfh67eh/
biDN1pKNA8mXrqwzq7cCI7h7O3Ky8H+UnfwyGku/lhzGwZ4V9x9BR+7C/M+9GGppXt+b0BxfNWUm
0aNYYOrds58z7yDIsJXQZ0X4NMLMsEIys/nV7slk2SWAvVqEZBmr0Xy4heQ+/1tJiRsJaa0yy+hS
9pH+o6eVAqFkSZr4bHAPzbVikFmsydshY/YZAGlVJk005sk7bKjTDYvDKEPMa0WC63E69j3iNsn8
agxvwz9FTOlw+T9Qu7+Rf1703aRheeKSl9d4X0gSeYY8xjhiblV6wwxU73xM35RVku64DbiTFHu9
o5SKyoFvtm3/VGUkUbAMMjxP0js4UghrqE3PFkypG00YS7Rdydnme41USXaEN4LPhgoO162Fn7/2
FqAhHbho6kzZ6xlHh1ADZSgFaX8tTUlmyzubpXc3eCJi0FeUtx11rkkONcW5m1UD+dPrVidAZL1H
hMjxXJUnr/xpKMhj1F5CUp/Vwcxrqu71TwVOLaMeMjbeRefyT43OUkxIl8iP1O7lsmrzdqosCnsm
+eZ6VuBHtGNk08z5YlqVtieWmr62zjoNu4FI1HhGdFhc3/zTcTikuy7lPOuTDymiK28c0SMfwgdD
Iq3GWt+jOtLLdEjH7kGojBwCTQlNCNvBB/wC5VTu5ez0PT7gSlabaMW4GvR/GqjOiJNwu2TZSCB4
qbplA3JM6pvYri3J6VzPT11MZm2fXhu1+tqyFaAlfCtq2++qC/X5yFOHhi/+NH9jS00bmHoF57MV
wyHKux7D7WqvrS80ujJ0o9A6pqkwftWuPsz7WIdpuYnnqEM3cZGF/aWNqiOoCtz5CTvgboimIFAk
9sVG1XjuuoEYbh822iFi4eLRmSaE9A6E2atTpvoD5Wb3sbqLdXLNbD9WEvsxKDtHPoZkAfAo5kx9
n8jxowToIqNLHkS9POI8Xb9Zj7KeRxMgmQ/LNdbv2iFCjZirjFStLMkL7FcRFWc3ddt+P6sKlUyk
Y/HeYz67c1NbNAH4CyLsIe7HymcpoXpqlvjKCJOFRfRBc1iRlGWlifmJjeRkAwGjwXfQIv00EM3F
WxAV6tzWOuP8Ka6WHJh5kXzg/JHzhpQ0T7seaVAFajL3QdVQmCtHhC/aClx4tUGGF3NVfpOmB3cA
4GUbhWp+dUdeu6ZLHXunQ9J4X/KI96Z2oa+iJuNpVkV1KjElPHU4GxgcL5jhkhymRqKUcUFjpOLD
65Huh7HCI5noYOyYMspi3+CpfNaLrDsB6ok+zEzG7mbt2Sl5n82JTYNh0NvtoLRMW/rz+Ndca83i
pawnIX0h9KsfO2+e8LYaByoEghwqL6+mN2ti0WVoW/l3bcYtQ/wV9xTd6frCNKT8asZqdEFiGnO0
I6DoIEHQZVD0TuNGkdG5BVeuHUIlESPGqMqnx5qdsX/I21RJAJMxwbdu0VDIy7A+jjCPh928GDpE
OdZspEFmKAthNeRZ9U3RdK8jaOs7qo7KdxlVfcBbtstnJ+00EUwzLwp2ZMpVwB0stLe5Bp2vQlsM
5tarsQP7wOMZvxKcFr/6IQeaKasUPSNrt+4QN0HcoXNwhBcGTRcDXDhPSbNnNoKAhm3M5di/4nkb
0uDlE3YGg+SOIgYwqiZ8KBYNjXvJriKxnOxxU4IQnTa5StN7MYQYB5CcKI8caBDaCRty+mmN8Gz2
USKG7KyMcPWdiCMHRolRbGoJHcFbh3a4hEkWPdGKlHkwRrPe4/hK3CrQzYYnEaAsOXp0+unZXVZk
IhP2Zuh1fPIJ8rKy7vMZsILPAKJofBab1XVgLdc6TZoxoKVGalwAq40aSOELQD6m3peHxGFixEeR
WJuS08yFoJHMp6xPxJ6HedWQw5kcznNVJz4eLiQlqREC2PaN6eINTXGFzm7zWg5tda+NfcK4vEnW
r0yBaaEfMsHKz+lwNQAVSV/445DCySlVlu07M2dMwJrY6844a5XKc0i/X0K84h60giK9dBkZhQ0x
DOPTaeiifKcs8dAgF5wJh0wgubI56+j30KbcwUG0Ge2ouJ2tKnkwnHh8mRYal2yJXGMrNOadKW4r
ZhAO46Fz5q7L07gKh13TKT2+F2XoNvvZGpzf9qSWfWFE+i3oUFSSSpuQ7CHWM4UqicZjiUMa9/Rk
jsM7RbG97NWQ1u5lQT8dPQ1c0BkJ0H23zMW8TyXrWI00mT27Lx6GwqXDwgYVByFNHnu1oShhfNX2
aUL7j372K61ziAz11T4ousz4AHOBOT2Sq/PaJ4Pxg1IMD1vNFT7vFUAVA8zsIGY8JZwx1/4nSh/x
wgxX9xYckaXFqD3OmOW0prSPemMLuRsNhJcisuIgZ7zjEaKLEmxCS4y8xCwIp1oMOaYx0S3tEOBK
s4atJyI6SpWjtH/Eeh/dWGM2+VYVr/u5EHBOahcdMa4nZrpX6OgujbAre8ys+10fR9NJi6cImz/+
nk1pJ4u9wfxk346N1n4hgETfaoJgEHfLk6ZzsUKqi1QCvqattslcK0YPrIqj9LChGrecRfTFxirH
gyp76xdGpFrs9DKXsEPT9KAr2hfZhs69kniKzCzRn3KE9w9Txw57axCh+CF7VE7UBpks7qw+ZroR
p5OGbCcJ48jFqQFf6FOFPUpl868IG/r3xDKT8QUgWZnsrEqvvhvTEO39FErbvm4StN2jKlBbbhJX
52OMIhe7uGL/4rcRYUOjvAE7dgjRQ8GiU84hVupV4R7L0hgfGwGUKMAShIzldpVxqGarWB8gXj6M
HRyRo9k24+IZ7rTcL7bBMMBY4zMqarLH29UJP57bftfGXFl93heoEiqeK59mmteEQhxO+NrGB1xu
zrFMtWQfupNxR6gL53EBTHKDBj4gHNf5xhV5xF1ODfLdopk9m6UdbwZ7koENu9Lj4HVeNK0MsTAu
wukPDj7xkrASBN0dB637tCSp+h7GBgdopNryjohI8zLMCNkpEr9+NLIlv+lkZec+MHj9VQqlv1jU
arddb0Y7Nx8jJLGitYqdWVgKzIOcDWS0GgO2wRqVLy5IjMm25WQ+Q2fjtQ+7T9k2IeGJMcdKGZHt
hiDVNK96YtaapxNYhpnLgqfJ15KlxOIzRE9QmBAaHAtEqqBefJyafDYdnuRGvq049X23gX/21aui
xJSuOI1DTE7U5J86+Qh/WOLHNJP6QZMGJz/+OcM9NnhCrL1YsSvfZMwYlm2RQ1m+TarRYFvDpNmp
pymGr3vJWHDd8m/4sQR3CbvtdGJt26QZ6m3HutX5NNBZP3VARE0/kZF8xBKoJ4HEjQfcPasf2gXP
Gc/+ul9HNFwvc7jmg3IdhksCCssnmVOfWDxtbKVGVZDk6reyrj5bUkYQz1onNQ9dyvThFdpJjBot
a8IlRQ251FsNATOWnTAXNc2oqaDG5mFINo0Vz0dRuNUGpyRgrg5G6kDIZjt0jFf8OLdb1zNi07xt
Zrd/mLRw3UXEXN9qPttDSeo18w2rzEDzaa5mBXDsk2QjrNggjTNq2nvcIxkeU63GjDAYhf08GaOF
VytVOmjxdmSCmzv2jM94jG8jdW3OKvu6FaZz3fkxWeYw31aJm/IrNNd38GvTh+S7sIIUXK0OxLuA
bKiMutspo50/CPkyy0n0TN0lMRNsClxO2JQ1KltgKvExNKr5dxE2y9Za7PyA+3lN9rgb1JmmwQmP
+Pflr7SqjSDXaWcCigzkFxCyTK/XbJ4/Znn1wUiwKZLfYkikiFCPz54WDOV2ZmTphpcZ4+7Ekp1f
vL7WTQdfE04DcZuEsqOM9iT98joY43w7iQaiLvp9cScFxdAmbESiQxqLWSxERyzgGSVaSldFe2P5
NLlYTlUmP8yeC8xf+4H+FTFMXQewOXDpEITp8tyG2Pb2Gk73dJsAEf8em9Y8jPGgvxdz6QRdbLb7
rOaYXyUapmeie+5a4s2btsTYhH89Sj1Q8+x6WRgRVUylrO5DaU14F9mjubP0Nn5BVMwd/Kl1nG3D
FAf62vYV9sZKIo11bmihl0altWHejc9omCIUUJjU1DWA+OY7p8YO6kd94n4nruE8Gl30DCazzT0z
tZjZlMzssRZj+WfeuAMY7hyXjgUDcCnKA/Tf+mKPjQhq8k+shWCslm+WZOgeWvYVeUY72OCpy6T7
SnvsxFtXun27t3s4k7Ts/Xfdr+MdfqSKqZYUduaZVRRdPf5YdVU/kZXk9/CD/Lw+YKnqqewT6wYv
iMUUBmdlEYfTGVL0ifwnI4ocwuQCOnXcZ8r66shdXfD42kw4Srw8MV0SDvNdl+ZUvKNlvK5r/M3j
xgCyQG4ksPWdw9U+dKFRBHni8HmnVMg4pW5VodXHwuz4hsaqvsAS4wLt2+iDmqKoPA4/61Fln0Ka
JptdQ5NCvzQCAqLlRleVecjIgz6GZPR27AUCVeHGQVV1BuEWbJ4DRo19KFrF6pJsv5YOY0BryNKA
LYvlNi1a47HV9eXEVERAe1DlCd1w+kQ3RMcMM8YYAKfEvIdGD0WdQ3L6WgeL+FuZ6Q2eA9M59llD
0YWRNM39cdKaTzOznGWzWlDClsFo95B0SJYgHO/StJ72NfNXHpM6u0A8Xm4ttH8ClFPOagYsYy6i
bL/+XtIOgFJGBembqnCecMaSSJE1GbauVPTEOUJxnYlAUsn/zrW53bXXHYNcJm8NCDTdWytzOHcW
h2gP1yj1azaWhLuicqM9lppdkzvZrsS05ulowWjIVt0/U+42GGiWrvbnPz0Hc7ug6czsxzFil6lS
tT4wfVrf9TyyHsoK6x0EzrTzG6mWziuBLvmJyXGJcrMzK2B3Mqp3MAutu4EVQPxAM4svpAlGbCdZ
G7I1BsTpyO7NmzGnPx1s1bxNrTix5oGBqzBt8wEWb79vina+h8yLcCTiwvGzMntrckO8haKog3wg
tIuUrW9UuchtbV7ls47F0YA9SCnjJosb0yLRlyTHWkivMZZhb8z2LcObySffpk6LKXUKKXdl3GA0
uDl6XMWMFfFhRNpm5DLeWq6gvLOi4oaDKt3wyjivpdYgy0dtw4YrgywM8xZc84SDCYCM8xP4qW47
dRViduMO5p0TERz3otRazlOuERwd2sWrjDLfLn3UHFegh/I062ndb1DTGO3G3buWOuLJtJpeo1dZ
u+eVcBPo38x4beZU7OwiE/xWV7GvLX7/bRn1G7vD8HckqkAZMsVTMJqmSZ2zZvavucw/MTMk/lzp
6AX9WvyGmxvuOB+qh4Y4BOVQqN3mBgkwFU6vfcrFOsBEwDAY19WOYOCIwD4/xFVu39YmCE0skCNw
WDemvSEoZSYnXHHlwRat81v0xgUY8OR3zBEoyMLlYqnF2sxav/g6PmvvKpywk6faxXPaH6wZi7m3
VKv1YsnCfDfZPEEClJskGpKT3fT1bqHfYNZEYYsNw1x+rUluPOOpEj9TO2j0A655GSD4ppa59re1
xpTkHI91TE2txXuidV+NqctuoxndvKf0Xn5iJy0uWWfKPb6LZtOKAo6KYFOyGhZssA70NW9ZuphK
ajUjSTls4ybK0oR5jkPTcg8tj1mvSQbpH3uE/48X8V8jZAR8lf98spCsFZb8f/JdC/3vX/a3wYJr
/KUgQ2Av/idihCtBSUgHVLFtMz0Q17Wv/yDIKL4Crzb/GAJGvAnW6u9TBan/5VJsmq5wHJ2vtaz/
1lSBv+P/tz87pkJ9cw1LwgrWTb7xf7Y/zziOuES4UMsRaKeZlfWOjfQFU0D91mg79wAS853bGzpw
BGaPYuMcmYXxX9iwQWH8O9+HpAAwbVuhW/3r9l7DjTQ6w5CpRtaBwrN1vGvZtlp9a7iJ45Nq9o11
CYsE+izoFHxqbEOKwjMeix70rvE0NPZtJ/dr97Imt4YoT2w/rJGjOUFDspqTZZ9qEijeNCJ+mP39
Miw7PewaWDgUyWJ4nrr0ZjFhE4blJi26CyHrO1aeHaVRI89b27ArXlUR3RHZQlk0s6eBrOuG6fkn
C7UANRNjCkyL4Tkdf1tvZv6iAKPIAqgweeuY0RrLvCVPtU8j40KninZ47df5YDvD6N9QE6+pvVVs
bVpFetibsSy4DNhLs8hzpRHlZtvK6Lxq2fpAhffYMC7tonlPD3UsWSzGcixP2M3jPF+pEWS4lzm7
BWOCqzTCuYgW7OyJXL+SkLxFyD+CNfzNGsO9Iz60Tjzb2OWi3j63ZvsA2GYnqVH1WQsmKXER23wb
xAr8Zcg2/ZL/At/znTRkr4eVdRuo3j9cWuGB04tOecUhygynCWZ7PfX6dNYQjwL7uihsYomvQSVV
5NGhFQ9dibsat1SwqumxmaOLLriNJy/l03IzrCDLBpcjrky6BeO5IFznCdI7VvfYlPMPbOPD3In3
tQNAUAsE/al+i6aEvSzJSbIbbQtRMyhCWnTbfebx8jJzS0pNYV+yi2Dux80ixttIC9/Cej1RLz60
NiGd2R6emUPg5P2uCqgogrzvyMJn2segmlfsUL1pbFpZ+hkxX3fuP1JIkFIBmRRz/mbzaDax9ZzA
oIBbUH5XDQCQJS6CqksL5CnAJWn/JXpug1CEXDTLkezsxmZ8YuIkTAv9SRWvdtuud4zis9dxLU5d
pu6huo07Z5lcr7Wi6QCZNkBOP9mlG1hNue/j7M0awt+ZVkE+uKvN544Mt6c37BGVtWDaZFPHTuuB
uuFV6eV0lcoDTNOXNbTZx4KlBhrdSLJILdhR6jPGDJ88Ok4itZCFRsbEAB3hR4ovPc3iBgv+3lA6
HTwtPD0A0wwnvrCq8YaWAun60JVG6ZsWiFvHvSTJgF4Yzq/12u/XzPpFP7hJp5KQuaZfF/XpV60s
y/3EMjZgD9lwlfwyc2fbZBelC+pM/Z6oAywMtSU29iKcYj9KNn/0CDHrar2y+pfUfL7j0QDCHEvW
omKV90ad8FM4WrfVoB9jiUAu12fcDmaAY+89gf/hZwl932r6Czs7hwLHh+x2Us5+uTr2aQStETXx
lzWqix6m19dJ3rmC4rvpzbvERejN3A9ytvgkzO8q0w9ps96DGsVfK6tim+Xl3izFdENUFO6GjW9A
J55xxbOh3cPLoO3alPqltVaKDMEn3/A5Ce2AQ+IM+mwCAGpMft2OW+Lzf1YdXQg93kP5bjx2aj0l
TrmDnauoeWMCz139qzIhVS3WS6GTC+Q/BDLNgLWaAH3n6lTF7TPTrruw7N9ZIllfB1xs/LCdFzgd
j/Y0RYyPz7Pdn7Dz4Sdqn4Tm3q1G897n5ofsJazq8EYsw3uzZK8ZKO9dz4agiOnAotHYjnQdJKYf
FqU9EE49zIVOBtkuj/2AMsluLCATqpJebLfp3namwyScvSRpsLb1j5EVO2SfTycifj2xNY4VnPKM
sQURucHuojfObyntl/lq1qsytWmmZdsYbu3HKu82hUHhBjV170D1kMN19wORGs+lLcutGDdtSga5
Mm5mUAcb3rDbftFfG7f8tdh2s1HFAH666D7TzObFoKjEN/U+uuGl1JwnbXJuxNjfrlJAMsP6vuva
7CyriIUk6vd1ewSR/SgP9KS7WflY2VZwzsZp22ZwQlQ1rViVEJVZcgECHlqtj20bLSg78eodyNSX
m0FpFyQkdIo4ytB5tbMSmBqTKPluq3rXrfmD6BkeM4y77xgGsTPnupqHTzLbtJZ9ZqnaoVrVETfL
JoebE/d+ZjuATCmMxRIeLfN9MLJnQhqsgm93ZJbYWFb6DXs2PFExn4jDHW1+UFcfcVfeFq79Crfo
wLq9oM/ViXHzfhrrLUbyQIcH7zuOBZ15DrH+9KQIHptwCpoedH1yC6aXFR1E0olLujzpTq6/QQO8
kxOtOxFiz3Z3bLsCQteFe0yLK0aG9gnA/mebwRpGqM/wr706bhuYuMCuo7bSlfspH27I8s6rERQK
mIBWtvfaapzx3m/ZVGR5bsorr5n2xZzj3/VyikZ7g8OMtZ8/BbwEYVrsqV/Zl2H89GHFlrgBDjQ0
e+o32ubkByHhO47UnWH1t4bV7q/TJdZxbsSAw85s3TcnnYN0+OlNHYsxRyects5sb81m5iWs3nhF
XrAeH+38Y3Sy93Qs8dSmAW30zSCGOzvFXVuZHC9hfDY5tNA779uuOtrTfDu4KesYizs4Lh9FBIV1
0dQv125wabCmcl7ONsACTAKGn7o6oxZWJevD57AObwB72GHC4lU9/Vrb8heNAKncMyRUCMdw70xc
VlZc04hjFs2xOWADmZJHWRwNDgV6MyawwF8CYCbQowYk7WI3Gec1deid8zvhJr9HSCGsMEzQI7g/
q35nzSglQCniTJyriKR97jY3kcru8YDAFIITUozEUBiRF/07+4lyUOHPqcoCArhb1j3c1mm312lL
PWNMXuzENj1tldBt+LHSi70G5WDvWHu4r4ruW7nzKU6y/dzwAYLkUgWqrUUOz20SHH35Sc1pYNnW
Szu3v1w2tGx6JsYe3q4Xs9E6H5vz6s9p8YzUo+5hFuq+xUCT+bqgsKmqZIfM7E9ae8zQT7IeU2ep
zEsdW+9RunzJcHjtRnBqpGM8W7UvbVbvqyl9SW0kMTYAWJLM1HUx3fo09vLaqnoZS02Isjw0LKPx
w2636ObGHtEdovM4ma4/sa3UdXnUMXK70w+r8nDJ3feNe5wK9xL2yV3aHZGdAoutG/MDwXfowNvY
Ku/IamBzJbwe4L7l/sD0KIYHdgAxtoImkk671X2ObPkaTeIhGQTngbNLoqcsIa4OVBQkGxA1h/XU
ww0rH+9H/UIKfQMmAVTIh4arb25YN1ENIAn/H3vnsRw5kmbrV5kXQBk0HMsbWgdFUG5gJDMTwqEd
+unvB071TFbfHtGbsbuYTVmZVZERjADgvzjnO8ln3zc7tzdPKB0IJquGw+CjTuwr95efP0fcmyPB
FZiuF0ldsBuhkSjh/bPLMUa83OJGBBmI2+YjJuBNB1u+cgJM0YL6odW8F0m8BFSJ52qWBqOYaM2j
z3AmTnhk2ZSkA1qMKnMfjezWOeuwQHcEJEZiiWCL4fOwzp5CGuElYe3xwfeYinicyLWupoMX5PJc
Cjf70hw2/jkryH0QsBfiMe03r04vi+eK6SR2ZFxKXdqMv/KmEXd+ootzLa3uR8eiY81+V986QOaR
LbvEAwQtRBvhDGu26PqXm6fRvbAy96hXIUYKHvbZjnWAfEYGLtaEJPsPU2fxSWpN9J5RDe/SmBzM
RaI5xrqBFHJIcNi2hFzLaJ1aM5I8jTG3j+HOQ+r7k5cUX146TZ8okPRd5ozNNtATA4NYbW2Ie2+u
Ihrrg54n2VHXvPqRfo/6mMIMKW+dq/sqk9ZN8I6Xml9xtiRRv9dxrh6Lzg73rcasyqtDzjhUQKtg
NMQ+ZCdOfGKXkstblNUZS2AIaahmHuf4017zS3U2cygFad2qA6lq6OjZqqrnofb53Au3PDfo2Ja5
OZ4LVBTUM3ilHgswRc96rY9fZZFXx6Rxg02IJOlqD1PxRvKJf0HVWSGlsrh/BDqTT5G47asGCRdx
chclV7trnJvjJ9GDb+njveoJ4Tb62nno7GS41oUfATh97pj1osGqt/7UDA9BYdhPmm3DH83j0XyD
1N9vBiZmpN4N6X3dee2lj4lcGDkw3yMYdLusaAX75oG1cj3ld+DhmjvHaNQVCEayz7DT0EOyiPfD
eXdbiHbDpDDchtT1C9al7kJ2EzyowDTQxSXZ1ocGvyVzYeaYjjFJdCHgHZn2hO2y8Xmx2pCZKY+n
98Qh669EPLGzE884atMEXXTGbpDwfFewE4lIiosjZ9k16Xg1yaUJF2U2do/4zpYjOy41ZuR4GxiF
q+nLSRN4jr3CUlMG3S3Q3CeRT1e3km9unO5sJ9tHhbm0JygHdhPvNHc44mRcw06b55TOUtNFuLI1
MGTIRHLde2WwvO9GxB+tYf9w2UtaKDXsWq4ZJi+7UG5gdSG+WfQcDLZD9DS7B/ciQluf2f0vg1nc
WOjsY11cUrtdYSNZRonFO263nbyYev1sGI2/LjX1yugeRXiIbaLO3Ftnd0+BZlzL0U0XCOMXcSRP
44DECquriMNuXxo4iIlzT3dZ3kkcCOZ1FADPkGosiyRf+1V0ruJeIR2mKFcxJCfT3iAHw0Wmmaty
rdqXNoKXUqijH+GS8cWGAJFfZa6eflOe/gPPOZ72vww7hO1idMdqT6/p2EA//b8buri4fpLGcfud
m77Q5sfHaWgHwpZLc6EZ6XjQ3by6DEU43fN8ih762HVuRqKSax1UqPmVm3evQnbZJ9vO+aiZ7xrW
+v7Fme+kaL6n5Hx3VfN9ZnzfcfO9V0yhfOytnAFKwa3ZzvcoPMfyPM73bTrfwcH3zTyEljoQeIoG
kFis8zjf9WK+/+ErhWsSoKtz5it/27eQxlg+BWKfBKitSVwP7kygx5tyfrYY81Nmmp83YcCTR28C
9OowvG4ei/f7ylDU52EUNY9QsNSjXqjsiMy3PpQsuK7hRDfmz086M3B45s1PP6BR06czPxG1sDB+
mvNTEipJvGcoTIJGFREgNj9MGY0XnJ0haKzvh20LU2Q3ShG95yV1RqmP/oOdSH8dWaZ8BqpNw9D3
sw8u6t1jNfbRve0XxlfgI7bNKoxJZcIh/30IFK1ESTqfDMhMuh/BfFoU87kBOnL8pc9nCUpNdE7z
+WLMJ432fejwbRZgrziJqvlMEvPppOZzKvDSaBYLnYr5DIvm08zgWENEzpZIEEf6gyHhcSa+1ux3
DPXc15n+KvCFIyaNU/NldDyGWiCjMMf6Q8hdg7efuE0GUJJrc926XYHlhgLOjH1zYQ05HIDZohAx
TDZLM7qUHVeelVabkqZtByILh4yNAPjDBvVZ7ApsATQ3RWNsFLFDkFyb71cEW5MtPchMHue05uVc
TDm4I1UU6V2RJy4KJNM8ZgkPia3bC/pVov6oFDKitZDdubb8tHTM11bqw1ZltVZtosCiLqFbWJJ4
A+ety5C3JtjGWcOUw7qrqges1Pqu1+w3Avpm3VhHJzFRV05cvmM6ez8RQPlacEuS6pY2UbbWSAdf
TRpxXz25QWtBw/6TJuZFE7pztlrfX6vSfiLBmwoITcJax83KE5bY47gK0wcBX+Ak4kGuOejJAdNl
fPMILWdxoQhod90b0LqbqOLoCC1H7nKPMrvN9ENoGYh2umiINgT/UfQ0qVyRPvQeo+vcCSP+NcJ8
RcoxRVTFEoqSMZ5q6g8QV/zvPRcGbtbu1WmN4pA75M3lLmFesi7MLa75emV0foYY0N6KqEC5lGM3
i/QKjj3dA5rS+gN02D11IdFB7lAtqD6eymJ4Lswsf+yxQ19NIpq3dtt2GObg6J4Q1SJukmGxbQDe
rnvNMLbAucuN8KaJjXCnNp3JvQbjwl4ExNUvNOywGK7Ve5933n40ZPxKsAqCoZQKwikhmnq4HDLf
qrcBlA0uq1gtqiwblrWhMJCWqNeBzlZLvWS+iCOJ/O7QzygtSp12/s6pRnbfFhXTyG5mEZFyh5Ko
4Rse6VphhQHi8bsbP+fsQwvP58ICwPyEWDE/Fo0T7M3SZyvFsXsuAu+HUSogmSZrIDHwQNEylKhd
+iux3FuUucZyMFC7mlpoX8qCNSfrVpPGJvqhfGoKLOEc7ZXKiNHOjYU/xp/jaL72Kf7D5IzZnivC
jJdj7t1NRmFimct/uWp6gBkJuUcARtTSJrXQMHnmmqYjhLhsditkVTh/9Xlxm89A1cKuHzvD1J+Q
OSu6V+NrKMjMdKrkyavTnVHz4NIs0dMZA0DH6RWdQs86jl6PGd7i/hpqDgmYH/GKgfSlCxxzdjoX
1S5uumIf4QbcwbCYXhNg46uRILDNNMiOn0M9My2TppvekVVmK8u3ySRkeb202ThdofqVHzAGrT02
Uf0Y9X6yJ9BUXYPCa+5Q+Od3TqANnwTjUD2ZlYcwkIqqm2uraq6yrLne6r8rr7kGM7XG26MS1FbB
d3XGE9d+EnPJNq/Qty2f+P+6Y/47SQiWyb7otxplzlr4SwzC7SOL03+5fPxof19j/flj/2aOsWCU
e8JEquwL22Ij9W9BCKaBb8alpvnbguvPNZbB4sunvOGA8l1WXQ6Olj/XWOIPdj0mP4WjxUPgpf9T
a6y/FlSejafFFD7/cHg1UzfnLddvEJ8a9VjrQstZA4VjSosvRGrVe2ZDkqmRC2mNPNhqmHa0jtF/
sbrCyPOXas6jn9I99nEmnwnia/7Qv744WGo96YF0rQ1KqF3QuOGSZm9kvqeGBTHo2HPShAYa3N22
LfX41IDS+gLUhpe8HDifIm4ifDHTNFw6R2AOmQbnCB94WNRObB2qmqVEzC7ubMVKrNjWd3TaFHkj
mhKU/HXp3QPtdOh2wY0uKw4kCy4yKcImv9CbCGWdAAZe7cJAF9O66swciRzdWDYYcJppM0s8G5w0
yrp4yJdvhl5hCC/JQr+HT2GeTKG0m4dTf+niarz2VggSGVbUOZQzcFvTxqckBleCfTZd0DZNRE24
7dYcdefoQxjezhKc/QRVyVoOtTbvIzBVyp3tVebJc9hkrWotbvu9hobFOlZQIBEKEPK1DWMYJDUi
NAxG0SjeBX5+C8h6aT4AfgZiQKokBzEEHcWjb9yNXaJOTVhrsF2rKLtHj9whQhv1NzjMCg8IuJ9x
qdNRoSQz+/61D8OIZE3RZ4/E/b5QdDhrst9m43tzFLl99BG/7AAHqV1XC/b5lfbutrp/1jHcu2g+
OFbTVrW0czJBHOAm4LV3UzYwzgMtzZclGfAK5mlp5MqtiYqUDq4SxSlnN7yP0gH+cRf1txDkzxZO
b7jCoz9tlIJvP7V83cqQ+gemaABPeakCpP3ZsJVM5DMMCyfY/OFGIjw8WxrIS9NjyuIghFp4mhI7
WtYEXoEgbXRoWuM0xn1ULjPAgMSm9UG5KbWUr7/OJjT+pb1HGAJfSTOxLSAAXrlNq144X8QLQYf6
mdRUrumQ5FyDA0vN13kTxumygi52tughbh0q8kWUtc2KuZ5iuD2olZP5JaSTCo0P36C6eeaELdpB
n/MoQuUbq87Be1csR19T0Qq7i9GyxIj790S0lrEpXWFiCm/1vFpJhXhrHRk9UbP2NGcPWb1pd5ss
jqeLyD3rM7eD5kG3ctpyL2lSwrvFSMcTeD+n0KxZbij/qWkUK80xarX3JDaHE5Qq+2ZJHHeroRhY
I9sR/qo1xKaiBuLrBP3G0LRqi2swwTeGUpyTUlZhsW9k2H+W4xBjs01M85TURm28C6FGjC6Ez/v4
8lEvT27yqYY6veuzRK5Q0KY3FZvOLi8qVmRwiJFv/JpmVif6oh41omX9Avlc/ogHlezG0InPFIfR
nq4IvBCrypyP0+ouro+PSndigHztYDRPTOn8rySwgr1WuKQDOBzcuep7xH8qc3ZSr5JqBbNMnSdk
hevRyusXK0irddr2xkUvJucjmLp80/ZF/MuE37HuMWY95JiTH4veNz5IY3TvDAbO2yAK+AgHoZ6g
wBbbtIOQ1QxhxiTaqZ4x51pPBGTa+4gJzaIsRxBWjpyF720r+21JUhxBlXk6qCVtjlF/QQDPw2Nk
1SGNTJIKmy1NXAAD4idf6ynYBoBUfzG9c72dPerttDbwGEw7sycfddHEybjGvkYUdIQExoeHKRjS
14O+DPE3MrgfRpe1kMY2YUi6+IMrbRgXOWwWHkieT1KiRpW8RmGJ5T6SBMdvvJI0wJVltRmCocrz
T005ZofJGg34nbakyhKaKfZBJYx3R3P8O2AO3b7SveBFWUjoV4mGDG+V5H2srYOg47bpcL5/QNxk
Nx80PnHbyA3A5+RUQaAw4gBGpJzuDYg9IOPxJK0DnIUfOTqGS1NHyjygOfPXnTa+gXvJKS9DPpic
qMjHvLXKnxgRuj05XNG690xQJHpLhM1i7MamwtSS5a9c/ExZswmz9hJEgW9tZdAgAmypsaGyIJjs
lxnqJpqXpiLR2Gbl+jawj1rRC0ljk0U6EaZuWzVv9G/KXntIyl+wY+uvFTsqeA6T+RW3DSt+e/JX
fjPVGxTx6toPrv9DWVNx0dE2J1vLaXRcp+6EqyedgmI7hgMSBf63+Ah/HhB3WHrWDS6dywbJ5qZn
Bd1UYHFr3kAmJ6QOWTTBKu+NhC44lEmmkb0py5Jnps3zgrSiON0WEm094wmnxdLpUn1uxDdlLYOh
qy2w2quVmDFsHD0Bs3Pw3e2ymEFtcka2yRp4G18ZVJEEoJst0+FUzZC3GLI+GT4z+g2LF2CWNLK0
BiZelt8B9GzRSnI7lDM6Dn+nc6dwiERrP/Osa9KxiAb0WS9DzLMnQAY9T9MpOmZ+1QPpghe9QJyX
0Eq7NlYIf4bYacbMs+u/2XZ21+vzjY4Mb2pqcx3qvviRkNMaIqsnYpqdqK9+1dgLgHfP9Dy9GbQN
rE8qIX/G62V2Z68Evfy9Jout1bjDXTQz+fDphM8IG75HQ94ywBsJyiuicwDK5iyjme2nojAinHQG
/pkz+y+dKYDdzAOMvtGAJmwklJyz44RMYktfWLZTn8UUnRDKsZHsOJDbCv24XoAd9Mzohqyiv3Sw
WTxWfhUTwG9SIVq6i/2NL+xxLT8MOHsX4MRpOQJ2yzPvsCvgt84ERK2YjCU12Sae6YgUsF9o4R3k
PvVVzgTFbNaQ20nJ6/GD7qYLMu/QFD3URemay6wso41dWv0cf5CLOwyNSKhdhclsJc0Z4ch4jJW5
hOvIKdfDXeGiog6iEGKhCAMSlSprKDGTIV0zARKJMQGzKaR2HXhklIHBMiWYi1i19U/YFjTDpG03
X+03CCD7hgJ0Mx/Am0kBiAWABlRQpAAIfMMEUnDIauFDLur3eeyWs51tolqT7KofaZuqoxqbad5f
2EpQ8jmch2Ubty+No8wXQkzh14QCM89cqrgLPAJOBuBZ2IgvKt39mkrp3dtouZ8NMJghPIlYHkJh
lUDTGBfF61rpxVMVZmpYG33H/ZSNvn9XqXK6MGHodnXu2f/KmdVNM7laoSteByWh3w1k2EFWE+5Q
7oMhtmEO4Vnjy+MBXi5neB6ZWI6sf/rSjKMNTgx0ZVafjI8w4DDCUrED/s4ZNzs7fSjqU6v5kVqP
YcGgIsnKXw3mdB7xiTF08/di81xVGJKW7Ph4iMWs2dSprvq0v+aZzdyYaGwW/LjGu2lth9qIyB6M
Q75KQoNvvcQh6C6YCsYpc7OycTbOGJmPXR3ghcajCGIz6UyzO/huRU6wYUiKjiL1D23npSzhM32g
AnYDfWGMtjyUEP0U1ZopbuXUmy8k8rov3NRJdzDs2jpm4LFOEw8dySNdek/kC3X5cXBBouFG6ytw
Y4PvEIRDGA0lK0rxIyZH7UNoVcyeRpvAsXs6ZdS6N3MFqIzOodsA/cI/wXfi14doDIKXNO2SZ7ID
ERFPOETE3mn6cJ8WdQujutJ+6kYSgPk28KfrnCr7EeEa4SoiSl6tHvgUXYLWvPBtl2em9cwopsxq
9jBTaUFUah4nG2yW7wTNKSuSNMYrNIN/+dPXjEHgEQyuPTBfdNJohYgsULD31Niu8Ao5t0Y3K9Zq
v3Wu/2C6bszD899RsnSZvm648PLoVA3bpvP9vRfECol9NSbOOTD0dF804Wce54/gp18tP3s0nZyD
1YsgEqv4XQEGuP/PX//vebLzy7u6LmyqO93W9fm//9aKykCZmew1tNOzulCbyvzEh58e//NX+e5o
//6v9M2540Qfqjv+3zWdo5pwCEw2KUWQrlZtx8h76WmWJnZ2NIluKbsyA07p40nJOZ7MlYlLC6oR
6SOvBqnM+1HL25NbZs2DBNx6nj8ySKe6edH6cnwlxgr15MxPX7aci80dpiUUIt9/xP/Kiv8rWbFr
CEYVs8b1PyaW3H6mH3n4kX/8PpIx/v0n/xzLGH98w0WQBPP7/lVD/OdYxvuDTQvTCWi3cEtck/vg
b2MZ/w8qBhYGDEVNAewWgfOfYxnD+YOSx/d9W0A0QQ7zz41l/p+AStdxLOiJwjNIp7Rg7vz1boil
iJWVIAFQevPgYl3dZSDFYAU67cbXsv5nIuBxaq7vQ2jKxqU3pIyYI9facVKw/2Fzp687rssEz2fv
3Ct8sBtjCvJ9w/KBOQOpH14QumcLV8Me2nmxaSDR/6jNoNgAx0o8fmXZfCowQuqc6CgJF/UQu6/0
nNFzw3LvXBU1jV5rNjjD61YXR2+YxD5G90B4DOhmyBIJ/CV6Peh1SLRgjuT9F7DFmkecOFJSdq/Y
BLol3iQT4Ci8s4kzzrN3tStiYP8csfjv7HpPU5w85ZlnE2jOHo9ojXRgqYMgTMuXOSkbVznYdgGm
yigh2Wq+c24DEecETnnOU17r3RuqcHI+CQ5q9qWfBDe9iQdi3nQpwbxhMbyMsu7JFtMG0LZNZMXX
hhPguc6dWK5lHUNBY/qx6PrxYhCUtqMd7L8KZBQA+YlzX6hUqWsjBy1aIc1kp5waznOg99apsSzt
FklPf9WKnCkaTqJuP1ZdDzw3zNe1FQKuGlM+8BBpMW88ZZMjee9txEiiEDiQWrM46dAtaM6HNP90
2xIbZaRTIlEtmbxJ4WPptGgoJXu/K9lFFN/SG0fI0EmY0nGhsw0dN96a1F+kkRj13o4CsepUf8DL
qK+R/GH4D/vooSVQe9EnYWfMhhVKbQ34Lhb/qf8Ioyo59IzLz1xQbRIswNBqW5f9/DpMPW8V1f6q
GxSli250hHDU7s7Tsvi5xEKzIsWElapG/alpXkYsyVBdUXqE2yIrRuZ+eIMjX+rrFAfZzmULdOQb
ZQuhqWqTTVJ/r6ZpOkQ2ggssN8l5TLhQ66L3PhuZDxswomovCxOPSC5uVdUve78uiIRqozvsJaC7
/Lp8IssK6UQr7I8Ykt8xxlm2BEKHRpwqx/KAmel6+ZYBgVwYHsURX9MzWxLsr3nbYNzCSxc/Zmir
6iG5K1EptJFzYMsTeqib6cv7RTsQyYahtkW72pTlktpOeotShfGN+8A7K4PcGl86br6jw0gOKVTn
V+Xp4mY3SSFXhWVYsIgzkJSLcrAyFvb1jGOu9GonuaYusAUgRVPaAwoXfrxnQ4TfOCtc+zlPhH1x
MmGx6pjDyMaswOHooc7Tu7Tc1JAZ2RkNgfokx4zqowXjBxLPoGQGwcDX78JHWXCdjHeRDZmFxgKl
dBLoRHpNIrwrh4ogcrxOtBZCjCXNMENYJtjdWxknpDrGdn8Y9dy5EC1IQ4aPduI3wRxMu9Z48OfN
hpgQnc4Uve4mfPA/beaxze+H8dNP4+w2oiCrd6ab2J9c3/GvyO0sCx0e8lXw7mb0YQQpuoQKlCUR
WpHnXRPclsjRM9gP8FSsaiOLpNr2YQVCZ46s3JatzK9EN1m3joROMH6O+QgV0zrVWmXyJgnXvIti
lGcr060gi9Zka21bvQ2vU58Y9yRCudukR5jVRGX2lXAJ860GlvnMpK45pVJZFExTtRMWXbjBDOaS
5xmhQmkNHANGSqAf3QCUD41qeHSMLjlB1cYiLxzHGJnRGsYNgnqPrNZNNcJ8De/iySa7F3WoPwCT
M0nuJsY4Yrvfe09hmukkpJVj/dVPuDz0DI6lB9WkWtYO7r9WHBJ0lNzzSVFh6xo6IvO0Qm4hQlZq
LWMRHSw9jXa9n1/0pMaXZmiOtiqteUnoN8ZuEEYGp7BBVM+Nu1Z6Fm8xVcULo5/yRwVbaNGomElL
7F9ZvIdniETiS1p+fO7DQG4M0OGM3pvuGLqZucMdqH/KqZLnrkNKleRBQ/6N4x3p7vkOzdA9BX4l
mQjDkOBZlB/zEY8iA/a2X3tZ9onPrEAPptVo5nPU6lG1cUX7krhpueXWh58JpzKqzGilJbL7YRfx
z0SV3tpV2og73AAlUjA5xxN3iDW72jqtY++BYVxNzfYQ1bnaPVhqsoOmMGdBFxywoThzbsmgr5tU
G1/Hch6LBmBu783AtjA8h1q5rm1zRV9xA8k5bDKHxqaIytdUH819Wjbgxev4cx5lpQfaYSzUJXmr
K4gUzPUYww2bBvj6g4H86jx0GntiWTaXmq2/J5z3dih3TA/KRY7FfcHYoCVHdjDomsyTgV0CA3qE
tGDh1tj2ABcWwAu8NoHMDyNzQc8xIkV0ZrxjpPOvLWHSW6AgB+i3bbIMHCgoqymiBF8ZohkzIlT7
kjF9+pGNKbFO7CDerLRUPvFYrH+Tsem2eWRU+jK3tOqhatJ6O1W9oDG0BXVCN7THDOV1tjGZpyCl
gjg6tZr1M8NbiFIi6xzkgGUTUcxoYbos+zYm3LNUnAOxqYphMZqwt5dse9yvvFDIfd2mv8YyUlA/
sXB7ZDksfL8dl0T3nItCXPmz8JKHzpjcLKVj8Al8kBJLI+iH5yCIfvhc7m+TQwBE35ydCKGZVFUC
fj6oHmKX/pkVd2Z9b5r4o4pqoSehec+Ic3rTwgo0mZcOh8Sq/Z7Mx3nJ3uN4tPy6P3tCOp/KlMF7
yAsvQoAYa4FPbJFlmreprbJ+KrwOLK6bogz1QO3XWXtXJkH4LB2yezMoAb8s3UtfSQMrN6Y3sXkQ
KWKmXcoCZtfnPrS2js0EYAgScICL2vkdZ0C/RVjUXYSDB8mkIHtmPSwPg9KGQ8V6BCFEpe/LzCFX
Aa3OiYE0EjVhxmIf1XxWDmPFL7Ny9J0IG7WyiELcqKwibScznK2MnO3UyKfRldOCsJmV5+DeL616
ZaqZeQSdWAxkKy1E1q7bvv5p2VDrmCSDxRvctUmTA8WFOOSmz1a2q63IyrrXrAoQe9Hbe1mOBIjj
KPpweJ4twcMBtVQZET4i1zdlExecMGaDFFaIexdo8gnhU7/J2Nucc2aVC5zjaKPSHCsppCeWe+Yl
7NojQr5fiKUi2JocUwMDRNfBNK7W9uSMcoHFq7uA67I3edhXx4bsia020bCrnlPFr43u1gR18zTa
CPmGeOg2vTFc9Bml6flKYYZxEzYZyPFUH1priRCQeVrpbyweZdHSsoY3fqg7xWB5P/GGEc6R6MnG
jsL8pJd4fPm8AX7YbptD2yxjbwOKwF47uFR2eWxHSG09777sOMsDFpzElwfyajpeekHZEdzrhiFO
GVF0p46tH8aPUjp33KFMKxm/1Sf6kOw+D03n56QzmrabICe63jQuTmu6Bxiozk8wDf7ZbUFWsMGK
HxHxVkfkdTBryV2I3zQja848NtN9xRxzpSrvC9y6v/NycCehnbSXBhLkm2036HGSPGf4zEFPXWQl
5bkcKyI8a9jN+yILlSJtshx5ehBTGU5DjnGmaHd+7bl7fAXjA7gtNa1k3R5IoA1WuebnB2uQ43Nv
qfw6ZNFrQWjTHRHv8g1nS7WzPKSmo7S2ACAQSpKJvPFi11iz7GHoHBnFpfbQfS7KIFyX1E0wpXg4
t74bAymXzotOK8PHLDAGtDzwqB+L14i10bufp/IAaYwLuFY2AbNN6S2msG1LUs7C6D40WQBlrYuu
qJyGr2BM5dKNOfcC+AMrvMTdRnmc44PnhcfCQ3jbdOGL0AKqTNR2bIq7t7oOsbdIBDxNuTey9IOt
WHfHiUrMjEXJu9KdVs34upWuQ5WjzWoWouy/4rhvb9Ivs0NS9yOXddftLRCbB28gMs5UMAOGjJDS
HpGVr5c8IKs0IbT1R9/p/o9QlNY+AX0rKGF1BlNp/TWS/HxMO1CKCztO5cZEOIIqsNfX7KSLDSHD
fHx2b181R7B/i2R9Rw5fvozcovzUuWDgSBodMVlNDy4igRlhKMqJytd2DXG1CBp1RLhhPD4GQayo
F5L0Qxr+xJ/Caj/Lp+iLZszcd05trIgew1lGLt4TiKz+AbkvCrUqt4w3kjK0dxic7aaK9XLH5gkj
Y+yn0M2nIaPpaYRxV4uswZNGnIcg7JzETV9uRDmSlOODYZzo5Lp4WSq+L4dg11fizHuurN7dFrNw
Lg9atr3EClYcKYUDZLZ1iyVhzL98Cv6u8U9DTkoKMApADPm08omvpDzVD0QuoKnysp9VP+ygot0E
U+ila3TxHXRBNigYLndKeOGG9AaEvlbR7FnfN2+VXnQfU0fwnQ9j+lljBHYqxiL40qiZUogoOQPo
2vG3fD02m47OO1tTWp5cEEBvnghaaiPH2Rc6JW1raYjTyEzS0EuYINN8KOf1Ijc01it5ziO+ijN/
ayKMxtBZkLiKaU1sgjoRXzrUxFl35oyLMQ28d4IOXG+BSlk+l5RI69If/UvTT9An0NttxyiId65p
DR9uHmWcHRKfXdqOUDjtfLoPSfQ9SGca7jUFAZi9uQTlw8R2DZp02k9MKh58spo/wjEAXFXjLsXL
gXhhUkBSRztbu7Jnv9GYOlRRlGzrtgGhagZVcd84DX64tujqn/oUdjctd3tvoTpbnV2HfOy+HTE+
kHAt3pBdVFtPmb9iMnEO5E2SUjiOsXUnwtn2SL4sBBikGpga2mhVak6LOW8yD3VgmhttHLPX1pFU
rpNHxDq3O6a1tLjMLMlLiocUBKiaxlUR5X22wDej7qTXlFeKa8hEZGeMuzoBiIomr+oeQryqPtpq
J92Xbia20pjqx6SkhkVmKLNdZvr2yqeLOZmhwbIgRRzt6hprkjkOdVQyfLYTZBJBHViCzXeX7Psc
TKej+ulAkkB5qMA7vMJy724+Veh9Cw1wU06J9ZyZAw6Ozkg+Q6/lLAr66eJMTkmYX6mHJxCtxjlX
0MAiAwqbk6TOXi+xzoGjnyAeFonrfHQ2UCcoh5b+gZhPgkfwpuHFlohgAKP5IMa9xtardegXLeJ6
ZaytguX7AsXJtBlZZ545x8u3aAjK5w6Q28wIpDEQDZ47cIhXS9jiyfWkdxC1w6ar7Vg1aWaG/Wuk
xEoanCkID+Lu1fAa7OB6El0DezC3tTImdIW9dN8m4l4oGvAGN6VIj5p0qDrjZPbmtna19qoguUNn
GPLVio+yZwISJRreyCHe6CM9OH8HGy82FZ1pLd1A8HRl3CxB186zBziX2Q4JvYGiJs2erFSvDoVU
QFbzCeCbBkmNEOKEcsmXLr5EGBJZw8yqDHR8hqTheBXlLUaAxxjU0Dm2Hd6sCc/UGWzCDf5n57//
Pwb1ObPY/z+e6v4f7IP1x7/c1R8/fqroL6Pd75/8c6pr/zEryjzHB/gC9PkvYjsPpJrlGqCagD84
jG7/faprsHf0KKc8Q3iMe/8204VebVrMdPl1Lttv/58CRvz9emV+CQMINsF/LkCLWVj4+37DBZfS
GW3SbEDP9uoxaoW4TZ5GSesUvnu1vUjgTjOKapOztNvYepOs6Qic1W8f2z9Y85g0l7zS7ysQ3gYi
Et9Dl2i7Fj6Kv74T3enc/8vamfXYqaxb9g8VJQIImtLVfViw+pV947RfkJs0EPRd0Pz6O8h9dKXz
UKoqqR59tp0+zmQR8X1zzjHp9wiw0uJpeacBdoxiN4jPOimt1zHPOAfpj1qppebGPocN1zi/CDh2
1CxP/E/ZwRBo4HWelj/AfZq0iwLW3BXsrKKSOqBHcyCAvFp0qiB5jvcpyRvQD0iWe4eE1FPad5RO
oOOf/bTsKGI1Vk7cpIj3RsctlOX8Quos4ANMWvxDWI5nQUECGMXOO7jCf+IYCyys5orfDxMQE8+Z
lsz5J6e8hezi3JeZbZywA3A7XPvB/kmkpLiTtIbByG+pOIdD1CIZ0hPvLvMvMBLrH5F3klerGRzr
xdZgoab+kesSNg+FSE9XxVT/Gjy/P3O76x5SZxAXsxZW5G7DpRs4w2Pi2lCnyG6xxLEvRQ3fEzIa
+QI3YcIISPYoMEsh72P3Q4xxgEnatN5wAxuHkWHhTHFbvCPzZt3aNDEO/BbzCA/Tjeop7U69Ywa3
xLCns2YdFqFMHqol4VrrtON1GYwN8OFwk5vaZu+NrQWOiXsVL+dJ7uPBoeBcusOrbDE+Blltg5Vo
0xec7/IDeFa8h+zX7e3OxPKN4YR/WkvUcVl2pWtMd0mZq9dxmo1v09TqgyJGf7IcxHkM9QD6NsO3
vXb6T1sqf0/lbvUE9Iq3HruV8W5qyu6SJTbLBtc69PN056Rsyyrj6rcp4O0ZRog2vQfPxiJNMUoi
wtVkU13SLGvIjvAnx/sxtxcQtb0LSS9dtp4sI6LJJg8hQ+xJ53I7ybCKb+4qGquqaGK2xB/ocO4P
XXvf5PnwkalkoFxjqOkgTOjfqQzjl7e2jO+6Wu5LGbCznjY5gMfq4OB43Td2TxfO2Lt/km4gtQNP
69tqGRbCi9DLHcuczcNSiydztsUjud35wWzgYbacrxHF79muDKqHrIBOi7lvPTbJMDwVhXSPReGs
Twxsat+uRhaW9nYRddfsEb89Q5ywkj1AKrkn0u+eWW45IOnaJKJIzuKoGbYQbdO8Fzje+Gl6ZPwL
UpBVUP61pzTBbxCUr7GzIZqXzov4GjWb6tY9aWopb3M6O2f8q/6xYngEBrgE3EMoswhpggv2rB19
QnVxE3VscU9sCP19Tg5xPnqyhhmfc4QfRltqZibX5bPWsyU2mpkdV1Uu5UmNhX1ZUoLNoz27D1lv
2M+aBbxZ9fdzs4IH1LW882FjHLeqh8jRrrhL/PQh4CWzt3znAQdNWFD9jQmtGq9a2Nnvpe7SvyV1
w2EAGx1K3BpTqjGZD6tntx8Jb/2TPRbupdO6YWPgDOe10vJAw7z7ALWfRkFqrZ+TyrF/Wo2fXdhv
ytMwjePvjv30M29mnzatuvthUUcfCpbeIfWFdHc1GW4wdjCJm599BxwMD3/LUn0EgyPXtpyiNFEl
JOeG5o44pdND9oHf3LO5mQgTdom6GyHTo40AsUBVsUNij1if4pjoIvh9j5aX1rRhAlB7NUBzm9xI
Z/G77RjQfsuMFa8lQYRjKSr4OTOSDPJ7KfzxybBqRAvL7Lv3vm3WMBdxAliWUjkOPzjzdroceKdB
W2DMQLYp0++NqLQO/QRsWUmT9rCbocUc1maqkpDG2tm+bSuGi+eQVd/bTfC55G6enJuqarl4D9XF
B4bx4WQBTl1Vl0xyA9AZyjndI4U+2JfhlTR/M5w+DTWl3fDX6/EX00A0fJQiGGGc1Q80UX+Dbdaf
KgNdAbmVHpMqg7fSbDjL3eIyga10x34vvBzKopsm9YdTdiTWFQCMwJww/U2ZHy5lWRHJiKciMqi2
6sOBxtJHyg60OOL5ceazqxYd3JoyFvmna8h+fBaqdF4SdgWsXxuj+dnzUfgZx1b1XqPD3LUJ484u
xuLBR6jjbyuDdXprlNMZHFKx855o/ZGXgXFdSAXHV4B2HY6maXVDiYASmpk9cbXcnv+k6ajPRAvC
T1mx2pzBIP4ViyWfOQp7/zx5qlBPQ99jhvVE9jJ2LVcCMWKNtkVryXuNse0v5iHbpJLMc79V7Wz/
XiZ/OaMqyeOSafcKcdv/xB4HSSa2TEVzgpC3WDlzSt58al+sVLp31cx3Nc8L76gJeuINMlr3OY/d
9jvWnvbZ4W39spRte1L4VQ9JzzoJ+TEFdIfUPTOOxmRqqa7Yez13lwluOzUzk/eO/lj4D72IPXXR
+bMRaJ/yXrofoTOBWsQLiqwUmK35rQ667PskFV7vrslWjKpFMtj7jJz8D9dM2+oBbqECNpRVW1FD
4SMCsu6nLwuF/kmwnuV1C7kjneT0QbxJvNnGZL+QqisvgejlgUG1fogLI3mrsPaeudXQgOhqvgR3
rUlF+HV1VMzZdAT9OVyFB0iEW5rxJBeLGt12ZAZATPkERm4dfJCwC7CBWL91s6igxbMpI5VYIZgv
eWkNe7LFFgvuVGPvS8p6Pikxjaz2kzPBrvkX4N8pqrsl/ZZYZX/n2UkZUi5GqptYRaj5BoewXk9W
iWRjBDPrWeo2H8aBtuIO9mMTstUzuIv5R5LNRcpLFbWqB5lUD/MVG6Wx8RkmyBb4CdfpgjSeXrjO
1NFiCRo3uDa4rw4T7xz6LEynY0Ag+jFvgRRPC/2Q+VqTslOd3T3zpw5SLcg74zzBRZcVzATTu07J
VhZRU4QXVX3XfzRkJqhRlctZsAU6xDmmSUlQ4lC10tjVwiuOMRHZB7pC5GFweEYdUL8312hxQSXQ
WzOa3p3P1DzPXfXhmuNPKu93ys4vlvfR6ckGJK9jAEHUavzifokVQchmjqp50eg9S/tYdKSrbahR
6ESO69/T++SuR+xw7Gf7PDj6BkzQJA+Ko4qlAykMzU6aGcSgytXtPYmxNPRJAzJ5liDGUDSXRzZx
Vs16epV3LpuXx1SmBoI6bctXkNL5qx5BE1uFCcRA98VZ9VI96jS1+71q6uVTWyV8CZjj6ps/EMOs
0MmzKFC9B2YENBfqKCyscl+XPv0OM6RcBHOpO45aLb307Pc0WCoS430YxyXNYzN7coh5DbyyrrpV
3mjek45pKQAb8/e5Tm1q5hONM3qir+wUxHGLwQLz5c23fDaXYqt4wv8WuloYJ21r8WvsIaY500ZL
7PrFfOFtw25oTVl0RumMb7oboAPrmGVOEtw6yBa2lxd7Lj3NMaHI7jZJ2e+sEfMcnuGhZ0s1GBdf
0Sxpk6NobcIou2W1is+x8khO81bk9B/QrLvZYXoYl3iJ8HBWdx7mhV1vaPOdGE/wyAHXXmtzIiUS
GMPBdKzxwLTPMzHX8V+yiMU+F7b3MFNIxQXaG7MQoZ+QYdYY74ZLYHWTsQlFB01lHvMGLo9XyPZ5
nVwaxubBsu87ejrCLFjnn2w84qeFt/gRtC/GVtSNrSeyCNEJPjuHnlYXszuCh2g4OSE3GXIVkRQT
qyAuBdlkX21+QnvFEgFHDabOxvKcvctBsyuaVhGVjr27JS3SdzF2960FzBc6dH8saoscU89wc+tk
kl9dWl+3GodiPNXMGFGQpNbZdOTy5MwSkEBRXYu6eHOt8pOmt4dBg9nNRZqjducmPYrVdDYyn5MJ
YmvtYQJwxbA+FG1b4iXuxgdsQBSacwu4pWuenlw/mS6e+AUJDdDY4FAGl4dmQn2AbTgps9Q6sUVf
yoPgQEpo0ljoOiSjcXIzhLbYIgmZnudMYod0b4BJr/mauXeJR58J/UCU1Crax8K1kRBcBXyWeS7/
+BN0dbZ102vDh+kASrom+oRTwGzzLEp9nT8lCzfauEucqz+MzpMjSv+iWUjtB0GfnGd8LcEydR0X
D93FrjtaPIfK3B5DGXpQDPbQcqlElfMpLlz3iDfn4ufDkQQ6amYKClXzTC/hVElqZUWQXYCcKtg3
ar52xOAiJC5sESvoBGghkAKVoWyo8bLrwjKnSZU02cmhoaM1uUOsjvbZ47h0c7uqOMfsNg8xPRfv
xElqI0zp59jXPZ1xadIGH0StnSO6tvjW+VzZA0LQl2Zex0gYIrkrDIn2M0F6Yb1n/fDxKH5zvbV5
5gaszpTM6ve8iuuzXTUGyvAonzfZnHelhBfvVF166waV3qVlS1Uel7bfQghGaNHQg0Lh2h8bTC6e
qOEG7Ofal7GMFjP+Zc6cffZCwWVOaXlmvLZqNK7WommIhqZ4MohVnGdrDO4mdwpe/FgNUZW0RHgF
F1jtVTasRuFH0mtuZlpB3sjqyDXh79gOU6RZPis959wTqu6ncKl3Lg0bnhwj/pk8x2nOV+NiwpwH
1TYN9wNMqwur+WdJNYj0WUhaTndfW99ac74bsf+sNuWhg/s9TzEfT6Y45en84kMJT4zyGbv+Kc5x
alTs+VDkax1yNfzWJcFHWQaRRUKlY7ERFh31PQmtLM9qHsHKDDTTccxUNyefLJ7jrj4Hfn71ZVpe
ktlZry41BntgojAwcv/oLDT85CotiAlW2XkaiuRo6/Fly0ftsN3p0KK4L1q10SI0cA0/m5LhamVV
/pvIfn3LRw8HA4WhMOBH3pEWel9KuCeSQ2EeSWnHhzr34utcSEL2QdKfAsGkD6lNeTfoC/HOB8W3
9r4+d0WOjO+dQc1dBXYKGJHtvhGZfGsab7iZjme/UX6wlVQgYOylRVfVEfA1GS+YmWTmfDVKmrWy
5t2YgoLcBiPK6hrcwtaguVL4pF8aD4CuNHdqgcHga9wUlroMZftZzcQQynwxYAP4JjYbX17Mxo/a
TpQHVkzNWfkg+FtkvMjKu+WOTgANTsoyf9v8+8ByjuzfvWp2PkbDRxhRvv84j5U8xKYGf+lR0JwU
DXSC2Ty4eghH3DK88+oPG8rxs46pood4HixPpSk9eFyG2x0G6VvHKavq3TSZfOtzStI9PQWE7g0S
Zk0nbyXs+8ht3OnmLbF/Q48huWmS/BCfMFQJe6/eJQheZjOPstR+JPJyLofs1wSodUk6sghmU3MR
t1osgtJN2lMv8IhxbBrhJAs4ZpZh7mtcmEhjGuI7YYsTJxcYMXkSXh8RvSF24m/WjPLk00dTJV65
57T9dCd8whWCT++tJ2mIq/Q1qc8aFp/W31nqY8uabTs/txwHL50wl3s7TqHPWWvY1cY7HT3yoVTz
8JMGqubEf4eMw7XFY4A4I7dPO64oxguV2He13UaNIsrl0Rl/w+pEyYC0PniBw1AHdvBu26WIDHJV
kb+I9xIsVKRcnxKBDmIWrLMO++VSD5+j2VsIkTOkEHhHW5k3XSil+zcnh+mmONDyOUyn8rV1M66X
QL1Q4SB5coAfypg4RGkf0cc+jMandQduwz6bNpIVPq7hhSG7PxQOJpMY3SkQw+PUFVz1aFF4THv7
TdXB5m21dUQEl/siGZmDJyjtsXs6utssC53MKljlCed+nrdcUqErRGZFbg6yv4W10e3qGsuA0Bcn
v1FDdKUtKuPjWL2MqtyNurrEIFlO5Ezu3TWYu6gfxyAaa1G+Jm09fwTVcFFrD1WVgQPg/3xyqe04
Dg3Ru30xL/U5G/rxYOQuxRwitU55L/Rju+rkR5ILGrg8+ycj/6tNwGJ6xM01ivaPx57rdcoY/wRX
XzAscL8JTt4MF1WFRvf1YM4elnSrUMwm40OCNLgbx7p5t6nzOeVqwZOY0Tm2Fw3RlmrQXdRST3az
PDZmjA3xAe3GfVnTKQtjc53v4Bvi8FJ43M6uq0ZkjjmLqmC+4cakYndSMz8oMzk2Fp0jnuUtwa5t
7OwNp4Nzz3OGRXSB9BT3N0VV065WJluv86osf8+f7SH1OsbZYlKkw9bEeGqu3u9mjYn/BtNLEKuX
0qrTo1er5tgFYL4M8sFRS48uxdb8/8rMbJ/TGx4ZsTHuk41WVGttsHx1HG7hzbNrUna0ck9YVg9E
qEm90BmDcBO20/Rd1hoTEW/xs5slzl1BDXuUbKYJYOd5A1Ip4Wd2mmbbv3lJs1VRe5hkIqn4fQBN
dJRWKRuqVv7xWHXtevTFx8pV85Pqk1ZEWFwYh01vYpMKi9iykm/5KvNbj5n2UtnkdPZ9pii6MCjx
A65Bg+5xytP8B2Fh2ohyiLo1N00uVPkIf5ETOVvNTu06r7EM3guYhe8CYDTJTbvLlU534z3GegDO
l9Fj328WQWRg3ILWl3OwqEvMBz1XMm8zFupJ4E72EtyG5ZfzkNAmHsLNjhgnPbbRzaJoWjgYmeWt
dzR1eRaD2/6FzM7VMXb627SZHCvDNp+sSoJqdmv72KadOlIFwwVIbMbI5MsjSTpCbjTPqOPyZ4sA
ByXQZ/tGubH1Mm4Gy2KxrFde/LTw4Fo86i8n5uYjOFpf/kzIeXg1iw1KyvDfcPTRCrk4LWZA2Y5s
wurN5+m7vC9oXJ/yN0v4EDpxSXnLVD2qlqJ1MTufcWDav0xb1GkEKzz+E2/+Ua4h3xX1gLs2x603
9q8WOfpIbwsvHMynYV2aQ87d+TrPkGLJtCQEBit9gm9f/Ww2hJnf0F1JUyPu+ZrYcLLZV5MlXx/N
UWMwMgGR0LfsszbLLbwCpsOCzh0ZKWqPFhjV3Pu5PYZNO3vUUA1vesEia1rdt0zQMtBlZXXMLene
r5uLdsHc/MNJfIM+IHy6R1uOlACNjk2Dn2SwSeLXlMaRMywwrjsjTZj+eJ0zpXjh4R1eLO9vxvV/
M74O0Vajxptgpnlab8Zeivw4TFCf5wh5vbqRGn0cvfXRTdzgKSWwHpJpaQ71YP2uYOh/IRPu5s0y
3KnVvlKpbvzElkDjSx38wBjqn1wqe3bckpxw0bSUVP84j2P8J7O2AGtikKab5kJioHpTm1fZEjx+
lWckF2zRxonBDkx4VzwNGRo/PlOY3e1wE1zUex+Pob2yldxrbALnvK+Me73MAUsM5zVFUweWXSKv
dPRqpIaryR0A/aw6/vFFEw7CfqCo0YRxii2SHIO6CD9hKM7zgM2Qm1+Han4WVseHk4wX9FZKoaw4
eFnmwbmmVfVi8iGCcgB1VnvBfh6K17pQ9yQE6blyaXmcLZXRypEL5Ho50tfgVhDQLG44vAu/vOHD
l098gml+DWp7gEC0uctrqhPZV7u8kMXmQCet7/6psXhFRp2CiRYdhDC6ts81j2G0+E2dMlLnEAY2
k/uQ9vFjtxnfFyJod34wANls1JtM3Ce3J2Y7OsFPV9FxPic3n2330ZFQtLvFfgq4F10zsHddm0VZ
2b0vo/qQumbR2jcp7Fr8H/lT3Os0WhFYXjppE/bd/Pm2WXfXdvPsa7Bb75J05olwBFeazds/dGCF
VuFFbdpgiN8SAOUQQEF6mrdkABECdVFbWqCcY8DShUeOyxk6di/EpdswoSBTfIUNWqrL9n4zXBLt
+NFMJEF8hRMcSf2DvyAJjhm3hR3AYI6TklLu0JSOycrRrY52C2SXxG9pvZttShDC2zIR/paOEF9B
iWbLTPBF1QWSwdvgs6IqDOtQ8367C77SFoaejd+UauBGcdX0lE3E0JNmS2hQAWp+yKwzXpn77dvK
o/xO84YOZ3bsoBboIX3gvUDqIxmd4gedhPp36g3MdSwNAo0olOOOudKihW8tzZzxXeKYftBf2ZIl
54eAxjSl9zEG82W3fiVRisYOXmla6c+UqJFUKbfQymR68m1MRVpBg2JPVSV0r7DJ3LIuSG/FQwKT
sQrtrzTMmpQkY8AWk5LBcZy9QV/szshRXOOq0coOTNTOyRtLUjZYu0jceDhzw2CL4Siv+p2WthEO
C/3a45bVabNaRWZr/S648CG4rSysdgYGzXO/ZX30P7GffyJAWxpooZqPK6UpPypKwzBpfAWHDNvt
f9nYlbyw35JFzajlH8WF/LBqxz37WwIJlRXox5ZKkhpNGAbTcGiyQj6NX/GllJpFk4AoP71xyzcZ
RtyhP8GJUT6yD5uuasdVUX/y3RkP1ZaS8ra8lDkD5P8yXxSxAPO/OTLU5s0YNpcGm7UUzF9JvzwI
mJBwKHaO+MvasXzZPDx3JnkpYvmrxkhP8+jmCOk3b4i1uUTIKpYn0jj2Q/FlIvG+DCUT1hIbi8mo
qa4x7YRUzuY/QVE8tpsjJVn9n1VqAnbd3Co8+O1+NYLxTHev9WDq9GfQs9GjpxI++zjp75imR9yy
SbvPnfVxTHURWU1JTZm5jsQfLCCXQ7lG7fKBVTLv8SPbVn2PIkiD5NiKt6RpI73kAD0zf32HqIZ7
MKm7PV77iXJ4QfAX3rVdURSLNYrGLWniYrGN+Bk7Ku/60f0xxyB59mS8270Z6O5O+Sy/ZlZgz04e
58VOVdJ5RWxaD2mq4ifIF9mB6Pz8PR7EZ7GydMiD2Hmouq58x4zJG5HSOOy1QfY0TqAUtHSLDXrf
YuJFRQHmrtY4uGasJZk6cqVe05EInGch+GAlh1gZ0oeVXWVAhRRjqSOgnHEmS6gB8WrPL/OSixM0
QX105oABDTckCuJ5AZ0e8rB4++2k9hg8SPMAoW4wBBCwaM33eYQKNo8QfJxBF5swi18xo3S2ls0r
kxm3lMHpjn7d2HdqUuBTlmIzqFo/0N/iKxcRdSu4TYZly0CzZLBtJT7dkJYamr/Q/u4KBbTUg6FW
JuZ0UFhKT/0weBSdNd21WUV2yMfefE4nSx8RGVhzDg2h0pBbS3scqil+SfXs3rOu5J+iEAW9FtIO
0rR45LsKJZV2nuZOxKMMUdcqoAarR9tC2vjrrVpnD2xeVRZH1BdmQFS3+TJ1QRb6zsrTwy71NVmd
8cEem0cjgSPNNu+unQf37BSeIraAAe+aVAnLuNaUK7+h0+NBNSKnXK7+206uqHaTi6Ti1fb4p8A6
cBiMIj5RRsnfV/eNdRRcFK6OSSNXuQw/c42NZx9oA4tfIqvsnZ/vj8Vq1XFmicDRha6+S0rB2DbH
kav6D9OhmopwEhSmCZIJ1cWs6VjuoN+ZEZgkupFXe8QmCE4YWrnQ12Wd3dBvq/H7sNjLo6LBEM8s
pYjEedpdZ9f0QEjMy40rOWzQzLn/AyjPnofWb1kXq94mm88iYKjNR7SGQzbx/IITfhOFzP+sBNxe
e1zOf1DggpukK4G+Bpv+PWyGbIusqat4F4qCrIFRfxgIsg+1aKkMqyrBUyEwABOa/zEFaiCfGGt8
3sQsWQVzZ/jNDpTJw2rth4QIKwbnmao7vyofEP7nM9ZEGP09rfPXpITFQgUTApMhKcAajO8xSO8f
Qcp9A1C3NsFyeJw2Wkn1O2ZZSUIELMPRxl1P+a6Eh1uP7TcWQ9+zdP01zUHBMe52b7aVFueslQRR
OE6zD8H8+W1YTGSdEevyaeq4pzNrACxSJvBEn5klSoJMU4Y9V0/+Uq5hXPnuw1CWlJY2xUSPG77f
kE0fidQ+2dz5zYQnAx9gDM1rGgzSk/BltgEnZy1xWL3uCcVL4DWvKXNSCdVPQGToBkwN/2i0s/VU
O6a+eQCPLwPvo2dMHgbdg+QYuLTPj4VMnJM1DMlHOlT2W5sPBEsNXCuoPQBVaBbQx37c9uNG3ol7
ZU3snUyKcBG8ACJMHbm8TGImghqt9xkBJWAMgP6IRCXRYAjrZo4F1eWVhcmnWl2riWrfA6zeUk/i
e/1fJTJq2QmfgGhS2Bm6vFj3li1ePXb7YWaK4OjyNt2j75Y3o7AeJf7jQ++Cn7fk6t0vXVsz78/z
L2qxW1oU/Ml/chC/O0Yk8LVUAZbPiLTBC6Gm+REB2/1l+Wl1NRYXXa0yNXZyb1nDJAElaZMeenEW
VMaFAp2ePXROgLdbwaTN9F3AUjlylOJ3yZbxYbTKZ1LS+W3mznXCC2pHzuS/U+mWRr2C3Rm2/qze
Wvw6j5OecXeao6PeyY6iERj+irkp0w1RkhU2OH7IKo8paigXjwRrThJsSi+yBG1Zxj7RNSnvG3r7
otEufThPS3Vml6HDNWtKPhHzdBENxplVdew3O4/8UOwv1MhVcLz4SNjfDLpo/C5+C+ZmegRKVEVe
zBSX0wMXlZNMo3JWTyk6YYYb6kR6ic9PECzXRTVsXou5us+xHodVl59trrNPNAezN2CIugVLSaKE
4cm+a7ygPrH3++33zatjUpaQIBj5hrxUbYloY/rJeFLxbH5AivAOPYmNo3Sc8k2MHi+uAU36TJri
At1ypFUkxxMC8xnClNW+FznfKL+PKZ4oLUKPHUK1ifjQb690esuIPxeHpE3UyTIybB31iG3HbJvD
lIOQ5vhaoPg0Cbps6pjFE69pTb+yk897To76gCZpXkdLfzadYNfTJ/IUZxOrPcq1GyjijcQ+by8X
/AQO6nQyv+ohmWGExdMpGP31GYtlsV+zmJVUIKpnmky6Z7JRAHXSsvkOLoOO+XSc9XXegolpIPy/
7mzH77rP4ZitDKVspOOWmGC/tg/IS8G3KiuWqMlqtgYpTMu8svK9rGR6VhMtemXqWU8icymnqnoW
5WsKBIgm4eGR3UD6u5jQk3cZXYGhzSISu4Nwr4vbOx8in2beZ2vP1hAs4LguQRcu+Vzg28rQE6QT
/G7jwLlwUUl+syTcej23VZTdqqeMIbxkEBjlxR8+tlXQNzPGlbULanP4vsau9c52I/uOP219YLdh
Y42OAc8Bof1MDUc8g2BCOYjr4jVWcbpHFmC8r4ytT7nxXqQpzGM6thIivps+02IPQaYhhXQZUpX/
rYWtXyqOV4QZYCtt0EqJd6LARz4oZ2+oOL6MpW0f2p6zhuG5Mh8LEmLfWbO4d0hWBdkOn7xhOUEZ
RTFwXsqRAdyol/wlr41fqu/8g9txfo5FfEnB0CLnyO4haWfxE9AHa8Wcz8yuqiEIOV5mYAzqSiw2
q3WmksOgw9jQzysBNPbz09hFReU1h7VjkdGogNKdwBJ/LeXHVxw6DTRzg2ZbcLWEsV0uBwfEuBhb
O5/DqYNpu5sZ9XeTx7YANcp6nuo+flYBlb8JRoDXKs5eOF2580hmaY5f+9SVNGDD68speCrmN3ei
FnwZmq8iI0znFtfaiDty/i1QDXUKrRGnH9qhOGcXFGpi7cB+e8VXwysqM/KDZ9rOtbfc9WdFXT1U
YNS7fiAgCB0SHY9iohB1Z3lhGzacpPQ2d9+2e2/Msf+LuWaB4JzIl7UVK5j3LUxmUajJ0BVcmhwm
vEaiD/moghJ2yon1Se+xV1hcg6Yc1uY8lijYJdDJbHgqVzHgjBv0YQxi/4CbjDtnkhnHCunmpaco
jYm5h+zjtBZTlQ/dYbegvf9dDVdyUqzVW57yPXAdapizwq3PtZ7i+06N3YMT9/klJdrOCI9RkO4Z
x+dbLj554Rh3Ol76YU8K2TeAWha8g/4HXjGllFUshxQqEE3rfv0p6b3Zb/HS71Q/JEgoWIbf3AL9
Q+K+etRVrH4A09L30kZ0YU+LGTbXZFdSR1X/QGP+f5NQjp/1/c/ys/+Pf3O+/+e//7L/59fJZ71x
Xv/tF1yYMlojx89uef7s6dv5z//4Pf+vf/3O/9v/+C9y7P+JcWKKzbINluZ/b4a/+1llzdj9mwv+
v//YP074ACe8Aysfszt3aKzw4HT+4ZvQnhgEQExwoDsQd74M7/9ywlvyf7qssbFVOQIGii2t//bC
WzZ8Ewz0fEUbw71t/z/xTSAR/LsH3WdY4K/xLKz1vOzYGf67B12yWG4MMw9Oip3oaUlNWmf5tBBu
Jio9JBYOIw6fnGn46GiU/yRd57eyH2D2iWxTfNs7o+U8SuJyvnrWpJ/JCGEWKwGOrHSjismh8Rz+
80GW7PB3aRe/O5Zf3g05wnSH+9oZWaYS33826HHkVjmnv5gAVpYQUOQsXTxiriFNXSjMzzQHYD/G
ae1gKcVVEjVYLF+DZcEpG5PeXCfmrm5z3kUkWsywTGvI8WasjlmTeyejChx5QmWaX+Cspx9Z03yi
i1dexCjWMntn6gdOl19TYJmnzHHuVUWeNgfScp1IvEW97fRR5Sx/TVjskTNuJQcSplpvxMjvSdHe
QZQ4LSPgu6lkHOsykvZrN4lQE6bjC2UfAONgdA2kBel+GvgH9RMN4NI+m+zIqOMJ0LZgHhw6qxRh
zyOCeDmUzbM5qT/gwBx0mTgO2bpsjEUT05Lfmz9KMZd8qbjSR5x0rNIDJ3nRGHexhRovevSKJ124
xrGYZFxFjRObT3JiZYgeM6UQsSqhzRCnJV/TmkzM+XmXE1tilqtAbvOBjC0gfAObQii7m4lvNArX
OhUN/vgzCa3iCkNuUId4tXKUQOhpMbUJMa/O1DeCqyZK/m1gEOvOfev26THANnlpB4mpKg2AloFQ
XVyaLD1Tx6HqmwJ/ZOlQToOi/U5zPL4/P8DQxRHYtgtMfTad+wWHweMA2JXId7tBvAR5FI0YvQbm
zmfz9DH0bne3Yrlp9gL+ShYmgg0IoWD01gE0/K7DBsCdpaOPPaj0g3TsXjwt+eDTaKR6g74fxyu8
/eSIeN5iytP0zPU9Tk8eZefthScMKmHhJwzpPQ6xe8OYqr91k5VXj6t/sh8W4uO4tVqw6/j7APd9
Nf9Motsql6bgqdfJ2c9NRks5IdMTzBjMoYw0ieIdgbRk79j3vul8EGB/xIRItzecmbDPuhPIZbp4
O/OuaFZGRrt+ZqfyK26c/yLvzHYbR9Yt/UQsMILB6aYvNFuS5Sk95Q3hTDs5D0EyOD19f8pd3ad2
ndMb2ECjgYMG6qKAKqfTssSIf/1rfevJsG+dhZovlKUf3DK/LUejz1kcbZy8ZlF8CygGogHmj02D
lgKGiF+ZHN1Nj2/pJmYKvk9nx/ri7cz0xEpysO8RGS1sgMGDfb3i1uO0wghg78KSCYsf9RegZUiA
XID4GgGorLRk9kBEjBBekm7GljlrlfhqLbuMGEVufV4TsE9hY8Gusbr7gN13R54XhifcAhDS8YE2
MKQzJ/lWOlCn8xyhgCRhfNDXnk/Pw+kdzoQ6RFl363lZ7C2d9NaHUnQPan8/VVBEFweQ29D48aHC
NLHS17CFytC+s5ByTLTI+tZOM+97OMdPsihR5wNp9mNUNHxksl2uIB6wPEf/Bp73c1FLt23FvBXB
1J0lNyf6cTCNVgWBHdd/4tF3G2dUcDh6lkf4Hru+dBEWimKnZuntddjuyyYwe+XZn4VPCnjy5q84
j+4cUqI0Vylvpzpa+oipfo19kP8wS/zrL6fTf5U58oCc/yVyFCg2VILyXYFK4Qc+tb3//Livmmmw
hhS51orJCyVlJgk5FhXa3dS4dwl1AenaWozbbF2dd7d2PaVvcVbjBiFf7w2rkhsez8ne41MHTy28
z2Rjwm084TrhfZkGDmIPo9sqHUiU120l8MSBilmJdoRdAGTcJ6BUgiS6Vn21aCxNi+1RJAY5Kfas
9qYVLg+LCiGPnp5h2Lm/nyY0q/FkwQfCU4YaQZwG5ZTQttXPvjzwuWRz3LZQdYytrF0AZeaxzyyK
HQpt+zfMBTymRi+mB43uB9nH5P+p5S2ibjeyvWQyTvltZgM2nmQkl1+dKJxMsBtm2TaTVD3kMmRk
LeNwLauQ5KJxHpdSwEngcXb2qsjda2JUm3Do3bWo0WBYujBmVPLoGL//Euynn1umi612koL3aqfZ
P3Y5PvN9NtRQBomcEBCIFj4tHjQY3t3wzeq1akSWP6VzJ8bTrDPiGMxi5PsnuZ1Cr2VTbpWbMIwp
MtMhK8WIdHFnl5e0brPTHAt1bwgKT2zi4uqdh0JHV4e/7Fz4oSSvF7Sj0tPZ3dCY4DPuXYOmkj20
GCaPnp1WmzouM3ELcyynSzH1AXKxkcnWBVp3esZP652SyaKQNCitvT8kilKYwdoLSiLuI8IAqxqP
y8+IODSKWqrN99m9xmaCQd5FrqHYY/AwEArxQ7EZYE/QESGqXR2vZNneF6iLiCpyX8ClwhxOzGvs
rvslazgFMclxb2pJQ5BhY6MBc1wERJjnc9O7bwnYA7xZ2WsBaXOlchy2dRzOWytgbyob8Q0YAMYy
Mx1aRa4sB2BD5uIztsWI6df6CaKF/AGt9/sm6Y8OAlIikJRRTHHzvUYxTEuNvX0Yf6SCHvoa3Wdg
up8NDi9chp9lAiMm185XreLwNjcNkSvfbnfBBN2wFv0HpMvumARiWHfgMj8J543HwQu6h5Jao5uu
c6+WgzQAZYILbhi6n1wW0R1c53NQRbizytZb6zwO8FWm6Ull1jtTUbwvZ1tcKh3eUvoFJSU3tBEy
6m4cX9Q75zqVYbGHnea2tFI3xmxgLwPV5WmlxmzbB0A9Cm9XN11/uzSi3czLPO+BvdG5OMknKtam
20KI9EaWoH8tMaPnsgS8xJMvHnIor/es8cFQDemNxaJvHY82+4AI6eYIehwfq7QKxYRTDHhYRPOL
xg6oJTlqiDJLvSk7SABOKfmvqRtvsKVjexinjBPW0Aw0/S4J8qYZEulsgCYP1xah1E17SvAA8tKN
lmW/CMwjDpTXUE9m4p6ctZy6Zm+11F9uyYaXp+h6RrfX0zr/fXA3vw9x4occ6I5PQeQh+H3Qszni
0F9+XwCwIXAZmH5fDBC3uSR41/sCs3j//zhRzDT0s27mFiN9/z/+G01bknnnX9Ik702Vffz466T1
55f8Y8zyvT9C2lwcWzpeINhHEiv+x5jlMzAFrhMGgad8ztaQCefPMcuRf7hkjf0QltOfgMk/E8cy
/IOhTFAH4ri+55H//HcixyiB/3Ts+oqPJ3OWI+nYcPlH/e3YjeOYDt1KVntjhu7ACWmYLD3A3xhm
7p3C6k6jxqxVWKo+YfThZldW8U07BdkptPH6GrzHL0E1u59ha1N4q3wL+x3cKInniwh+xW1HAcVp
XTc6klaLaTRaPjyj7mvCEA6fn5U3lSfAFWozhgEb+5qcBzuni0PelMsHK59afUYKUXpwy2NOjI7k
ZyHAQdr5tNONgY4gg3RL0F88Fy6WN6w9SXF0FlXd0k603FW4uH+y5rNxmnvejzmFAcj3G++AWlg7
qeA5sdxR8Yu0AfS2FmK0mk26acMo/+6WBtDNwndl0x9jX0yL5nOwneFGobi/qrLDdF9db3DQPja6
Kh+aNK8/8pkHdCa4t45tMN1hbg32ZCvYVpGxoD8yrydzT0fFdMAWSJ9SPBrMyx1TmVfRkZH0mXye
mbjidgIYkDkUGiWKB1U01Hur9O+lqobnPrTjL12k7VvqjQoLrI0l3742ggcAr6a2bralhzQ2ZKW8
CeXMFDdoYiypeHJy7d7QNm1OfRml4IOC6mVEkN6nzPerCRohEDPmRA0Ti8BwSqVZQBu4ToUIV0Qt
hid4y+XFb5KvSNHHuqQ5e2jj6TcPEtPaYs34Ez/Rrzmbg2Xjh9NrIhus2u7RGNTbtBHigRpfe5vS
2Hef+WP4pnDJncXcqJNTts6NMUvxqfJrIzS1XJRxsRq9zMBULtXSEBq0wQT/bFyj900QlzfdRDY4
T9rxWNoquoxFpQ9+oZAkRSBuBNUbt3r2v6L2JOSbk/Gd2amET51V1seC9d4G8ikFdjIzkO7jOb5m
XZuKZmlRlgS36/wSJku3D61lfqZnQ9xVBTjoWNX6FaF6vhQzEZ/YHuwz60n2W6w/1g6u443BbtKC
5Jfhdd4h3ZNwjh1s6tg2BrFwVVjeLzOq4HLts9lqqcOd12sMs7WciPLVxcULofoROAAs4fa7NPXR
/Ejtfgtz8nhovsWHl1g0wHWAltaux+gSkZHeZi2hBM1JuVtYDKyn2dRraybI4pnahn9FtwZMHvoG
PUglpFrpBM7s8qZcuDdNjASkDDCLLM1tRDcMuztiDhxbDJjNfomHVYOQgosWqXJGcpX1DzfhNqSK
9BS7E2QyY+cP9EanNKF0NGLjEOa2pnaeaD06mtPqRPtI8J6nRLgoZa8GJHw9PtLE8q688kdFn4K7
dOeu8n9mAwDGJcqDQ2O1aoe1POLhc/0TyzagW1iMEOOWx7FTjzS/4Ywp2n6jKW14YssIgmPMSdOm
pUZFKT9pJbi0KdcwCsWwXRnPegREb16TeqTLDfL4nqJZ+w4bKhU+cyVOcN/6Y43AAoOm8b+Yf6Kd
V7PkaY3Dh8n2xTYC8/zkYGrfqknR+jmH07obBg2isF52vI/Z8QmsiatsaabXmEXWDXc3SmnzrttJ
26+PEwbxtZ8PJKjqbAZT6k7xCvaCR+1EvOwjEy1AaxYXjqhDXvbqGyE6hUhLgw/arktUYqE5QVhJ
v89DTQQmAnvSzIZMk3HZD4F5+NFkAgI60YX53Le2YCvUT8drDvOVpPsCBDFvzrRnDEe6JHCtFmNw
SIin/xjdqj+NicQEA3/1kQ95Q2zvmt8uKCtOkbJH59lLa5+WuRmzPrRVM6wilQSXLubBh8MpcHbZ
kBXX0uH4k7zpszNqUgokC60C1yovxKFQtb/hwHDfhsp6MN14mVN+8ihbJ0NardthZoRdQDa8tXGJ
QQIM7Dqb+35X11lAVVMRzqtMuu7WodGDnZ3h89/PLrOfSLFGuOzmfVJj7GGvNXhrq4qGVRb6Z5OR
aWCej9c5En+21ARUw+CpWobpBFyXucWtVP+EpRB2hRk/c5ahh7FmoUf3yC24sAcq7hQhUGvagQdv
12lnqx1FCMveMVGDZZMnuMtOHCHQ0VtTLsNXGPcPyeA/Z16DM27gD6DPAjZ4k/HYWKFYZu5h8CJW
DIuK1nZvbzrIFPueUsuraDh/T4vQfbS9YjjxpyP0DAd6UN7xEa/pOP7mOP5FllwrrY7ekSJmeukJ
trkFfJxk6ogJWXZ2nOD631CbrtcRP/krbULO+5UovUl1kN9wShyqPmqe4sJq97M2EQPkMIzXfpCq
eZsWyGYazfPOL2cKjy2GyTJUhD1dzMu6mrHv52W165CKN/7ShY+dhz2ynMyWddwbC8ZLRK0yi87l
Isr4lvS+5JhlRx7V4HZWtI/X9gbQf4Txzz5amuFrdLqzMxFDnSTTUtIL6iecPS7MfSuufjLNdhLL
YkmVz9LftOW4mqYAw7sivMb/9SW6OXR35HR5FYtOtk9OPOpzE3wRHxh/pSRBLizb6W+n1u/kYmOs
9gNYV3Sheuw/MPi3X9liB5tmssmR58kVc+exxoaAOyzfoAr333I7dKxNeI0Bw5dK9cM82P1mbkjJ
0HCO9tuXrQskbbaJAhJNxRY07TtND8Uo4TfaEsFjCZB3ICjiXiXM8GSRb7opsTuWew9cVrJxku4a
nuOQ1sEdO2WinWVgvaDiLZBYuKLEdvNVNNP0rSn9Ym11GCRwIXJ6k+cIH3ABvUz+QI3oQOSqSi59
2u48g+baO+ZN9O1zu5Tdyqly50EAFthVYTXvOPbC2yoCfAxKt/DfMhcDRM21AmnwJxb8vVPHB0JE
px6H9Ag3YTOOhPs2iypJN1OXUm7jgQcGrVl15tY7YesDANf7mRRPbic/OdBeRgAhnav2hP9Z8sex
3qEThGsvQxBy50Vw7nILY1dKcMMnibLMt02nbCrgS7VxMIhfIjfZFS4zFk5UUjZhogxeKMIIfqNH
sbK6rNlkru184/EbnOelw5bdDxZgNSesbpggL4R/6GvK05MFN3ND0YVz0EtnP3CLm5+oYVh2ijXX
vYDh7JbZp4q5wJaTMifDLxpql7nFhERDLnvqVXc1hNAVAiaycUI25lg8hCOmg0POdV231kc2e81h
1kVxxtfBEU0H8bYHMrFCl5029ZK4526MIKuBpT0G/iAPTT3GR6yBp9Ka9LvJJv+FEFRwTbYlCOOz
Rdao74PHVgfNXRhRMjpm9ceVHrpycRdvR04fIOfejbZSdDHdv2mv/dAANzaAIxSxHeq4+jw7koC2
Xt20DN6qcrS2qU6s50q1m9JrYsOvI6UVlZfua2LDsOVG6T2M8xxDv6hsdxWWLVhTnReHHm4Ao4V3
cMbe40Ut43MUW829H3BIxXWxcfrKvKJm6LObBu073VSkKVxNv1KL4sGDx0mQ/vNuJyLd8t7BMUwk
NVoD2bN2AMOA/7nK3TeEsZ+rOdEPdizJnwHKfHTaxrkQ92huuIONj9hhK/ZCbYcPYFSEeN35UVql
jVGnLz7rUvh7ja/qV9g00X4aG4UpjBt042fqzALtintjufKRyjQ5u8OSuSsxBpKU8pw+4e8oCHd4
On3pbERF+kO7jTRRfCGVRKDPKe2L8OlbNUPsgKzoumtSFGnJr+LvlVoEfAZfQjwby0+WSOHFwiX1
MgsB6a5nj+M5pnsPOx0/5pRYPaFzy+MYBJojT6QDL730SBQUKetwwglddz1cq+ShyxQ7dzfhwgbH
ySSROljwdYh+sM7wRl1dVNd3p2t2brtE0RfezBYPOxrkripmrm4YM3b54gXvYqJYhf2E8wjMosP+
LvQpRjPn/umxWOpd9zsjK2ZVpMivpo8kpJxsuqGXrr5Duk0vg0jSg6t6LuSqgpzmkLOqLRXugMYG
YNcA26B/bA3Fh1uKWTDJWcJlzRZmF7m0d6WdyFU/kTYf/L48BgthhlUjwyscwzm7GLB+8YPqbYR5
4pT7V8N3gZ0KaX7+5UbLz56Q4iqw4RI0IyhcAblhxXdJV2ogBVAWVXSKkvgy5NTIaRHeymbON17g
IoTlbvoKpmlmo1+816TxyEBn/m1jCJ67SwaMq5zXJLnH03XIpzKxggLZ7N2gDOnJRd2LWjpRYKFm
L0kiLQdEvwD3wmcO6jkdvZ5O4MCYVpwVV7C1lrJ6jrnAo1Law0tsux4rcvspm+Nop6JdMEZ7AHw5
qeXhIQMG48cjD5eZK7lt76xYzFc2rN6xIkU6nif4590P3p4TC8wyuwBOXDbu3HYb+sB8Zm5P7dtF
OFjS7apZuw5v1CIiJt5m3p0pEgQ8+xLz/NySmbKvd4N0V2vL2g6NJbfMedEhyEp6fVTaPgwNflc7
waUx0Ii2BXiAIcztyFoMeDz0UAZ3uGxIQC++RjWMbwefRBnfy46P6WQIShaSRzsquZQbUUcdi9NQ
vkqyjRNIDgXJdDUQgY/XdUN0i4svMb1zHgRg9eNhPJc8CnNCoNPwBIyhei8JqVNlmIjoZxtVi3UF
wmPUJFVE6tEesoeyFdbjpNyyL29abDEUSSc2raL84i814JNL1mfiOydge2msgjEXv9Ya+zq+qyUV
IHWFFb4ZECgvUhhqOjHl8eOktDGStJrmG2xigv6DsN/7Tew9ttWUX4Ma5sada/fRwae/N4Nsf3ot
JBRIYSZ9r+uw/znRBA8xqOHDyHbjwEsTniItYMHwlzyE8gp+peR7nUKY3/AHKErr7fFlMGn51OtR
XYhe1vuETRJWfru9c/idPqCO8pehJ+slluNXQ3PqlknoWow+iLtZ8G9muq69HYeAvOeyCO4qS9xx
2oLUVUPOyAGlbZ6ts5XZVE4VKt75XCxg9GhrVUDnyVYopGg8S8bH1m5C/wlKtgW2VI5cuOvy1sao
L9slADPg8sQaEDVh1OTHsHXwbPX1N1qaPtpmvF1mSiaA6n/muYJeq0kZD62ztudJw9acXjuGn4DP
sO+ImezX/L3WlXVMsyT5/94/Ij1HiL+s5/5TZ/G9+TQ/k6+2nf9Z1fz9ZX9iFOUf8EgJ0yjbxYvy
V4yii0DpICu6nkBY/P1f/hdG0cNxIsElSjTNEL7Bf5hHhP1HIIEPYRvB24IoKv4tWfNvoqbnOX7A
w9ZHeL2uE694w78URbnoevSgGc1exX2PQILhhiUJECMVFhStrXJtpl3M7NdUzs+/vFL/xSITNfcv
a0xk3L9967+5ViTlDBS6dnobqhx9JSEVnBDHbfLox6jZBP3r7yb/E6gRdUA49AldkdxKyr/Jt2Si
M4/zdN4NWa6OsY56/AF+s5kCme/mrnmz44zxqJ15fBcmADI8+OTDbHczeOZtqCuSr0v8goPlfu79
W5eML5Q0d9Xb0SsKCt27mnOWoM+JE6Lb/uu/PY6hv71auETwdwaur3iv8Ib6W4eRbEuGk4F+Y5cl
+cF3nKyDu09aXQ/wCK1+obqy4dZE3+J0H5osfVKReycnbfPQu2qARr9xPYkJ+tjvlqrOICf2ss4B
3Q5sI8v0ptdYWaaR/1eWI+HHYFkANQZ7skiVXgezvom1tIEIX0MCeAIP9bW4nXS6vzzMKMYZA8/g
Jo/KxQQ/jz+4DazyMdkOptzgxac0J80f/CR/bOhgUfpzbpVZWdPqO7D4ZQ+NZN70Tukz34Ys9EST
w5Uw5kYmRNSQdwpcwfwwU+W8qFY4e1nI+JuX2w+VxX2SIT95dPRQwASe5g8ynP6eFsVpPyV9yyaY
Mx2kvu2voNu1GyVMeocuOK4UugxXyzzeuX40bVzKm47KGqNzEGBfQrjtMGJzF2TOq3B+1MF31heg
iqq0vgtcFnEmvF7yK49wTx7BjED8+dG4CBeN6e3jIE6jTMYLvZkxudQAEYudWL1zPbkcK8O3sAnp
qKESOxxMlO2m2WcaA8FA4GdPLeH2K0+AhiZNU8/JkZDQ+7V1RKvwOR48Qiv8alwmwoPo+AKaEdLD
yNG+KcpO34qAFbOpvyHuVud//YaUPID+6dMbuLa6foQVb0kuGvJvBNYwJnjR9LPYmqJgeMU5X5P/
0XS0rivSonuPR9c3slfUCyaUHCeRK1gdBPjto1TX58B3ntEmrvSu6gQ6MPiari3JTm4X+86NurUX
XsM7Tp2/dtqYWx/O1D+MFP+37Y63JAjqrv7V/7PB8bdp8b/lms4Jr7/M/7MhEj3yo/3rcfaPL/jz
NAv+cGyKLzE22v9shQycP0gk8l4A88vGjXPrf+/opP+Hy9MXXi8Zdo+d339ggaX6g6/wKPWwcbuz
7vq3uMCB9/fHJEJ4wOErlIvlnD/y+rb9y3mmcSN0oDudfRMJGkFjRfv5nFSoxogcAwSb/aDL9yQv
qVWjle49pRUH2YvdyArrhFb7KhTebVKr/JULUgp6cvFuRVj50Q1dtwmMFdkmeORbz3uVy0iQh4Yy
WndykDSrvIejkIOH38fMPq8UmdS/ltrvXxMkwGqlHNnfeb413RNqgD5PgQv39DrfgTeRx6kd5CNa
rj6prqqPs+jIU8DLuImpcZs2gnGIRMYi1amhUP2UFSHyNhnA6hveiMW+yVNlocDzjdauYg9A1Hrw
1olbRs/TtcWpdC335IX18F2nDTv9zAqubhx/Tl+iKbCfabIZyUA7MX+2U3PpB94G2SYuFvkZxlFR
MIuzAGq7iWfl4OWXRWatWmUIQ2e7zDCGtXXIXb72y5Dv7bQPVkMPMKyAdH4IqaPdDaVf3VaByhm/
yP1SKcKakuxDP5tfaALWYwRUeFoVUNc/GuGW+LktMlw4M2d9SaYrqVjbQdnsIp89KS5WCFjsk+Yb
j2zDDpZ9iuEDNhanTk7tm/Hrs+N27k0mBOY+vIjOriR7d0DmJ7s+Ob9g1ONk8hIYEUBfVXvILO47
qzq0DV7U3ua3m5hQ5gw5ZOk60gQkHyt/O/d2s+t84T9BQ/V3g+O0n3Nf0DKWdZHZGyBYP5tcjO+i
H7wj2Si6qpKufoDeJZ/R+trb3M0z+oxnmx2w29iZxXN6QHjiBh9TQZV5LP9ibz6Q5g2JRFTNFuAz
fAW3VuWRqif/rKpsPLp9bz+Ap/dPTmaNW0Gv7ndi/wUKq9s/cSVNxkNNv81Dulhon4HEuwO4hiin
DdzxroEYCX0dtPyty3ro7GooNIhZCHVRBNLLdIssV9XISxpQewPT3QqJc8RmRD8Lh+kcjd1TaS/R
97Ct8qOVK/XukyY6+dZcHGLZSl6mWoQXoh81wqRfcbloBu3W66oL6NvIw4yUg1cD8EG0ut43g25x
bjrAjoQ7vE5u03loH69N8rtgzrb2iIXRbfT3BhIpnO26ZDQfrBet2onYa320J8NS3UQ1c7u663NY
A74b7pgqYZG26jXijlIa2bEJ8Vuw3H5yVnYwkq/UP8Fk6kvptU+6bSix6KJ15OTbIjQ9DTEgURfW
4CXcYN9F7xIZRjpH4rRJPVNihYKZtfZ8Ioa7kZa6aqMBwcFqnCj4qrtlP9mzj+kZftQRsW492g7X
bFUmkOuWvuQ4VN6Wj+HwjLu5urXshD4okIf7QvXGPPQeiNtV7BQtw7RtoU/H1hR8N4zwBCKD3iJO
38fJT9gDtr3haQIlsbaXPkT9mZKE7QovDrSJgsULSVT+knyRa2M5jTFcI+kbCz4h/e4EQvz8M3Uq
szMiw4XnZS5vi36iRQ+52R4Ui7tYsyVukdCHEcGujPEqUFITRc8+Ly217WgDY+NSJgKcq90AHyO7
SQU7ScqsN7s5y5Zb0oT2U4DF6XsgNIwombbDqZQSYJsf5feRDKKdndXprwa+Uc+mwiXEvfT2vKMz
ftqmQEvx9UifD7wzmPdGFfZB5x4rl2HJ0wNVGXpn6jxGd8J/fdt62HOdPEwPYOTaNyXZLETtDOYn
ohW0bOp+yxVpeLIL0b5ZhcmPfqlnvZGZ7xNmpPuN17+7p4LTDGuHbNGPGIYBQaTwsMTuiXwPe0I7
L95aGXck2KaDWXLryTRDDok8yB/nVMd3XmcvFKXl5T6oKudeV+eGBk2KoOd7GjTTDdPj8ByGDo04
UITlGsVa34CvsC52RyPEyeHddDc2bXFmi5DRrmvQ/tRYvEdh2L/7Vp6/6NTUt7zM+QMF9ep7jyCB
Skf0F7QPbKS7OAE8lAwz5eAyXjqIasBjR5ib6w4SGDi8haqWMTLpVoUY+udFrZNlcKkQHpYTdo8g
JfPDr24Z82JXLOXyFC2YwtdAN/NXOgid7dxM/V2ZKOfoYxElvV8sdFR5WfaJ1QRK4GCuezHLTZ/Q
RHiXXb+3n6bOfV+lcgccfT5I0Xg/xciO3MPy2GwBU+CEq4rKUL86UYiqCH+dfdKuVxhRweaJ475p
9U5kwtsB/Bgfk7BjBdpbcb2nYpZJYpnjPWtW6oSjqHildXh5Bq4qzwvX+Zx+Si2PWOq1WdNTLDBQ
O59APvMNbsKcbX2g8+0Cbel5AvMSEwHE0LMJdeufpybIbpmvZqrieLYCwftwOjh3wD+zS6ba+M4h
AwhwZsFyuCrHMP8+8jzN1nliO9Z2jqv6gdyQ6G9GnS7fatxH+Gnr0hztrvWAUefD85SJz9YAV92n
UWeRmwWUQKVW/OUbXLCVRw6X0jf8MnOnADypMWRlT7nbCz738RtxrPEjoqyVh64cMn+F/FUpCkLc
5tnH2vxVOFT8GIcFAysrGsjLXrwnqIreoc0IS/e6ATTDQ3RiQU0UDhzM0rjDWxjFP660PT5awUlD
Fdxi+6Nz1sKqrcWTTRXSas5qSix1dIFWo1d2BgkxMONCYLOZKY5s+ZAcTJi6p6nKvKeBOCuLJyP3
GdVB9Bngu16Rle5Yx5cXKJ/8ombZ3sjGwqtLfwEl9ZDA8dNTsFVhTnyII97TVOtwtJYgdRvOlGcq
ggrKeukvDSqBJdVX03PeLLSq5SEDalEhrnUF9JXatb6BCtxOio1sa8vgYezc8tJCslthF8lexTzT
vNRS2tYOVfNZtVkOmaqrtjHXrcPkV+Gb55Tz3bXH/HPo5LQj7MokPXre/NTiSjnQWMHFRHYHFdvJ
OakNVPEh0ZRodctpIsL6yweUsG6Y3BvZpmyuOO4rqcWPuZp/k04CGdGn1AE1mgcrPRW4JBU3yXz6
FVGQe61yx440lZZ3geDFg4Q46g/kQLkdrS44YYHs92M5pvfezD1KxFG483sBfwklhLbckGBcWpVU
/ymPxdr0WXpLd582+mICpz8Im1XNLCiADPo0x99CkplqUNROM565dKabLKzUXTFIaI8Nj/XathTw
nXxv++l57pMfoZo/GxHe4SnudmXN6p9PcOo/1k0D3E43ttgl2jrxTCwNpDIQzKXmucrsO1Xp2h5N
xjUi1MvpWmq4o8bAegzs2bHfx2YJ/OMQdZD1vSbkd18X6heXrNrsgfGIFw4pzaoKjobvUmh6XErN
3a8N8vBzMIEQLH84jTpWlk8wvfyNWsxya3fWbS4y95HL5HxEqU2w0nWwyto05DZ3Zd4FZcZ2EI8D
AvwI9+dbkYv4QLiKwGfBSn7ss5PjNt6FJ0KPIT8uz14sh3ZVUgjw1vAVZ1my8F5zz1wubR8QjG5s
7b8X3Kyf6la2Zz6vruHu1c+7Vs/DQ27pdISbBcRIWYJQaeNVC31R3HA3BFUx/U4geZ8WjFTstgDm
vwPiKc9OlwNggnvpXhirAfvlGpstl9WSBA+2rXsYXCjNXdlFpKHcMQWDr9t42caLzYo2j5rk1c4T
cWqbBqUowaV/jH2uGJQ63NR5UV4GFjDFpu/KWzl4/kPAPhmDnO8ArMmgqX0Gcyp+xPjUgUTn/jsw
HnMTBCGcCVqAwISWcZInAA4iM0HwDZxwU5mpAu4EUgQG/hh8Q+lI+lVLUGE7EY1ggUsrl9LuPoRX
vfHqBrqARVB6TaNxu+ep9cHGkuZWaWqIuSrZFwGM4imlNlXG9zQK/tJiiA9RVVs3U4bskBPkt5vk
oNz0stQjjhPa6TcFxqYne2wtqBEtxVLYQ+hljpx1ofK9dR0xiM8feCGW9YgLoOZuyN8EAnL1y4a+
t0lj6yDpQIUvyYWbEZk2NkpgNmGdvIYtnizyo9/6BFSRKOJncjf+inEQflbW3zGdVxCbg1tHdnpT
Qj91UsB5DCM/rMg55262oYePfUvIGsC34+99LU8xuCz26a3cYJXzNsvI+jOvk/7Gz6+GoFFQ1+dF
ywavlwPSHXEuJzDNEh+8vkf9G46MdlcWcmMX00c56A0M9EMPV2ZTq+puIXp/PzplvfUSe6GUZFH7
xolCYAahILw1tw66mHSOWdXFj1ET5HsVkYaP9WC22jYGNkh6jQsjKu9Q1nIupdY87CfhQpdGKaIg
s8hnh9C8CSghKfr27M1ommCmeX2DFgA/7eB0ZjhqOCjLj16MkOatyyo4FAlRPyaxHmTf1M0ovIsc
hofCzspk68VN+ILVcfoA2xKdOm8Z3UMbNSsuNO5bPDa0FfSWG1JbsTDgANsV6SNr/AmwleMgTk/2
tOLgsF/jqiueejtuxhVOO8/eW3nRHUnr9NxBA2x8tj80r5Q9Pjkzb0W7D771fe6eeMDkqzJtgsNU
6A9qTZyV9kg101+9Bl0Wknmwhy85G0w+OrKDS/w/2TuTHdmRNDu/SqPXYsE4Gm3RG5/dIzzmeUPE
yHmmcXr6/hi6JWQVpBK06IUELaqQFxcZGRFO2vCfc76jbf/AHYtgTCSq7HXCJL1EoglJlU3Qv/Fm
xevYreKaqEG0z73R248TW7VLKQDTUxVC3LTGA430M5m6yFTb2GqqCxNlFjkXeM4TxhTk2kzF+9jr
dEE7XysffQ4uDrCEnNFpwNDy+DtT+v/Tt4ep+v6Pf3//ysnWxG3XxJ/dX4dpzO85UqJuY3LnHywM
Zv9qGHf5/vWeRv/bL/BnOCf+ZsM4sD2TjiSixYtN/o+BHpe8bYpl0ObwD8u09u/+efk3QYTMJZRv
yj8J5j8Geqz1fHdAn4gpK2Z+jvw/UZrozv2HkbHBuFA6UvC/f5zJgaYtUzPtokM2yJx7pUf6Kqlw
pcAjpO9vhaGIDd0o/L22McOIzpWnEuKKZvHtkiuWF9pVmA67+QZJunliSK+viPJPT5wLlbOGhFXQ
yI6bLaOZtVZ3eZW0tzIVzsgoJcfSacu55P3AKGU0SKlmsG1tEZQYpdkCPwgzGdWxL0vn3FouAfvR
HN7J7xcfNMy6BAYdOKtlXsBHnN1YkWXpW08chomhfzOlYQlZXY0TFQqdgK2eZX19bEvYq2vYR06y
0cSY6lPie/HtWEkXCWZu6gcXety99hnteanGYzJOjfdqYYe7GUdzcTj1Fk2Q4CMJH/K2R1xg3Ui8
1qDzqdu1jSYGN9fJOw5GnAzdxO4/E5f+YrzmzskkuXrHwK/YYkKw7i0KQ2BuNO5NbkT5ncxTb290
jjo4JE/3vRgLes0pjL0EIGYT6sMdYofYqixvMPxdrznzrkJLR59qGPkcjayN1Bb/Qa8phx3miwpU
zM8Q9OO9qMP5Ox7ynDl/WNWvRP6ca6VhM22jlj15nTPhekQKhzGrdd7dRJUSV8wERoyMNBq5uBPY
CdIsDnFhYFR4lKbHgEfFTERorxSPvjaxrysPWso2NjJB8BTJhdqQGnOGX69Nq0vD1Si4r9NGv7RC
VgWwpLwChMYy1l2SC6N1qLab4iBh7rRHJ68VcWmz6N5yJzWajcuJ5hv31/gAXnCgdZJyKZMzr+Gv
ZcDphWMGtR9hWWScdpRj7XEateraVTqryQsnBWxTRV/WajKyMj4PsxwJ6U11CdMTxy5jSGeW30Vi
YxaPstoNEG6Kat56tZWZbHo5YKrObaq3GcvAi7DIO3p5PBbXuTuSjuatIWYLuyYfDi7dFh0ovgbp
NuaMy++vJ0GxJghZQMFxp+jOxcrc8Nv3whfgssFPnFQcZpvMCr6prunwpNTa/KyyXuQk+4lm7O08
oNiZ/1ZX7mRjR+VNT3DuUquowDCfZSRmh6H91F400oZR6WIj4pw/498zLrkelCmin1ZvTjnPyU0X
IaDSRxJwTBqm/LHuQudrAkz5OpKcXag8AZs0tUUZYfjS3SWCQeLaMaloqCIZkQJIPEnE2/DwDltF
jbcE22FHHl8xQJgUlb/AcCbae/rGsyD3KXPrU2GB/2Xs5K3QQXsk9tr2ZFb1eG9kqv1Qjds+Jwl+
HWecyVJqIFdcf0cPN36j+lsoVu0zx3lIMe5QXsyzWe/6TAqPY2dSeSRjA4wflkLxBT3qbC2q1fld
5GUY4+hg4yegkl4UJnbzrZd4rQ2OyymPBfwfa2UGNmQEnko8PGKAURq5SLBczb2t15b9J2FeGkXN
REuFS3zuzmDrpzsPWo+/K4OyCraZO437OuQabFaZOEq4KMWKXIL52qh0/uqMFiKfxbgMFwksEi2j
8MxEBBwnCSF5N+RVfN/3hqb8poe0LQZvPjht0NzF/tBf06qD18oaCmMTlrp4KcuIsg4YJ7sWbsFD
x5k8Xtt5OO+SFNMYF7IqRoEWuljPjp+8FfFQXicZ7GxceArn+DgeddDMX0vdLGVTES1vpMFLGzUW
baPa6LSK4AIMYfValTRWSzO0hpOyGYCu3VFyV/JF98inM6IckIiFwgM0oc+6ejoZdL1gCfZbm7JB
PyETHhuabo7WHiqe1aT8yCiyfOgcKqiRDziWImrXyZtZOtWLWw8c8eu6gVdkaadzUVtnKwKrmCyD
VdlAT7UqUT21CRneO8svqUwGfceiw92m3tiI4dZFlExi2PT8+uetjDskba+a+vFgZYPtHBsxQb2r
6qo5h7CeYO0VmJ6xolnMxWuZfYxRGP3Q8FFuqlbED4zN8QurzGa7kRnZ0QQPa7QmBiu3tGFUFeKz
jA9wyHTI1ageTw7Ify6mRLRPeqDLZ+32yL/rjOv1FaQfGp7NEGRX7wfjzVDV9rwxYMHu+zwSsKsD
TTGFzpz1SHc9KTGcBZc2Xi9wSmVnH/DjRnu6+Bo94teKUEqrVdP28+WUVBUWfZSGlagdkCO1lycf
sk6Lrcjsi4GKKL1K6IfEUc53eFuVsn22M384AXkT9jrECUl7AKklDrKDIESFnffEa+OWz0wBOd46
XXvgkrvv2oxB4mTCyPEbddF58MrwlSlnBbMvO0Vg90iAJE0NPqcNlrH2PBesQ66xb8w72x9vLbNU
WBr7+YsmyYKNOu4esiJjIDLTyYlHFsMcZYZ33Dz7H4fNZ89g3D7ZynuXDb7BGRrIYR5AF1jUjD3a
o2sf/JTmoVWUMaOiTdv5rmMV9Osy69WNNk17l0LZG9czhI6TGXTcH/ABHwJlznBF47hpNkOcII7b
QJtpdhHkzoP0nLks5NtkKLBu4ZkrpzWzQe7HnWcGKekOw9y3yYR5bI7r9DjDvL+zEic7jTxqWBaY
NXANdC50tNybwN60L4rnbNO6hf/pTZSz0b3l1HThZf5dkQt5SLqOaKJTBcEKPAhKHw/MJmjN4rZO
wJbQdBU72zwF+SfcrnoUBW2Sg+bjL7kMvuQRyF/8+OmMFOmFgkFqIq+KVDG/jREYts1yl/Sarnrr
GuWuZzwmD7XVtp9jaFY3XucBGWvIva2HNCG357aSMmQZ7Qfal9qVAcgXhyG2qrd8thPGLHrhUzkx
BhR3yMPvIKqj6zww7EuyaADsMq6qGvGhM9lAS61f8cbIrexr/95w7H5hbQbhK30BEbjhuB/fDOJg
b6l2CNFjXxyfKpV4+8iv5LUSnn1S45D+8P02N7Aepg816xgUTTW1HM/iJlvyyyQZ1DQQ8Epaatk2
dgiAYuW508T4Ay6YnNzhCSwETQsEHt+RxzlqVG3KcLRrgwFhgUKehiplO9zzUQ2XJnWarA5x0NzG
jc3UtKw8mDndnLFSWeXYZdtKR/T0yMTQ5V53TRMcyTCLcMP83WMqb0bmFX5I59mSA+4cahvSaRf3
ORVLY+Mzheb651/EoZzzdQnnBVfkoJB+fJoC7bW2ak+tg2loXgfiDsmmiSNRruM5C84x0j/KWudF
R54QNWPljbv3EKMoxVqub1JBLxcqo6/JX4Id0ECD8uzJoaP0Dss1Bq+G+9BdQoHrpmfusjZwDVzE
SA/X5qjFN1h3Hyclthrslu6AHippKhp+WzLvJ1iKEXogRwIGbW3E2DXm+rwxDa4wN75L99Zu6Cks
k5lVlky3HFiaFFj49qZkq+jPVtxWwYpPgcDiqEq590zc/1lmwfWd1eDDHlfMDBOKO1147Ib5qFxj
eo99Q3z5fqZpmhpmdvK0aTrNYZUuwlWta6SVLEmqbdaCKY+cLPwBZA7xdGYUMakKDi1nzJnWc4K3
M4GFW+0X7aaRDUsUKiiCBae2ZOOMprVVEZAkX2iSNZ7XBu9qqK07UXDE2HLqVca6yZWbQQz2RuDr
xI1+QCDNnNF0g8TBD44Hti53RlCM20bavCYO+/KGJ1ub2zoR5but6sq6Sfow2wa9N1JLYY03pcgA
4xYEJsj1VQ1VbTxVFqJOHd1QE+ccbWL216nISVxNHsI3NyCrBglrD36/lnzJ8DFB62Q+39jVUzVI
2pdrFWQ/ZRZbd42dMdSkcsTbZEgsGyMxCAJp+BdNMxqHzm4ApQV2FdIAwAlwRW2M2IRF1231TPFY
QErYXbmMWt4jAlYX6TgztxzNeT4Ynal+JkcG0z4g6jueIQYZD9BR+Cp+xFwupFxgqbtiFLonsxOc
Sp7pz2kRdTmrmOEdOzd1P9TDqgufONWxQsarVuNIZ4NAioD5JJOdZA/Zhg3TVM+KQC8WiZyPwHOT
lSGk3qoSxLeeWn3mm3ZO2DzEC+cAjI2pKnapiVrJS5MhwA7IQLB46myNT4M5fZLqu9LRS4GQnZGm
o4YO5mkt4lvQ+9nWrBRcORek/cXS87DlBBdsLS/44Jyq9oJ3cgsuv0WrU+EbDsHuY1pcNmD4TAK2
k5W+hW0pb8PZbEe06DwBcWlk+9nI8/UUduMDzbQ3pK/NV1Nk0a0bN7yXFkIGZcPueMKsNRycKgsv
PK9K+b178cmPMhXBt45dKquF9Vw3M2N0oijeckLP7V0kBK5m6TgVxniEkU+VxuLDZYk5xBxLtykv
TnvGNEMopre5HDc9lSnwN6nKCu05O5ag/dCLaWt9KENOvBzhvBsP+Pi9M5f2UXqtcVO2LrIlvoFp
FSLEP9RGBfGWlZcSnZAUpRz76IFXL3iNMNqxtAW09PkqjFlddK+wC5JEuCqmKjrRCOTd9I7FOLL2
GVBjOxDp2TVsfYjICV3F1kxENyiS5LrJajqiXZEbm0hoqlPzcGo3AaLO/WRlMYx43d8oI3Q/eXdN
6lMb9V23EcWZKiEm4FkTUTQDENWz1ZWc6s00OdJ1lZylIF66Ej2zjLxjvaIm1wKDg7RwRPSMCD/n
+T7wKadIlTGif9HcDI8HaEDGD5tKvsgKuEXNkRXv4NbNbP3csNVRXTrU2U4Ik68Jx+M+sDLGkJEG
zjxpdCiKcAdvV6dJtY5si16bknqU9XJycanaiYoHk7q3nef0yU3pWD+SyyC7MlChdoPRorucnFE+
LdvnljSIX9xB0x+ePDZlPsu5ZjSv6f34StGt1/+Ny3lG46adHWyqsVZd1ozjRnhJCWV6itzrmS1F
bzKVgDr9Lxk1/l9E2jBt18de97/28B3em+m9eP/r3PDPv/MHtYEjT/FYSemCkvor0VA6fyPg7PFM
8J+AXbhAOP4+KsR5zgGF8RxjbNux5V9sfPJvHjEkLMoAN9TyN3+HOv4xgsOD/O+Qxz9//rdC5zdl
XHTtf/y7K/8JaOiYpsXtjpYeG/eNkvY/ufhS04qsNKWpIekN/1oKOVB/NRf5jlLb5CVkSP3qUsh6
LLyMabpa3Ncu7QQ05db9AR+dOiYcie4xlpMX6vF8PZUImC9caeXVPAvnMcZieh4sYR+n3E4+ytiw
aU0Ix2PB/x+8HIrd2hcKZa82O+dr2XI419S6u/LI9jw4MmGcyHpX/ExThb/E97IHZjcDi4ywTouH
4Kat7RQtmgatLvJgsoFe4F4YJE+577anxvCDJ4Sm5Jwk+S7GUUYWR/X02tbM53u4QUnCzu1xc4fG
71sMdPAllJkfwHJ0uR0ANQwpJ7CLfdxSIsjmS0Cw1umWvSq/j7tGMv5Iuitt+moD+3TjR261mmJP
XGISqM421WZcG8hfuzjGrhyrd3Y9hvz7HnrduezQ/RhIFFRwOu0xzFpzK9u6v8sKRKQemgbOaVjB
qXavAt0AXqjHnjSqVq9m49hr4n894qAFX9eq0+uM2+zBXeTHrqnIsOtufle5k3ETSkDRZaXeWBHA
rI4zDBmwDpOUI6zHIK1+iqKrOI51TU16nmHjK0tl+NT14fAyRUH7oAj8f5uA3SQnrJmccVybNBFM
uLTjI/npvN3FNnNTDk4OETbUWnxwDOTekonwzy4NnPim8PvgMvaBXyqDkRahGn9CAJ79eFNqpTZT
k03OmmeEwZpBhxG4AM0N08fZ/mNOI9jn3oQULUoq65q2LC7t3DGwc7n1PSefbOPUuSBcT2UAh8bb
OepIvY5gEVJQ/pschOQzQMlwi4NbP8s+iZ/QzcNNWxt3Fonei6QfrB8axtxVzu2MsaiuqS9KwomL
rZV8gRt5A6MbnKtmht5P9+GFldnuRg/ExlZdApxrHXD4QbCXlXvue53cRaVv0pvVTidC2fI6rxie
GOnjGBXgPgcZ9pc9LLT3ptWggC1nOHCtIQs/YcqnAnaLxz7A/t8qjk6z7d3iVi+viTJPO2bi46kO
I/c1shuPzWnuDQ5DbvwUVll6LNJheMuVJ96XafEqwqaxKVvfvxjsut3Eatiknnsbj2Z9Z/djvmai
2r8ndl0/wYOJ9k2p7deqr8LjrHt7Wk12IE1OH7F9dnLsnwCn6uoqbF0UBsoJwwtml3jMZVNdu2OM
k8GvqucAmiuI5lxwPaktI1mLvEp3SQDmqhdTwrEX5HRo5CaYA1aHa+zOqGdjVPL9inyp77NMdrkc
FCSmnInIvlGeA9nhJAVFcx3PfnuuCg7cVFY1p7aX5EQB2Lvx2qsq75xG3Dy3QYYTgfJn8xtuIrWA
ZMjOlilpzOMuOZtrF2jqtqfWraafs8XdOHhieIwbohh70/NFRiZQp5L8vKk2OTWwNaiLxL2oOeAv
B4bePVuMhrdlZoudDpbcJEZkwiyVU/g+ubyo2na27GMKAQz/ignGcp5nKX4llzTHqwCwIRYBtyFc
N82hEYAVwyFIawBJz1PDMPCSqh26JZ2I0DquE307Gn3x1eL5GpHwQ+vNaZggr4qqjV7H0rcdRu4p
zG7J6RlTb2Zp+TqBixhw+dr+oynwJaS1ObzUwpqLU4yZzFsNULaPxiDcYt/lvg1ECZX7IyxHa5mQ
V/JFY3Amq8Ng6EYsxgK7nJZFe0C92TMxzyAh0la10xYk6b1viUWDt5Txyuia2xJoIaZ1WK3H8ex5
MgcYG1sVNBoa8eDiJHW0HcfO5vBvmQD/W2NIADxg6MP2bbnlfez1yLJcHfFHoPK2H6KZGc5o7XkR
rSuu1d1XkTAgic4IX3nVNVsJxGyCOQgAW4TUT4HtTPVrTGecu85pOcUupMHtghecIhx+BpNYQSCC
615mJlhAbQQAC4/JCeuWRw6/w0bb0jXw0xhe8Qw0p2UM2k7ZGlM7Q4Z0rLO7OJXBMwUx7TlTzk89
Gc07OtadQ28b4wz6HLAbZCXoA5Grk3b1+Db5PRZxhzT6m6NF669DRnJH4YWQTGKZYXA3e3kHZ2b2
bxjiA1abnJyAR8q4bKcSxQ/QyAWwkqnOWXk4hQa8EnnyiDV6vKDVN3wSTkykisFju6lMAY5p8Jrh
2+T2iyCIzLT2GDxso2hwzwa0Fwnt24Qd2OXaPcLA4r1veBFeKqxlD+REofvm0jKWNmoeQGbyAAfx
pPb7wAzNR41/4ZzmLmniFKBHvC28ggYv2fM9y8zPT57TOgV1xcuAFnGrPZVZVj9jf82dY0zXR7UO
JJ0Ha4RSALsN4+XLtOCDM+yMohZDtHyDLrfqr9roiXmONbCOwuh5Y5COsueE+84Fa6j5Lsxuesbw
Txs2EGKM1nJOWHsL21kPfGlcvuCuXhX//m3b46lYRaka9mQIjdc6Y4eyJrz6ObiRb5OCiD10IPUE
KtF4JEOa3Tr2GFKZikq0iQhTnW3S2iSHAn6zLLrdNSoE1g98TN1Tz2ys28yxXb4ZaVkBvSIPzzta
2fduTLv0ilXR+ChqFIiVTzAWeqgqDPCvgc9RgQt09h5H1QyXr++TZpt0E/PCBGhlvU8sqH7gO/Av
FaL4JmLu588mRaUObWqDvEvsJCIPO+B6avqE9qUuLdMbFZkzkwfqANq1E7rDBVNTe0VDenQ7dBGO
J6KJ1KwPjHwQRT/4rLBMcDmrnoa2YxfoEWMcx5zv0iYyqtUC0gAQU5uLz7zCZmnIlLmBVRsC3Til
V3DWjgTnNXsw8wMJYpbZgNKUWlrYi1Lthd0miNzuWpAp4PGUVhuvrTQKXgJvpORWccnExsNvNQTE
+qTb0bvthlhtsirmc08aYIomHtjzPApWVOE77R10hepu8APFzyyERW2ASVvgEMb5MV6qwYk22/Xa
YYfjyXAneTASbe7M0tTV2u7TeAtVhXmdNCNG50mTXJMsRZoM/cJ6p0eufDJqBQDMxGp85TUjvxGV
pfWlEFAIVpVTxQemyv47ZDb7k3Qp31aoku6JxuRF5owmWrocGX5iMaGlLNPqiSpRwtFzbbD4deAW
GcOes8klKme42bxPBvA77LRVivHExAeeJxjd9yVy6GWgRv9idDob7oQlu2QTx1H7NmREZbh/t/ZP
Vqn8m+uzfXIDI/zASDxN67Cd1SVm1qsIfvJxmqnbXv2XXAf/n8t9cZezYRr+i0tjnL9/Ru/Zv900
71/f7T+4Tv78y39uj+pvYsEqStzIDuhqj/vbH58JkWaotlhG/vhJ+Ju/3x7tv4GUwvwiPckghnvk
/+Dh2/hWJEoOgSiTNOHyV/90XfxX10eMNP9gNFlIjZapTNokiJthdnGIcP81BGZJPOeY2v19EYBK
j2U71VCusAJUJIk+eSJZrkSknobaJd4KSGSVO0G3kUMSHC2vtr7YxosDm461KYls6Vzle7DpyRtd
6BSTzl6FR7tL68+aIBDu2xqxbZjCKxprxztfRcYO2ZS8JxpI86UKppNj1Mo7bMvxsMXE5XwG1M46
0Gm9aNcbOSK2PsfoOBeOoA5PD153rOeQbuEYzIxZiF1cqWuhcRBXaN4vXlirr9TwtM0Jegr2kM30
zi5IPzOKzsavMHaCN+0G+jS3yDmuN3b7uS0joCIKm4olCNSODGJDK6O/MfavyV0N24m29UMZCXNT
T5qjF6LeISYCdDPAt92SpY2AUtkeo9asSIBrBXH12M9l+R3Dgjl3wrBPta8fQAAponGtf2PL2jGh
osOSteBMs5bH9JYBG2kapMyoZWOZ8qTf+9ME5b600pcW7/aJC2x3KlILDkXen4M0ji/jiGZrYH7t
fVZV0RHepVwb2NncVZjK+AMBwni2ghAfetw6lyGVPx9Ashnsjq1r/PST151zjjQvJTvTmQ+cn9Pt
cKjUtAi6wrkCqd/SbuQTTMItzhVU+D+jg0eWcxzcoww78qlOKzI5rJv4p3O4DZmvuVlix+aBd/hF
GcW9k1sJqQiMkJGvxUsfLiBzL6sPCh/JpsKau1y720NlQSgcgOzSRWJJbnId8n/vQnQPBzu5wN/0
5HPE3sAKyulEyrpV37KLdXNkv47cwQ4aJXrdOzK/jrMsketmAU56tAshsAy4pIKW0jYgORZnqm3u
Rt8kFFD44qJyr0yzT44aKgcfugC1LPLLoZzVF6mm8HHsTdzuWDufptHKmPYG3sNQMJFmJK5qbryG
JmYurFumGzBMDWXQDV86SNVOo6uvloYc5TQGsMCw2ukqsa5me8p3yeCNJPgyTdjL4qmNhcoeM6ms
ejN63QwMmd+ZSkyxMZpCv81uVF5Aw6vuODPLCwqr/N00iAaaBTESB+8LJ8F9NUmGjxV9Sxzs+lVj
kLJrpmQz4HPY05daPJr+pK4As1N/6hJg2YqAnrtVHSE1UkAX3tiz6TCdsRc3PX7PkKhbI/Y4B3DH
BmJaL7altczd4hOITqvwZxr1wXAXsCIUaNp305tZl5+tyaw8hb5nYAOwRGfsmnI45z2d8j4G6jVS
4gOu9k1oFtaxIumQrgm1G5u/rNX/k6mZvaxqZTZhMzp+/ce//656FplsLKkuOE7ntyXkL9HXAOmV
rh+WAy4TcFF7gIpYwyu4ZTyORXXJER/SWm5tCai8ZLRtRgtMubkCqYQJNQwKAKdzP/xALoMqHRXZ
herBuK5jIkuXZWhjBKlxBbdyiG3csJGTbztwNMGKE2J6p37f5/T33Qa7hvGh4L0AyrisC4M76Wk9
9LYDtsgx0rd//aOjHvzTz24StXLYeWxXkodnePmPK/6EmU34aSj2phvi30c4zFP73vDHN+FQ5GyW
IFddGdaXSGUS3ZHPeOfT/sPT0FR0GDO0b0womhFGkGkGNAcecdg0SdZ/c1IMH6IcQo2skUM4+eGg
ADpq6ebNb2Eq4ibbA84+ASTw12kaf9b1WK55tnDyab85MjCtNxny5UmZbXSy6GiCVpj29JDS0HEs
gLV4a5GKjjb2FNUNKRzkRB/vXTXmN1oO6q0k5/cGH6/fDR6tvFZu6ys3JBWbhU20iwYz35fdIF9K
AzHYy+ERIyr2d/xR7hpE65fEtKPT2A8zoPnOBz3lucj4eP9KD+OA5Q/TEa2lM1YDVrdd2FkhequR
0MQBDmvNtz0wgEyjXeooc98MrkfxN617GXxybMmskdsG+9BTZ7lLg6iqnjjiq03NFecHKyx4gC5N
F4IhhQmVm1xwaQu9NX4x98noXOtazb5xb7eDRXuiCtlbfFF+10k5PmHg855cWRY3EVCzG0wXMDcX
HJhtOtFlUIvmwOTyCN1000HmBYjfwJbz25E6EG0yIBuG4XYc8vSKKmFC3lEG4jICuMAnoscNQ8Dm
XluZWjN04KBbmtaHg5X9ocSuhfSYPYIXHmzCny59wB067lsuFuYOUe7LuemiPQin8aIIfQ+WPqlj
Ds7xpXQnbqoNtBUIrMlEKUjuR2vR9NWlrIbgmjlCdesx1CaRYobTwc0XugWpNgTRAT2RDOONHqLy
7JE530QUZS1pkeo0elLdQiqyjlkdcFyRR8OjC7MsricrukfUXNWYAvdGOJ3HlqqYxJcDXb0YIyaW
qnZZs0KP1StY1jE7NCP6sQzjx19WuH5Z67JGETWg0cEhNrHC4e7u59+FUf8ukqwUzkYvK2ezrKF+
E7HOoPDOLAQRTD9rWW/JXhaP47IGN5YznoqhZM2trHp6ASPq7+AxsaKbZX2HVwBnnTD1m8twa1Nm
UnI5byxC2svGkCx7BPq/TSbCJL6bLntIHaaxcZAMiGIK1JYtSCgKbFbKmDpmh2YtHyY8hNct9TPg
MJd9jZkZJhK/xIu3b4XfnIy+Ipa87JMad+2GkBk7aFGF/sdQJS5bBc804Dkrri4gBmMaqbocAmOQ
Dvsg8gk5Nb9b+ixI/IS0zkdkz+J+ZxIoalZzy0ckf08N03KAMDhJzMuRArQLhwsiqgkF0tLdRMu5
Q3B8DFRUr718CfEFi5wXGHq8gNpdoYUh9gUuNgjaCHMijlWEiQtRMPmjD0Z0EiyiYTGWmm6bLEW4
tNrkaC/yYhLmFqhez7nqMFjcFZOJBolvAozurzA54wPANuR+9otsGbdT/GgsUmbAMKkFz4zASaTY
oKuoMUZyJ07MZRObBIXKyKLeIpA2SIFnznSopsOvgsrZHovxIqtWQZWDaV60VuwAzcfY9C+C+edG
kfRgsEW39Q7blbn3F6lWLqJtssi3za+Si+OzfwgVcyy8Mki9duoYNxBGFvl3dO7xx3o3o/LddSzZ
urh3lg/Vr2xciiY72r9ich5TRb+Kej9h461Qm3+FZ6+i3sBb1GgOluJjxNLzaZfFIlYTHCaxyIu2
o34IF5nHtAubEIGp52nRu9NE8xZniwpOxIx5U+MbJ7Vo5HkyjqdEMoAj14KGXtVeSEzeELAA/Zt5
UdrtjMq/cVHfYxr4TpQ3IskPju/dRotOn9hesJl/xXt8f91HyCzpDYJMuxV4pXEYpFSRIPyLuAm2
S4Rr22FuvrB+DQKGxBRULq4B49c/8GslKFEE8EVOnnMT82MEKUVcrkf+Ej/Rqkzmb2EZzD47pPsV
ayIWBTAEZGsW34K7OBjKFkxSv7gaqJ7DzmMyTR5irEjl4n6Qv0aIYWmy9hd3BPKMB4THOynh/BBz
/ZgWCwUbGCYptRgrZOP6vO2L26JIgDMy+Z/2rDwcrINUPCUjpSlpmT+ZTmW9OLWpD73OqufBdZPn
oBXNN3ANwvJG0h76boYzJ55sL/PgWCSud3Sd8oxZ/RpK8YJkxwytx9Hb0o6N8ybIgC9sRT8q7E0K
pwIJNqc6+tjP1iJIXZymmX2YuyrZmo07vcYGz6mYHetiHAy9AfEYfJLGdPah5yfDWpbLsX6G3Lwa
RhJfY+R8aYCRe+XUcDaJqF7GTR5fEHENpwuNe+eOgkfrIeL+MoKhG7vvPkUIpNyj9S9R7VltQF0m
9zT3IkzMS18ulKl8B02zQvJAylFJpXreRBewslSNx1ft4/cs7h3mh1Vzsght8v5gThp7qowGTedA
YQ4dAQsHvY3K9GwLvbG+TmnuOhRk97eDylogKfPIxckmg2Qw3x3hke3jBVcLtle+5L8M22DB2cK2
nnZuRdW8bWr5FgG338NRTVaBbwDvyjmmDsz2hMc1NEoAJpTtMcngcAb6PEvxs1QCbsldmO9dT9kM
ii3bY/XQptJhJEfD4p0VNlNOS248fyVoSpAI/ae8KzhUa/b2eaH9Dn0z7H1Rt6spsse90FCBYyTM
J1zVNYH+hRpcN33DktRjQHCs6raSAXhhthKe72yhDjOemB+8SmOjTYWv16Z0L7EDohuCPMlusqK0
zoRYySEHoXdGQrJu9S/Y2PmFHCupjHuSMvaNjT8dq+hH0NLdPUBvXwL1kXdteJNzaOKUY5FRnHOm
e46gHA1PbyBJhCZ7L9Y1qwhcZnfh5ubu10TGKtmpX5gz4AwQ8UqamwpNsluYzxwILzqLBkihX/z0
rZzvJgjclsNEry6s5Cdxw6t0AUj7TSVupRvUrzxfbF4LcprsQXiRRQV4s18iNZUMOHsN9tk9jYL6
dXbb4RHqov0aiNR9xqter2FnO8d24V6zE/wne2eyIzlybulX0apXTYE00jigdz4PMc+ZGyIyMpKz
cTROT98fvUqlqpRUurqLCzTQK0GojPBwOp32D+d8J75yFxY2ZmxrpcMcDvJCyk7T6Aj2kvGil3gr
Per4nk2ui5wK4rZkLExaMUkDzcLknlPXWXsqk/nB94l45Tz1xjfGfhivFems69IU8SFyZHHMgexv
nQUAPhvk+0GFBQ5qYHwnydTZjZDmD04paWRjKtkpD6ctOVgjMjAJZNG5EMgbjD13MlfVETgs6Loc
1mQmrPi5WeDmPRZXQCEAz32nCQ5Rnsce+8MJwmlo6h1/A667hZneY3F9qy8gdfbNER6j4iFSPERX
OHvmXb8cuBhPWMZZ2XNuTBX5O63eY5KlIMtiUPaQrlnLu84TbJR2O+uqxA45ajIaFvA75ryFAZ8b
g7tG88w3MFMmD+y5Gfq1q/lm8aeU6y4o+Im+Q3Y+oZ15mVTSsoKevY8qUvYhRuS4D+2i3bSdO/FV
If5RCabcHYG3K8vPUrIY8VZvhqEe1lEmN5Mm1k9YYXit2FuogJxGBjNkPBwjWMpWHJ6bgmWTyEA5
6DJmiu+DgPAGE8/BPJ2Y8KkN5QMWKw/gbD5wbQt0fyQpFNcxBuJ1MfTehjnBvE1GGdMmJR69uZ/l
59iXHpcgtI5DU1rf2eCm6DtbRd4PMA938JOjb2N8Il/WAlwZsiVX8EO/i7zMvqjEafJVnYnwwTF6
+NoU2nf0Kt3ZSaQ+4rJlssRe135JDadfd1FSfSlcu1gTkl6eocyk9H9VeqhYvRxMO8n3Tt/UVwpU
36FNCNklTZtAeA8fgBPMLEVTa883zH7uaNfuOgPnt2KTu00KZh8x8gfLREnbpdm5FPI0tofJ53pq
FXxBJbJmceg/CNUHDMi99MWFc3wE8ZxfeQniWMaQ8hgO6V1ku2jk/7wXFv+sFSYA22dbjMnQDH7i
HA6pEmEIa3JvEMa3xZXvfjSg4pJVjQg8IAGR/tfOx+gpchXW/Yb1Et7ouDKIhc+mb643Vw00FIwr
U5LO7BaWeSUzHRtwLGAka23FM/B6dZlwmhCHkFqODAin0vVPCYAiUsDpEI3/L+KC3Qm+7F/P40/v
RaH/8r/ei+r//OX83sJgbP4g6Prl538dyQMMJavZob6xnIvF87eRPFy2JVnZx53E/7g+N8TfRvLy
r5YdSMv3GL8H5Ncyrf+791N4rrAY5YMoxVn1H1FGHXfBAf59OPWb91Mud+vvhlJK6MjSDJH3RcgG
0TCYwKGiADPPzKC/qRySw7ZBSLzcyjLInV7p1sm2bN/r8zT24bGMQNsj+ZY3riIPFqatt8ljPR5y
tnt4jkLmUxUgZ/BfkkwhCkU28yEixbrspmMhqAbxKk6v41LteDSpWJLM+MBmsL61SNd5jQg0RehU
Ypxe6qVBExMbREFwVPNAEbLUVQV+wRPjFGfF1iF595f6y0uQF5G5sJRl7VKh+UuthgO12PUTMXLl
pZQblqoO2i4Fnudb/tWsI+QmCEm6T4TJFINMJcVTt1SI3VQn07mu++Q8NXBpkGUbu9Avwz0W0u9O
OpP25ruUnKiFKMEzkQ3rUFQOSUlUp7nMepbXVKw15rPN2Kr5C0vzdMv8wD5gHZEnQN/Tk84QBZ7b
qAVdEPxSFesC25+F4g0jhqNXscgBoAHAPEvs4d8c9DuMPSpj40eASdJLDb5U42WqslfmHNUrScP6
YC5VO2zP0VubEtxeslT380VmXS2Ka71or+2LDJsyGEk240J5HIxFqC0WzbZxkW/PFyn3rHNU3Yu+
O79IvZNF9e0u+m/jIgUXTk8oSYE+PDGJUw1nhO2YXWIE5BiIuy1yGeOgGNFs2e0SEpFDFo2Xf2kj
wc0wfmjxwBi6+FFfhOpi0axDz+MY8y9SdoaDyNqLi8R9di9y94v03VlU8IXr2cdgUcZLINFr6yKX
Ly/SecZtGHZqHU93ITl7PAaRSjn8SnHXLNp7IghQBclFka+mmrx4z+hG6imQBuFFvE+X3xxjx5h2
BRzuH9NF5t9eJP8w4ZH/WxcrQLi4AryLP+BiFWB76lNM4h+YL1aCOJgCCvHaUldh0rUbUnOa+1KI
nPHExZCgF28CpPDkIVn8CsgJkXRjLGQFlKB0kKVF55xfbA7VxfIQXOwP6eKEYHY0vc/0r882Lys3
KIbtH+bFPhFHsqw3PUAHkhVs3zT4/iyWi+pivyguVgzcBNgy/ItFY1zcGsHFuCEuJo74YujgYI7U
dkpHd5nV65jwH8rGRygiGbkcFeJ1pD+LRSS92EXE4hwZMNcSWJhYZJsUcwTYC5PcossI5cmalqBW
Kw8C9MnjhzCZF05WKT9I1cwPJuuVhzGSzMcB6m8wejp3XBSmKpZfjS+jkUbvnKbJETJcdqymsGOu
pW2ck24HxyYLBDuptuC9zrGwl/KHz2lE3nWmjOVkhR+fLOEnAWFZA7PYA+tBRtSiQvLYV8FnI5hM
bcbOYAvvJfG3ZE6Hb1GY9juXWKabGWH7XaJa40RAT3GXkgDekXRmLOAca3K+Gs1k08V7NiL6Ak7L
Vc6HhIasjL7yS0DKo8e/w72IusQJviJZwaiiKvdq7ukzfI1HM+n9/ApPI6kETuTB/V3k9x7OeLXG
G5hsK49nD0oPzOhWRmbUuqcIJGXFxqxnJ1W+8akYkk3nifAqTb3xMLkJOUYNc1KMKn54JVsrZ0Vl
mFDSQWa11SJ+M9/ZNwXPrq2LLeKZ4KGc8/tJKarUccRX5fhqJw1/IrGR1JYnV/bBuajykRgxJ/ko
RewgVJonunpt7gGj5UeigZKtbBO8z3OZHURiyE0u4wHmTj1s+KoTibE809WEbI60SePkRqPzJY9a
LKwJKQh7yUoOyV+e3Bg8964L07VugxY/eCzDfmOWTfsgec7f1cSzbFRT+uO61xkhIEPs3LnayZ6s
1og/LUBQLJSSrN9qXwTnuRjTgxmYyUErOeyVExkn5jboJgahSlpBdrGbaijS60gWQ7a17GH+FhlB
e0izInnAsZ8e0UPdBzP+pA1PS3SzSKzEF85tYhOajH5dkr19P5ssCUEnDvW6DkySH7p2UrdstkfG
K2X8I02z6IG+K3wSFXJhvh3MaaKhpcduG+cG023zPhSF+0r7AUPIhD2PAro4ADFBXRsoywA2Bt8C
9/Pg3Rej7V3lzYypx56Hq74xHFTAscfwOLXCU0TiMKzCaEBYlCQ7IuftI5zCCDmzRRKVZ6T5g/RI
i02SkMUyQRrNJ96VJL4RXj+/G4j92HgiGcaSRMbXOrXH8Qo+WYRxNERth5zmCixn/0W0Ubpjy4Oe
h1Ns3wdFuTzj/biip8M0CStWsby1q5vZdyGezEEtPm143ihMePyis2PQby6w61r77Uc4++XKmpXY
9UNtnGZ/1p9kBk270mr7xybiGMLdIrO9zdASjHiUvWMewmmlAhHdRmDdmLbnDa4vKTG5Nu4Sz+c4
nAaVp8/eYFnnvmBPGBimBpqTJvvJKXnSGfzMMbEiVm01Pt3Uj919N9ODt65fczW7+jkccAoWHCc4
gMmSyMayfRhkw/rUD72nNg36u7gnhWcuJs5rRi5nHw4YC30FUZPknnFeQnyAi3pXARaqb5fa9H8M
6LK80G88ZfQev77wgtz/w//ZLrOi6V5/NtPDZ6vz7m9SkeVf/lf/418+L7/l37BayCBdECr/ukI/
fzbv+R9dFr/8yG8uC/D8Pq4I9HzcXNbfdTIOgabA6HmESPGrleLXotwSf/VMHxaLwxnpwUqmR/i1
KPf/imhzyVq0BL9rQS3/RzoZ9+dEUy8IXEDNpjDR8Ni2+1NxHmigsRloli3NNg48srtWumSBtWZe
qq9UmgN2NLU4uzxRD2Zhd0cK5yxfE9dS0e0b3aszOCadMdOhN7ei61ubpiqPJEG75SrwM0JK8QKp
HeNs/9aMO9eHxOAOyRX5M+WHM0t9JrUwaE6aRrJZ6zLR/S5yQoR2DsO0DBYTpMVVm1Qpuzq8KpuY
jLbvyBhgwfg9KJyNb6fNgJvIxtKL6X6EJm5k3jNC7jTbomYfryQxcOe5rRuNnsF0X+t5EK+hJ/yn
NjaGW9QBrIH7GbKiqwhX6S0fUkCSxfBbKXuCkyDp8KZVgwJNbOAc53BSTn8S+CRNjnTWIyd3isWj
qbBN7TIoozkKmhlPFsk0qIEHaXpqgxVlDG9jD0X9VsYzrAQUQIyvW1Z2w63bw1y6Ei6WdwSWjDqI
J8uQ5TJ1g3nAyrox10laVJSsY3kltJGwGUim5qqcUlOi2mHhvnZh+MRgFNLpcZjZETP0F0m86zoS
1xlgdWxkBx47KEWGKvvImKtVFEI6LzcTgW0mokv0tPiu09sMDP6BT8Z5Mv20B6dKJRKWU3AnYPR2
qyRIm3Hbtmb5jJ+XZ8qcLlnpbgTzrGpAr6BgbEbsLZl3n9Wm+2GOPoczBAaJ1EqPXBo/8pnMD6mb
bzW5X6+1TvSrH0mHFTeSYB/3DQJ9TGhefU4LjbYmLsCwpj4pqwwQaRaPDiiaaSGPjugbeAU8liY5
bVrbWIwLpzzIqE7uCTzrylUPr/fDMuPF5ReLiWAHgmFuWO/HdHs2qbW0Jp+OitHfhrNEsxH2wcgl
COfg6PRLolEtExFu2MZb/DvL/Vp79DQkr5t2th7mgHx5t3AqZzewSJaHaTRwek6aqeJGu87cb8Cy
eF9qVGHNyrTd9tRC5s02FMOlxHiIYnRx3uofrjWPUE5mqcJ1AnshWCPDRY8i/FrvQJr7nHW2Cu+L
fmRwTvLSsMtI/cO0EQf4DMBEVmg6BcC0Onez7zqBNHn0C8NcE3Cvm42LnVIh7nJiHwyZ3RWPQZD4
m9bTDAsJDCqEIeDdNOlLNQc3OS7dLZaoAXYxxUZ1Nslc5XZ0D/mEWu5gtmb6osRg7gnWWOAXznwV
BW1+nuJe7OpRhPU6yQZvuJ4C1Vn3VpOUL83AHqdv6Utxhep1QKh5enKCQj1GMQnmeQv/Jw2tdmar
z52CO1Fem9pP0H77CsZlFKA9WZmhkVTfbPwGVwIvOYUbMCh9IrE+m16YhqBYraepJzKJYCc321En
0tGs0BuzkizSLPkWGnX8MGjlfsPwWLPx4YyNjwMD+Pk2ycjaXFt8ZfQukBXraaKwRtwLyCds/wiL
Rc+3dqSn+dowjPSlmzoPWoINQ36nR2eC+iljodHvdhOP+VXYxr6xiNXYsDHceC/H6oz5O6WDpfif
ANmafJPWldSMyqXk3a7+t/wtmwVafXXXir7bWxVWlf/Zc/v3x/b/S2nlaE0tplT/+nB//Wy7v6w+
VfSe/37s9uvP/XLCB+ZfTeyTlJeex5ePRvBvYzdfEtODoNWXgWUjll0KiV9PeOIQBHsmSn7Y42Kx
Uv52wguLSCDTEgzrvEvYy3+UWf6zDpbkIOiQLuw2hsEe8Lc/Dt+g5EfQkiCoNLHOdrWZgrOMWCHK
BMBAp6bj7y7PP1GgWVQmvxvyobwKGBeit/UYRRIp7Sz1xu+GfXjTwsUk6hG61kb7SGTpJ9rw+r63
oDgTXjxsAEu1mD74V6w6pp55NFHV+mVuQhiYvbCfsx57webf/F0/K+OWv0v4dASmFAJXqfjj3xW0
LfEDU+HvB5F/7RR/hzUwMvF4UAsM+wGdFdmodrMLk5zDZLqWjTZPf/5HLLXU3wegv1wblHmUWsJF
rSZ/+hsyv3bDEQXBvkpGojmzNjz5FrqFP3+Vf/KJk23kSya6rCLh0/zxnXpc5DSeU5+MUYnhcnj1
HVhBA1s/pEHt8G8u7D95T9LGPM4nLhGC/3x/waa12JmAIiAfw92NPnlxqa7Ev3mVP46OL1eOgpcq
GocK97D46a7igW7VCHS9PXBt3kY2DexR9UNfJB//8cXD8OxeSm/Mz5dy+Xe3rzRmruhy+4YJHL/C
SH/AwK3Rqqg7xG83/40Xo+gmx4uaXpo/vatRO0QQtA5eCTzQxBJb0Iwg/m3wz+VEg7qHP3+5S7zV
T/cfDh7fZkVAGUnr8cc7I2HSP7P68fY1ww2OwTK4GrzQfAAX41LWx9mmUrW7iztEeKDOl9jZIvwG
RlwBrBrrhzTzm72tin5jZy6WE5OpIRWnj3BNzvNdJ6oCxAJApvqo0wsfrPCxC1ZzzGp92T5W3Yy0
XaLsAQTu3jfMOu///D0u0Ww/f8cCrJ24Ekyexf9wPw4Q5AfiVr19pGJxTJkfHademmuvl8/GpHbE
I7XkDEY/PBv7I8Y78TREjv9vLvU/u18Dz2FPyAZO2s5PVxqckaNkmAd7YsSc4+gQIkPtxMIwdtd/
/ob/8ZWCxcIP89P2Jdf6p1eKq7gdmAT5ew+O7xqxKTC9siCoxBTbP38lCwTAP1xcrOsmNkzbcWzv
l//+u29HXVi2wbrW2ztBL7ZZbyTw4YHHCNMdEbhwIwjgTlEGKpdUAQhnHVKNdUhKPQCfchwOAaK8
PZptZIqtlu4jCyD5LmEzHQY37fK1XevpMWg756rr+vIMsjrZq4YE21VlMTrf5XBQmK5bNYZdj5Vv
MPmHKnbcHQv2aW/U0JGbpkbeLBsA0DX1nrWSEXKB/dCJGgejFV7rOJW3Slo4x1DCuduoHwV2Kj+5
DcmweYc6VlDvB8PWzAOczwi+8ZXV3pFsN+8tsWfndgBVQnqzwxo+NBm8sQ06+aYIQc9MG4Cc9jZH
+nYkE7wBpQ2HCjtf9eSIpnoTWlXvgON8wu5QbqxiyPhrVQ7t1lP9tIRH54fE7NJHw6zqWxogv16N
CEY3WTPi7B4Hu37D1hBeN30cvsQBcLq+qAF7DS0i+NC0v2RG+qpygZKd7s49p10DPrqxb7wCZQwD
SNsxEAj0lg3DrY/Eg2X5JfnVMQR/UN3t7dxP5ooy2N3TLmdAtbtq7ff0sGFeJ5t2hr916ssEEy1P
qekqwBy/tMq60BstQjIDNWjyfV4P/SclE9dksAmaQ31CqLi2buqO8IUV6jJ9hIXZvlooW5daPYVr
LasWiEljBi+UbVO3kkQAPPs59kutzX491BT0jSudq7p3i0XthlgiifwqXNeohf2l1yauOc0dWAIZ
ORUHEQXNTvl83gJcHcZ4o5XvoZsNm4jPlodQb5FywSThS1yJ6cx+1PnCEMGEr4kg6Ba1FPYSv894
HcwcdKQ8PFgRNc7U0NkjccN2KLv8xcZjuepNM/2oZcp78ELJHR/0KWYVh0IIrORQsYlqQuB2zTqH
kvtjjuwpXWHoITnN7OwwxZpc4amBBzRdiawAT484rdwk2Ir4CgFWizFk7wWOFyLfbFF8o9fvA7yi
IRBxp6mPTVB4KzvKkM2F5njtzgZT/NSJ8PWjV2nQlxdMTFR4k+kxOki7xLs4Kou/Nx4aG8amDy97
XQg3DtjSJjRVQwO9xapPcSCbc4QC9dFWbEizZNpBsY2fkB4QxEKU1K7lbzvg1I52Qd0FBx9CDp/v
WGwid+T+yOeMPzXONQw0OPkvPWOvsz3Vn+AS6m2iAao3cU0IQhi41qKEq4+GRavmGqlYZ6JnvmAh
v94bPvzPOs+4+mj9r33EFut4nOJjrIjFSR1gB3aLxc1sIqI3kL8dfLsJv2f2jGIoS9GB96mJqpaP
+DH0bPPA3jHfDlMf7w3EikRZxc0HiVTdvQja6RAMRrEHgOBvYQRbO5bvmIsFMRg9BeKIEvpMYi4b
Vk+jfNOps+qrU0Qw95mQwBodzDxgmWsjfx2m4XM09c65bqzoFp2dOLNaCwCLufYznT7ZM1FkQxoN
G1yhqgkPwpTlIS66ZDtK5k3SN8j8zdhvuxXFMerP+BxV/Rtqqvbkl6AXOfWm1aBBlDXhrK67XCJt
qxxEUiXCGSDebCLZNua4zTWIzLGg8LYlUy0bhzvg0flR1B7UAiSw30ZG/isTBv2aYz7Z13U23rVg
cI+pMMK3igH4itxCVje1M2OBYdSsJm++joL0TYOO2ZctsxAUdAByXehhxYNJgMOxiAsXXSIRHihR
gQP1/Z6QTYxytjt8MlvrMONXsOn5rhnWG14jiA45iBZsYhufAK31OGDIEc5kXeUdsryVC4lqBwg+
28i8HHalE6A7sToaCstlyN80/UPYVirZNY7X4jmbCb5Sxo8RhWUxePKJImne65qpoSz5KmMq2VuW
K7cDevVrR3X3VdJc2akCWGAZFbAw0exxE75bZdmQibMdbTLEkgj4c+0Ab2qJl2N9yZCdERnBoIN9
Uw86fEDUVWy9ECFo6jvXTonxAAX0vAJuQDzIoOuvIXCWtcdCcu1O8x0cCB+7lHKZ0o2D+6Y8gCSE
AkzwA8PMZiwWhQxHWRpTVk2qeqYuw+WgEvuQuzZWwIQ0AdJOwpuEBdzKqo3gMeb9foHE2BPGNOYN
VwOC5sjjvE5H9qK69DZI8UNzy66SpZVbckXwS87eXS4h7HBazc1rHzftN4ZDoUlmXNDoY5ROo79z
FbAVfBE/WB2TG5u46C88/V7MeXnk1+GZ8EcyL52GfSrBHRvEbw88+zcgpy2y1c16P5OZthZ2kH0B
x1OfRETSlaVZx1jTUG9ApMS7JCGRHLM/X+OhOTf4c2693HnpRQInLjCe7XzAHs0hf4ddxN+1c5hm
BOxYGHtCd+DOZUUGBcSpHwGzP6LBQs5fkfkWsGA5dG2Wnkaicw5FTdyoBrbKU17D2WB2bu7hoIh9
VII84JEC1KVpTQCTIifOpBB3eknxVmasSDt32m3tSPT7E+LbhqfF2AblDw4kXNtqgB/qmv1zZLGO
WSONGz6bfJbOqjRVsUmbFtPLHJjUjHLaGYZfHnwsoschaX+wuS9P4xBajyCT6h082TvSsgjHnqVc
l4GNKMSyjP4FBBe7/DmD9cxnc1v7E2RgWYckiwbNw4zlZtcW4fcmqPUNQoJolyeBOiFpTgioTnV2
GAGB74cUDQPAECZxhXlfA/Rdt3YsdjN2qd0cLhCdyInUKcUht/ZHYe4sGw/QKNJ5V45JdnamJACJ
SuzfsB6zblhjRC0/BHbCc6hE1u0UmvNt4Kb5PiRs8ejEJdDl2D1njn6bmrG8HsvxBrNa+10Wlb6q
K7tCwc/ql97wRttli2CobYlZwsNUmHV/LOS0z0rjBaMtYA7EDdG2VqE6lWGRbuNqjBjvusUze9bu
JsAjtyd9cDyMVXRSU9E8O1Xsr1Tso/yEIP29VsPMyU1RQCpZmcAcjYZNJXg2Z6Ub3XgYCO4tyCzr
1kRJTzYVMDXbZIjOIKO/G+PmtZqYkZeGvoqBuKyLadiW8BQ2c7cs3zEdNeXIfK9H1toHXb/OkQK3
c+VdCyxjvGaS3FPYIw+J0nCDGW1RzNu+WBWjgkNsJLvKU/DWzA/lslIerO6Y6wkxSdyKg1160dZn
HMrZNzoADeS8z6Fz6MAjiU968HmmCUtGZfinoBzTjUBWcbDzp340yNLDobqhhdqoOqr2lPLZlgw3
/BJxGu5jvBx7m9dfNYX86GoZvnkFdJLK5NuMz2A7E97cVfXz1LE5afsJzq9+8eEPs5XEd9Y3XwIC
uag2jQ+MwC/Czq5V4j5GPSdUUli3+eh9Rtlng/hmXyeJXgESfOpcPKPsPE+V9K4SaV0bYsbL4emW
3bNx1XAHkeAXZPtwsP2PcoTWGIlizSm1Vn7VY5qoi9fZ/s4oLt/5oka+OKSAYmvMvFpOBh9gmzyx
eCLgr1XPQOpe3BrFJjNaNPpfx1JexYCHHSG7M6sEdlR5k+5UET/HIsC4VTwNfvqFiCbIkU6+Rpdy
Y8PzZ5wLlN+t+mGr++lCYRqAHGo4n8RsruJaHNE61Iud7yHlW3Uk6ugbY4ejO0wbw0fNjqRu1dV9
v6nTODy4luhvVRDJ26ny2s8uzwOGZvIIeqU4EaDl7vpwQGQ3hN8y26Mxp91/6moQ9EuTz1fWkO4H
op1qV7TOOgoLCZTQzE/QqUwWTiwPKKVctNc2u5EYa/OmJZJr41vQagOlroUDgqhVI7UKHH3g34OD
zYwWocUSQldvUMPwhlOREqyJbHvlOwtOpeTzpm8t4fh4j74b3Tr2AAZJNF97sKUtU3M4ZlSfRSY0
llue+VVEQW8HD8gFru00fO0mRSZjiFd+5HOPjMpcIdJFJRXPgMMc9Wx2pDw0PRGCY1rhc0R0DYSY
3X/5zTOcV3BtkD4bzuypavnQmuylEra+m/K+eBkZhq4miTCdkC/r4Myi3FYh6QJV3abvSa+JCWLv
xCOlTE8e0T+rycPHW2MA30Re81VZut87rss7NdOBrUJ/Ky2SdvC2lNvZzvUPD6fCLZYPqjvXzneT
aUJnDcZuM2XmtaJn2aX0P6dBLaYNF9q5aO6ajgZDEpX8FiMU3qs4JMJqnh9rHSEUq8h77vHeUR7e
trWhtyPPDlRmoXtdBmIJvhnpmxOLLMsZoz/ApjHbmS7Nsa+aVztLZ1QpMKFIXDS3Ubik7w3u+CQM
tkKeqqglm8HcARsvP0be1MlrPIKVRj5SAYTkIGJD7zlvzZuqBh8eESR1wh3H9ifduot5wpzqfBu1
Or3ObN95aQk1e/FH+RmiT9sINNH7GCTVa44m7KCImHysqr75BhM9usNh4V5PiV0h9rCNfUVwwH4s
RkIpQfbfSI1YBG0cPv0Y0b5ZY3NeDVTz7Ict8mrIBEAAHxGwZloJt2HrEYqUsyAyVzqu9LEtclzs
JgE6NaVixMTrI4ygCMOLm9ZxQynU0SLvgxS/2TghgMlSCGFureQmVa7LYrObvugZKeHQuIio1LAz
WwKsQieFRZoudmFWkXeJKaHSOFl18ry4B96Fw4tB1Lov+MSx0gQH0UtrR3oRIVDpoPclWJlrZ2ya
Y2rmWwX6aAfOVdJLFc25TGGFpUlDXSnB+QSDpsBVeYxJEdhgP4fxsZr7Zq9H4e6LvJOIS7Jpq1lf
72cYYrjcBv8U+kHIzAVxnp1QzdOAPQ6tsJGD4fkEDvEdZ9TwZmXRV+XN+TU0+fA1x4hDO948wCAG
aITkjIAJQ7c7KyOqE+DRM16/V162PakmOMbon7ZtTDncQjVaE0wkn8XYAvE26wZNj2kwG1JNaxO/
ajILKgxohkVCiq+vuH3Kstph+g+jHU2f86qjxoJXVlavfcoxHWYlDk6FE6KOS3orcGdg9PpJPVfG
EODniKt33Mn2A+BE807Utb0FZUP0qjsnzV0mgm+gk1D/0YKiFsYNyqaWiCuEoxgskM6B8/OuCPJr
rlRJ0qMbjNmxHxUj0Tp0t7VR4qk1YuLNW1+RJWMlpykml2Elm5I4RavED6Pmr0MLMCOao+ktLhu0
AmnaMOFwv3nEL1McBLDcbQvKX2FXt7kdluusn5Irt6fTgoySHrn97gPHrQBbqag+jJEdX0W9Skme
LJOz6HvotUbGRPWcjzoHd6jt/n5KTed7n6IIPRlzNu1RZkEBsd3Ze7PUaGZbZ/BGuW10nPwoucm8
tV1NaXUVR930NBeB561zE9f41jfGzkGl0ORvgyv11gC4AOWim59MERHvhV7wuZkyB9ydfExdzTMz
aLKPArTcLvWtceOPY7Q1FcEoWVtJ2I3qnHX9jV9YzQn3jkS0zNnBdzWfkRoXAapr3+ZdeKiSAPnX
MSrGvHzhhZrnAh/WW7Y8O62S5EfVwedTlXcliXYDcD4Qopb6nVrSIuxTh1Nmi3IYFJ+Ddoq1ctg/
DygwHrOwr5+SzHauAZuh1TAcII2KLe5kIDxYt3mVH2Asj2yWvURv6jkkZ6CbLJ6Jhcn5a8DbJPMn
KPp15A3GNsH6R75mjIg773S4q72IWfpUZ6TBZRwGK09ryFNu3eYwuIfqnaQwgSRt8LInj+fPjS58
dE1KGpgSaSb3mkvtX3F+x9kuEc1DKFueXtkDqJxiH/TYZ+Rid6oCM7oepL5zIktumOT06xZ6N7Bv
44aBu4fQbVi3fciDlz3CzpADi+6sqvdeH20qjFlrNAjrwDDajTFmYED7AOOujFKAbXX74tVJCiMi
sw0ahMp9d2mlDkEPdBS2fLcdgg7J29zpB1rKkO9/ke6L2HC3Y13xV3Xx2zBx+gm4cVvDykgEnofv
cysgQIwEgiK6fNFTfKjhQ+6Z1FoIg0I0qQJXlB0QzqS0ka3zxHMOqlM58SBZDQMmeXA7Bb+w70+h
Y47GmrvFwiIaF1umOvoahar4NpaA8jdFWpAVbi/gKXgUPU5As8IXBOph73nYx3h4mf53N8WOoydR
vTL+qO6Jou4eIihBb37gpwQ4t/TFjO52Vt94t9Ryw9qtIx/sLDB5sxefXRw1h2C2xls5k3a8wp4e
kgiQUOEzL2edf8lShqefmIgwIejudKaMbDtENWrrrAy67kfmmNa4NS3QNRt3GFk7Yr2PeWbaVfDM
WarlKsYpjJp70rTBGeC2+dgFU1VSdJusVH2ofCTKFwQoZ+lz5va4gWO/viLvZdhArWHjQv7J1wl7
45iDy8/jkt+uB5SrA2aBorLMW8YiHr+6DRhftEz0pOcRCI0OmwTreiSC6LbKeEzHwlyx6RnXqlEb
xLr9bbjEHbUwHIDULGxKYotIytZz86y6MXhW44CfqI2m1FuRjgeGxprfCjW+zi3B7E6XiV3cJxuj
JYbGr7poDaoxOUUlMyEWOjBmE+OlHYxkEyTMLhm7Z8iO5wQrOfZzEoV3XUnXVUcyPfgwJXZt72Bg
buPGPlLBkh2O65accLPjVFwBFUUMK0lwVGsyGnBhtoOOVr4R63nFVsW4KVt7KnemgaJtxUQjfrQ9
WwJt1OVRpLhSuiSuHt1+KuC2E78BK5tgzHzNwMMNV7MW3V1rK8SwyPjcJ1Sh9aHJIprIhm6l3BDt
1JwMfNQdUtVp3GVEAq7+L3Vnths5kmXbX2ncdxY4mpEP98VnuVzzrBdCIYWM82gcv74Xo7ILEcrq
CDRwcYEGClXIisx0upM0O3bO3muTPY36Z5Dime817zQhQcugwisfnbnXznJiya5DUxGxQkyI8zEB
2e/WRmVgKUd+a6/pLFYPiKJZLNN+aSGnTuh8umIB2w2+D/GBGQLbG/2SJ29M5bPGO3NiIlVeEOAk
b9EcyjOB0uTB9JSqNsJbjHHKcAe0tlkbvPSTX1LIADbGUjdrk2fbBJg7E0FBlZ/zbuFqLOqNYbmL
Dsp1Hjpe4cfQTKrPVKKnX+mgza8ABtmMGEgcQFULhRkqomeeheM0HkwmI3dx7oWQGCOjZd8pxesE
de7Kq5LsWyZnctcTpa66sXSfO8PpOR13Kn9LvGA+VrnLXxcDgEnEeByYYAI3/TqoSu8uKGFCL6o6
662tlH0YGt3nQAMjcU1WJ90Iv27VtTG79HZBdNlRGD+abaA/y8IuHxkihU+5yssXCL/D1mj55RN+
zvRMUEkeMF7OT+GEIxK0Ka/mFIf6xYa5+UYX2H1FtEQgUTUjIXCgCLgtJfzs9HJb8IgcK8NF1pOX
RCTLafy0Z39YG/Rt1gU8n1Xb+i6a4Rp7p+Hl0K1GcpuaYQheEssmyUi2JalHfnwUtJkFcwxdkW7b
hG8zTRZegDKrX1D7hkeoGsR5cROafUoBiG8nb6Od6r17Nq/ie1905bUoIBwxbDAcNOON2lLmkXWZ
Gq8x7R6Ez8go6N2Y4F6tJVlbkWKNjgM2Bcs+oXBllV8zLtOc8hT9Li/OKEoKO6/upnZoghXqeTDX
k0cT0oVEcWHrITtzh8k/G8NIH2O3rD4SirR6XVoa0mFigZFB3BZn920wkF2v07y8YMHwq40L9esa
iVtT7jkmjzbGgxqFapl7CS7kOEups4W030n+GW5oWA/XphnWd14vy+9e3WUXsCfT49yF4hN2kH8R
6qo6KVcaxtq2eufT63T5fTFSuaSbl91LgfTkOWkaSJ6ZIxux8eMameY0uC5SvsIRBx5V0F4MSO9b
r4bGinYPgiJyVfPWaLT7qGSefxSqebRQs62Lloqkn6oZm2umrJGOe70Ao4bpLW+DCEsEvdOOegqt
rKT1Ph9aTVvPQxuX7xYCKr2sqqfAMEQ1m8ckqt0cqqeFgLMBb3U5jdrDX8LUlTVCFf7OUZEmjIr9
a5PSr9gNc82jkxc9yWo2jNq93aYMoiscIhd97Y6MrYrOvoT0QcNOaj0BiJDqrWuqMN2opn3GYVIl
m1wii+vzpryNuFHE7fqt+9AyIMR9AfPkg9LIhSka59N7ooqB5kpWSZy2kgjuNRPjidjiAfQPJFb2
zJVuAGUSGlKI164MUL5XlPwkUzv40PWyswVi2KvZoGtvFFYARXz61jTpvGJyjE+YozXvCTUS34Bh
gmWLdVmz5dLHHpnjyBeVzdlHo4aQliVm70hMSEUs6+RpWpjsBW4jMIwIF9QlHWx7FXuAB1YOf3Bv
6b7HnTuRPbetFAlnqw6mpt66UUzrrLWS97B1szOJ5dgmkEuDyoOxH29zYk3em0ninRpdLEg9o5vp
PE2NjMhqLZ7RArN9wEgOVjlQu/TQZKnzkeCCweyH6hQB6WTtJ4Iw9k7aCyB+RD2LjCEQj2RxRgA5
gzLJMO0aDSa6T4x67CZt2L7PSQXStrKN5imRUQ4igWqijKpPp7cCQHJucExQW10Ps2NAW3c5rU1N
21xMUwfZpY4540/pzhV4tQymfXvONmWEoaNFaez3cNGCLImvcW4T6l2ShYbf4T7K8f2sifobD0lu
Rf2OuX20K1r3zSvN6dYQifsOBUGvABeeJqK3PjrPSR4cGWUmIVplQPPXrZ/hHRQnQ5XWZVaVxq0y
7D8JMRb5w6+SF2AjqKDYuNHNu+4in/hJsRClpgSZU/vLmZ7hKSfmaynK6CrTVcy+Tal61VtG8gAZ
ga3094IJ99/JJZCgMAW1od5Y/hd9z2wbwodh7e8nOLJXAer4Q9+0TBFgwe6dYTTXIWcyBuNm0n8M
M1tKQx7mrurThbPQvqdV6619P6fZWZnxOisYMBWjAE5DGc+82bauC2iBtGUWRyINVG8+NMItjwNm
0QvdxpcIRhlVePQGHZRa2bob0pl1hQqYvT4zaGyn9h7zvgHRx/I3xEHHq67pkNYO3v3YcTjwhsm6
BuzynhSluzZkrw+1wYKPhFiSDxktUimU3X/46ey/ywjB15nA3BzHpjsov4jYch4lfj6Xah0NJecG
8xr/zFSuu2Q6KywkS8OENsMJmLtbcOUIkOqmXQAlp+JhqhEwkQGoArkm16DwV10utkng9Gdm2ZLs
Nxrno9lx3s1SCmAnSQ4wBuQfhDmLkPTro4evGtGnz3+jz1mUcz89ejF7SdUHDSE9TZVwxAHphW1i
HqNzsmxv0fSLTc/mvMaiHx3h2XXfmXh1ZAUuaj0abp5VAAlsB1IhSFz7g0Dp77K9AHGm8HkuJZCk
ryJB4IAGCcJ5sE/JTWAnd1RwMsOi+cPHLO6Wv/0IpJ+ayyvA0m59uY/QH0nRDIkWYPw5pWzf0jgM
Q9NtxjET32wO8KyRabUuLCitJO+J25gidASnUkNX0nZwlU1+imyGl6UCg3VFiIFJjnk4G1s3Nu8r
nbaPv39tra+/Deu1aXmeiXQSgiILx683Dn7STEOCZw/4K4sC3BlvLU2ag0mYErrBMeQxSK9KqMgv
2Uz3jPmPSS5fFh0ndxIbxAzTh0fi5enHdf1/M1f9bxVpW0sk9U+3cPF4/eXdunzLydk+vaVt9PYx
fP9e/SzS/uuf+8uG5f7DQnAtAlRrKCB/SLHRXmigmTYgY8sUyAU9pNIMJf4l0rYsbFgeolNHopZc
noZ/ibSxYaEdR9yNJogIEwCG/xMb1hduJ+rsAJyPlKYlBNW1FSzL4U9rBWfUkDNsAUh1YJaTt3vM
1NlJ5c0rqzg2X2kSikG+a0I/I/TVArI0HwGzmqey7Z+dIXnpqgba97xghvvuoGt9TSEGn0VYS4AJ
J+q6YurTeNmz9jGLMi57HigdA2Z0vAc2HRhRgXWlLh6Sq5/uxvU/d9v/+CnL59dt8MeXQ3OKx8yh
mcfQ6cuXo6Ud6Xli4D/mycbCHZGGn0VTXZviT2vu109ylxdXMJGy+I8LCOPXn5Fkb0v2oDU3jBzo
bBT0ZA2G9IyDKrX5/Zdy/rayuYvPlSIRmRX/Y3+pLHA4DznRWkhfRP8uw1pyuiuWWRV9N0baYV8S
Ei76dAP6qdrIvmvX2Aj6FQTSiDJ40Ie5q/ZuLF/4u+6LIr8wPHtGSds8K2M4L4V8syNGhZUA3lx+
a8Z8WlcOeIyxqAndUrhNQUlz1jTxYHftmYOYcc3hYdxyXB82UTi9iX5+qev41alJ6MxS0/vTFrfc
uV+qK3aQAOUyLkQPJYS9iHF/emxD0k/7yaE1Ufr+PgKMZOVjva4izeEUFlr5XOUCG28P6xae2JKr
4Pb5R4ZB+vc348cH/Xoh0kKD7rB0I333f6iCf7oQGv2jyhW8GnqySMXqGou6IZ991WJitrL3rEOU
kODxzrLzppvvS2+66cNE7mEJZKs8sG+crrlbAHQE9uxdJd/mRL3mk7WbM+/2Dxe7lH0/X+ziwmAR
chGa0HtkCfn1VysSujQpYTJb0+TgTcD2UZrDvdubd7UhLmBl3DOnOUsCcZgR/MW1+UgiUbPqXFDf
AFCaGTasxVkINNF6Zg4UCXE/VI37hxrsb1YOrjPwfBtJHa+Sx0r363VinZMijqWxYepwV6HQ3OEM
H1bYD69oRJPg0QIDT6hPXEHAR9rMr3093yGn2HZ46H7/oy2/yZff7Odr+VpKm4xEskxm4SYsEC0y
AU4DC/8XidG+vUdi94eP+7Emff08AtDovXCnJJrnX7+7dJZcE+jUG0fjUYRkDeFIN5suH3gq3Dsa
I/bOpy+46UsjWte5jK9FNJ3hhH2VEySvBKXoVg05nZGgeA7J0lNtsMuT9p5ucXoO+5linHQEOKzx
TYDNkYBOVJfOfPI1MqSEpuuqsoqasba9muBD0EPuzjFIYNQvPIagbn3KagQ8IUZzhgNte0BrPW1L
jwwfjzbTym6Us9XOfP37G/HrEksPjoeCEw3OCAuXBCX6rz8MuddZW2puBKgZJi5ql1SX+D+YSFz8
/oN+eDp+vQXQioAS4dnhg5zFA/3z4uLNUPgxLEZbJyEgtk+/o9mG8EZPd41Jo9sEbfSUjMOdW9Mf
76ZbZ7JfQqQcdN7D1wZBXeG1NCbmVWEup20gO7pBV5Ttf3+d7t8fzV+vcyknf1p7zDCQyq6YGTI5
Ok3WsINoSKBUkj+HbNArydFyA1wwBgYYMV8Yi4tmJGrVr+pnNdMjIlHWuCR7xiBnqHYO4AD6C87n
KMLsIT0A7Ar3qhYucmCEC93gluuq1peoMfuVW3U0FTQpWoZdoY8I+GAUZsyn54koq9q1SX/kFM4p
H720rTvIE+XTqJO3cNE2jdUwvRLE+Eg3koBrKofPnNkb6BJFE7Or1TkJc/MujbI/lNh/f4iodjyX
qodtGvrUl4NxqgPKDacINsoLLzVDew8NVOxwlKzs3e9vz48TxpfHaKk5aNzTlLM4iv16e8bErLvW
KZdU09k5dt38BEveOa8a8oegZrurrCa1q5guWvWpJC3iks7HCv18sxp02WxoywhuitdcW8H0h4v7
ekQkBgP3zw9bE7pm2hS/XluW9FbugY3fJDk6HOJwPON8rh/+8At8rVSWsA0sS+Qo8xlgA778Ao2d
qq4XmQKWw9RlXPAsuP82oUciRBwtzu/udlBV9ZbV3kMyTDceI3pgRfSrXcZv9bxYrpq42Mp2vAbD
E50yg8ZkE0r3DwXFv7tSgR0NvyQJuUAOfv09NFySDLlzuPFFyaoSQ9JKcpoMmPMVkJ6ViOSOBu+5
TzTq738kKvlf9xfpU8Vg+JIeu7L3dbEBqaznEin9BqjhYzhIlhg4GwFDnMK+JTdsHRPv/fuPtP7d
ZyLaQmUcsMNizP/12wb5ROsq9Ug9qMM9GkJyMuJqPFZMkzbIWk9l3r1Haf9QR+5bEos3e7ajdWh8
002s1pFRlpf+WHwmsKisUoIGuP/99bl/q1N8m2IauQGLMJ2CH9f/08I2GrUFllMbG3iFG3Aw+9AL
d2HC60L0m2C6PBNWwkM0jDYA0ujYzeK1Rfaw0yJ8aeq5WkH9vEUL/ZlE0S4fkRT1uJyNNL4mTmRP
7ixbVQk/tCrfBfvtVnZq10O9OSv54xnt+pGMphrRY7uZxq7epV77fcrN+25yX6yWdET8XH1D71IR
XdIvYuzf/wLyq5lM+rbg2CIpcnl38M79eoeKONacNiK5IcHv3s69G8AwB4w6BurJMQMnTZhb60UX
NGRRXDMZzEoPudWUtVut2lvdDLfY6NkMaGxignfXo92wwUtaOqRjSRDRmzyAlGU5zUm1Wq+CicW7
HhTdcnwQBBiQROUOGyA2b7DDixXJxne9Q8CmHV9YykEaDS6bhM8+QRM1mKANMKV/0P+vMOPUl00X
b3ouFB/fVZaNpzFJTmmWemSTeW+91hvDcRRiomGvNdoxI93XnEG2Y5BKOrcMUt0Cgtro1NvSMC2a
ghYyxnzcTFY67iL8T84o6Bqb1tH2qvehUVdl9ixn0kv19z/ciq/vp08fkEO65GhnOoRZ/3onOoGY
VyIK3Dg2Zp+DJw99eajhfpd/lX7/r9ss/5uSgumfULT89y73i7ePaHr7j38X+fTPf/SfPRTf/gct
Eo69GABNgCU+r8NfPRT3H1iAl3LZ57xgLWfh//K5i3/8gN6wjFArssVxIS2B5NH//T/43NmRbCy9
7II/Wi//kxYKvZevhRj+DEHTEs0ZJ3PT8Zaq46f1KrZQVTJCa3dLyAyC5EZFe0JioivoDHRLPG09
+cg5gPNC2jvFzjRYR7+o9Jk/xJC3XTu+amo8X5xwJveDLTK4nwsdQNctlS1OhKN00SNuj3DCHlX6
jxwg7ZVd2fZmNBxz1ZrYGgjfe5AIdtYkbPdXVWE+znBSWC+K4T72qvxezUXBMEQ6Vw1uw4MN/eMo
5jk6a1TeXeeYMzDjSY/0kDbTebWuI2Nea3tChkqiBAgPXczntJAGc910/nQTdGE/rdgesvJoN/Ut
84F8vu2DFlC+iOb8roJr1W/QD/Z3WBEJd5zdwQJiAY8W6bprR/2ZrbK+Xjn0qz+wHXRoo9DOMypC
bqJP3VgEwbEPbSm3zEHt5oZGbvWBm4NhkEIm1zOKU8FHOc/jt9nCOnOw8RcQDCPBoqhkMMQuDoIm
2xhoFPIrfOvFcJwNr//UJKayz0N1ec3szrovhb1M4UL/BpMP4SRJgqYQGSjD86gysef74hsoPbc/
cwQz4VUdNrVaZZFAYhCNFd2zvsG0nCg3XsNJYfwdTOa925bxS5e56qOrjYZpVysvOa9Nctti0iKE
Cv/vGpvBcE7xpPcFmwlWQlJP9/wqrrXWHtrHrK0xsNVxxdrTpxDqLK1OTmbk6evMw3FLgrOBhMws
zKMB6RjpfwbaeVYMO6twIgbMdFS8rjriCIk9IZ3VQWvruSnGEpZfeTQYDZ7cIn3vcp4WWjwpgSl5
CdAsVskdOiW1IisrXZkZ37vzQ7FOjNmKQOGN5ZtZjojq4s75VFnuP7lNzkNumSClX6NKCriYWb8G
4/LNYUNfBao3DsnoqQ16knhvJrOONjoP4nOh89sFRzau8NyePG/ybpYGxkvTZPGFwoeC5nWaoz1G
WP+9wSiIpsk0smdAPx1UUtsjcUXEalQUjjZBgJ1ZRMi6iCPz12aUJdWxLRD1Sn+uSVyFunciAThG
WlvcAtU3t3FpuXRfEoxgUG/uM9ftXxpXQmWuep53eqJetO77NvV3UFF954Cxan5DL9FFT51ZRjGm
mgh8cxEJBi4jgKDhzIT4SoRNNyOJLHMzLs7QNyDPgNoaPaNcH6kvLKVLXGiyH0/1RP2BDm5xq5u+
7UQ78LQ4h6FEWVct/HC5qkQjXpxZEomx8pU0wn2Yd+7TQrkwLj0XMdKOrOOo26F2RqrnLlOENd1b
x9sN0ziZm2TkRq8QZnsp77qtivHSRUbYXZCNQjSIhWSG9O6Av+s28ocUcqSkX/ikebr8lSkz9t5Q
YQ9ax0NkMjqZAjQ3FVPVAxGZ+t5MMu+MkY+q71LkB/42NnSQfB+QIZx6LDW82DQVSWudreyx4ULt
tVsm6fds0EEDBixsqlWV1iAklScJOrXMucCu7RvMD4k0BoOIs+uzCZJ6DV17UFsQuGl7xpOJC6mK
bUqHoHFvmj4uLovC8z6EMRb2gW5tEB8712u+MbZrMFIi8lvCNUfyuvkjFonRfiigED8gcphRaabo
GGGFYlU1q5qK14c3Lr2YEPCZ3HgmfB5q+xWg9UivWCBly3Swq8s1XzHfWHEFIhBBMFGY2ZjSlU2K
ZnjpGQde9KlXPJWM/qFPMd+87AY7RcHsBOOqobDbsg4pA4JuMGC60MMFUsngGtIpVDQ/iYJdYojx
xhuJs3IjjgdQTSPYmtrDopgWqjwLa9yjK0iV1hlWgPhc62Hh/Db1Pbk9zlOuxbCzGkIt5yIQZ5ik
FHottsh8OxomgSSKM7hjYGbYqtgghB1OVrc3py44VaU21tD30csRlIFm1i2qK0OX3ZsJG/E15jz7
2EYWgiXI6juz6cNbdsvY39eWbO9LKxm/1Tp2P+zAGu6HJh92vVfcBSxLJJHUMmi3UV/eJZ07JviR
ouqI9ZOV17dIRiXcxtnkbY+YFSZ7vPZc3TtrBl3wxfxssVe3mXhRUP7rTdcW7XkqJv8zQFazKmIO
kzRK8Ntqnb9KmZNtXnqmPRxMu8Mu32f+JgPyfkDXWpKAlAyXXlvjCoHhbCW7yeILa1NZ36syNk74
85xobRfKqk5T7szVpm3m8qHOBiTR4ZizdxV95Z5VbtczXkTnjJDcR348mTp+9QzDvem7yblI6jS4
Khr0P4uz8J2tuTkRAde+JD1Ke5I9RjxHY6rOc4u4mVUNm/TWc8bmNo/JSVxpKAFXXIt+xQluPqYI
vYHnETV3ay9ymRgyMumxAtWITL5jXMseAKsn2yHMY33J3StezNmc6ThrRHuN9rABuKRZII/q4a1e
Y+73L6lcIKoERf48WaD46sCIozMm8QD3rK7ZpkHZ877J0dlYZixuTMSdeKW6YLqxOmOu7shvMo62
WzavtlXwgCm3Y8QflnXub0Dw9wMJBq3+JurefUUu2d+MBLg4Z/Cb0+dyUGjwJldjmjATt/gGpkC/
h06GzhLaAMy7lhTnhF81CRIObr28C9ypRR7vZfJYESUWEWBLf5SsjsX+wL+Nxcw0pOzxv8Vk0RDE
i4ox1N6Nm5B04A0tKzM313ocjbbQW62RLKEGhvRXUZjVq4oI9/00D/oTfypnybTnr00n6j69Qfdn
RBlVp0E08uhBBrtJyxLxcSsn4tC9rE8eMpJW9lGdt+dxFJp7U4SE1TQouldQyUhopsccrQPBzJ20
rLJv1xLGBWDAiD9csjkCcBd5m+yqyZnf6qBI3G09OtNbPBnhu25Hif+h7UkXUr6LPtPGmZ5eWwbm
eW480Dqbfxz5ak4A4CqXbXFV02W+pTCNNmOsbNK2Yx9JJoiFmYeV+JG9HSTlawBdgfcN7z2ekRnd
Spj2CDi8unopSi3UGgpg8ZbiYjp30ZS/OV3Xbnus5A0FnhGeq7K2PNrJXnomuaQthNJ5WicErD1p
X9XvMINxLOEb9C7jyON0G4CAvI3KaTw1+Kfvy4B4tFXTlN5l6eOvYE4YA1EhntTZ2q4qr1n1pw3G
AngZFDtIV2nSqAdCr5d1B3yB29oBkRZ5gLmxwa6Wbibg4TnHx6l+9eOErcY3gvkK3aznbiqyRN60
Lr2tjJK2BHeaplcO2nh3JYfcStfRxCAQtZccL3RjgUtryfh5ULMO7iFtp/6ak8B8GU+RiatkLPoN
PS/32SSBM7pLxy64xhTnZFsWGP9DU1tiXUUDFe5admYUNZN3jDK80AhqtI+d0jFAHsgIz4DiNzuY
MaGdntZkUHpWI29QTxpYQIrBvmPYWm0qobrHaNbxHR1p/5pQWOq2yKvbm8zWXr8zAwJXKEkM1LUM
7MS0gsMh7noRxFdJj8x2BdpguvKcGmuFGp3bumKhPuCRI04WorHYer1nfLDiJTv2Z7EjDjz5jqi0
2lAKeQ9AC0trR+aiuDUxFxAWk8h4HUQItuio0yShIxwcI1HKlxTM7nVuNsa3kkyxO3OKGlwmrc7P
gZHIT2S9cXUi/a9E7dx6+QeQZf04D+N0QGDXn8vKS+ONKyOTFofsk2InomaaNjEKHcT+dS4O0FSM
B6Gw2m0z8kv3psZEmZMegt09NvGRe5WzRcHTIIS1s+wIo2KI1m7WT0+zj/GgjBJ65RLPndwAg0FE
bZXViZYxpn/wFs12KFR8TuC5eWbl3fNoamwVqowJNZ9oWmHKfA1LczlMieo4RnD74qZi5XGVexOD
NNx6JDSpVTwNCGxZvFaOET0iE/NXbmNjB9Ml3MU2+CyxJrTCac5GvOnbGg3+zmUqt/eJ6IMVNYXf
Q6Nqr1y7ZP2biKhaNSOnQzIp92VOROBAiQDTEdHPpQrK8nosvOisTiq8VJNRHKyWgJ9aye59gLdy
I42J+UXYUxrhiC3vXfa+nfCH9oANTr1SzrS4vqPbuGBpbjsudJplyA4Ov1H2ZUi4ItmRVYD3flTY
ZDtbsVMTf7oZ4uGd04OmZUgeC3rKPEXGP+iPtIaruE2GjFD6JPJfk9pGVQgOSh8HHpC1YUzY7mvS
XdwSs3xAeOXb7Ncfc2VQW5G0t2ynnMaqCB+jmJrmOGHTBV+s6OlFEafamNnRBT6XYhtJsMh1YRAK
o2BExrBDbhAcTz7eg7E5F3WqTyYs/7PJqGocqF5jYrjwmKfj2Tk5ZXjPY38jXHXejx26+QFcuwRn
5xNHjpAZkU5rDcGK24ksPFUM1uo5iS4iQ6OoSqYueyydMXoylQhI7spFxwZbPwhTj29xhTlOzLZN
WLvQycWEvPggkHeflSGj3L05toSbIAaaX5iSXaHQa65SrGT7sNWHjj4eFWAHOd/MnA5vXQPcJ/W8
ZwDT/bdqbi/yKKvP2yzBaG2ZyJ4JSVDf7CA0gXCPIzT2sdyhZ/MvKPTmcwhd7UIo7e7yiM92MAVD
rrG7XZ2prOYRJUQmn3P7ErXAcK8ltTkYV+2sOjr0L3Xoe0dt2f22yHFQw3dvv/lFjOk/kOO5F4TD
Xag89Km+NncDUijEg8LdOYYlnnDkBemKRETVb/qmn80t1cg1PURZb/O+hiVXdlaOL672gFCkXUHy
oy0xkgxWHa0FpzZOw4ZTvWp8OUiWUZZ+Mr7Vkpw/IHFryy4KTiaajrZmN/lobIOIzTTLEZTOcfE6
qob2ROfYWbiCE16p6zypMBnEfUn5nebXZeLYr4uK7cpOMuujTYzSWqVuloOG5T6cdZxudgJlORO4
eYwf03occFT75C5jN22LAnNd7SPxFbpCCFjPz31UeUTUARMYu9bmvDA6xbVFh1XAEcr6N+UZFp77
Gcin248CwocLEWetC23cWe2EZn7o3TX7S3UXZVK/2aRirozWyg+2F782SRmdO22rC/z/hAyYA30W
znUZhqaw9O5rOWlwuyRWXKhxsmitFk3SbO3WnrE0AV42dg5BBHggh7zwH5M6ts09Mu7AQQScLSWj
Og1DtYuHJuGH0AEeF0Tpc4tbIzA/K3PsLn2iuJ7MMZdAhScnhGagZfIcF3FzpINTwCVNaiempTVm
R0MmDsb2UM93UFt7ccKEq9vzMhrTcTND5NrGgzGsJ7oSe+3IF+Iw8PMxp7RQVtNSZ0WKTRJjLW++
4NDZvAYFOxa4Eyi3qSI+jKOZcU82gH8yxNyuKSGRN3Rl/8orFzeXLPkCXE6XJ1dW6LjvWdL5T3Rm
CJBhP6KSrrBF4ya89IKKPPdGERkbw/E9jeDBdlYQZR8JrpnwUAO3AO6O65tsq9kZ6e0EeeNR8dEw
IEvCJixWVAOhtU1MqisTh3Y5FnaKfkRWtwSCjNj6N6zrQH4qohi8tdOWRKiQQQPKOEZDTzmcRNPi
OcuJWmk5iSUEmE4+5gnZm5sm9bRcu03VPTthvZTKTEnYc9osu09pB3rrkI7lVcHxhf83JypsDeVQ
iRX7dCqOtZe7b8poXdTBkRrX6YCQ0jLYoibmhRVexHw8DkElYNha1ZPILf95FgWoatVExnXpZ860
bkmLateD007IFjBw7eKsa86oxLNdP1fwvMOpazne4dpBwJPoCv9Z5KtXt56qfSE6cZmFBTFgdgEI
f6dlJyGI+t67oP9hMKlG0yDcLMWARc3znLSkCewt0QFuroVznTNkOWQ5EGaeYCe7LQwC0cnoqcHo
NJw9iBFTuNqsRhQnKyGEACR2zkuSE/pZbfu8JF45tHOiA5jJhnmFOAb/37bLrWSf9hKyfpiF40sv
OGDxTfwWt6EEJi66MeBbSzETlpdqJlIymGigQfQK37ossu596Uf91tW+oE5IlXMu2r7LV8rrkzcb
Tjd9i3g0rN2kLNMgD8bVzTGQDJGTouPQxeMp0D6oUXqoyc1RPTMyavd5YYsjDREZ7wrfKfZ0a7OP
os7ti4JclgQtVucAjm5xmFzF+NUf64CIy3owe/weE7AvMpf9UqxTHBCIltwOXgzK7eKoJ9hO2Cf8
GiJ4r4J78qI4zY82y88krORbOA3gwzvbru0T6wRCbWVaFQ9o6uXWmT/WTYGDMOid8yHvu5mx3ijf
G6jQD5mwIw5jiMjzVWrT0lvFWk5rFQl6j5wFsDGmXYOwpCSvT72NhP6dM86iVwoK3L9EO4XZTrJ+
smAnMGdXOev/vEnJujA3XkF8BAJ2i4aNiLraRFPUV5eMvUc4aVM6vggQWZtZ1t0Lb1JjnxoE0XtV
qbY7VYA0vAUfwfjHcFr1AZMqiXYwJhgOY6E16jXbEuvKWIxZ/pA4PWKJoJxJjeh0LdYD2yT+HhEM
gBrgrxh2S2BZX5nTaSrIy1tOkYbCyDjWagu0KEu2NhynGxvaUrX3qYwajkxBu6lRMnZbWCXhxTBi
7l03GpQCTF3sOAOAZhZUM0AKxarqgJDLxx0ZLWZ3mgYPJc8SzDqvs6mijwZ4gWZSKwXrwBwF/mU7
E7SLnS3NOYIJhnlhkmB08nGCgtPyFf4gc1A0i6aSC1bG2IYXbQdjcpfl1mefGv5twwiXzmMixMo1
Sj1uTFI4U15jLM5ES1RNsW1ZNqFx6Nq4URw1/Ec7Jj9FETTOASbRNZuL1eMAbkM3/oTeMb2SlkM+
TBLb8S1dXJcolsKrwR/I+DbN/OnABBX3R0To02MVd9U5QF/1mOQRlTROxuQ6q7NnjGbhtoylTM8S
NpFtiHFypWpNgko3gtNioGN8lHE13SekRRkbwrGY9UuW3ek8YysEewgEEC8DVgqsAEsvG5rcO8Vc
881M/PxhNscGSE8FRZHDWnQkjijw17pcvhH5Nc7KEcJmUc3c75ZRI9AJJweGm6rPaem4kCawVbfm
ZHcbIy8dgkjkMB9Q46pbXQ/VLQGpvAEJwTcYv5R919QtazZWIn2fEsE3nkd1V+1m+itqNw+yj9a5
0dKJssAZzrsQj3588Hl8E16j3lmcCdEAnc7K0mk3z1Y/n6pFfXxo4Tswnom0DwyHvMoznJt3OL4w
A43/yd6Z9chtnGv4F9EoFvfb3pfp2TfphpjRSGRxZ3Hnrz8PZSe2ZMdGgHNzgJMAMRJE6unpZtW3
vO/zmtMb/sWtZdjlphIoLf16zoYvLGSw0ZFm8kpNNjrcbUnsPqS0JrCFUh8EinajR4035ZFaNJrX
AtOZsRasoqBapnX94nqi/IZDnVrU0swB1n4j8q/49vx0Ta5Chrx1ZNgPm79ez3JEcJdz0FNRajff
f186/m9vXi/qiy6b8lv7PR7kS8mmR+Fq+x4B8vt/+z+0n8WYtCh//vN+9uZDIXD/o7b9tz/y217W
+wUBOlJF3xX/UrD/upf1zV9swb+BlNk068C5f1/Myl8cdC5sXz2BHw3Z9L8Xs6b3CztcE0V8YC4O
HOe/0rYjlPhpdw//nGQ7ixgEn9IPxctPe9nerX27bOcdMZwQPDFv4tphKSousafjrfZQRnaVGW6D
HLzzVmZ5eGW6RbZDDFSf0yQxt+EIiXjTWwpsCzCsbiUlNcjKR6mj9/gzEPaZCiJMwLm3jRgbmoRd
DPrEdVu/zsrJkEOU2VFZWXzI00QfurwnjLjpljFFVNwo27PbVR21fbBxLJvSARwReMxysqn6pK11
cZR+Zp8VKmbSDyqMrxwsxmVIdFqzquAriox4NL6GTafz5RwN3lWg2XuJgWbOSdSpJDqT2Ww6l1e+
Y7kvDfsluH4iZmKQVjyGcHp034Dj6qINw5TkGSLup2EW6qK0egQDMK+dKO+PHPH6zXXn+GxL4gtC
3boP7mxnF6ESuR+BnJIYjt1eTQWmzckw6FfEsWV/A9OnmLcBv7qtGSUxV5IGYlDEw70u6OzTwL/4
5ZidZdQqBKvkrkaVswJKpO7pJZNjYVbZ1vH66TPcAvcqJlYFZp0wQDZA/SPzMMEIcEpLQkNBo1lM
mpuuikfIrwR/G0sgKy2dsfi2M9NkmjvC4WIP5PlPZjSLW3dqxvugB2x1pE+VcGMoJG5SpoQMMnPZ
vJVePNTHgZXC2Y2IqloJjBM3zK7o/aDgYgvPNZGF5wG1MN0kIfTc+57dAUyoouC2gXdrrd3Ws/1d
AaH51IwEXxHXm1MqhD5424hBq9ohxkSBNSy+56CR14rwj89G38ld2AzFvqDVXN5Sz7qffPqnqm2c
rdP6I/iYvL9psTPzUeLgnVb26BPVJgd27yBiYoa+ypIvnTO4z2VlaoDYgzbvFp71jSuRxm8cHZYH
1AHZIQ9sgIYD5LCXFvrKO9kjyR0QBYs7II5qruRpouPjLfW7LjNLBlnZMm1wXXUfk+RxIIxCHFxK
0x0VHe5fZsYoZipvwQBkLVKsB6kVRpKh33nMvOBzj+synfrrruV3bLKz+ERV1d06JeZ6xwaS6evi
ph3Na2uazA34vJlgl2wZ+8Cjc8k9XGtWRJcgY3eyz8io46meRkZfGiAl5mkDAkOFCxH4FNkxM0yD
ke0oWTRfvST8RFugr2g/i8tQB+Mxqtj+rxIKwkMHc42Mm5Eo4LnxIfESXXyTNISyseUJi3OnYNfs
5GAq7NRCeXf4wptnEEVxy3Qn8y5NYOrXUdpAFk2NYWzlUVufnSrsxuPgU+Uzyo5ctRVAkabPtuBD
ekAaMGwapyg/MrJxGbGbtetWVz7f/YA+kuvQfDEibAfHOFlq/yTqfVRSlg2Tz3LDMPiOEUo2zsTl
33olRsOh8/z8pAz++rUw++mJxBpzgwM9fzHlaOenuFT1njCQxdROiAg9WscxveKIhuHjOV32otQ4
7LuAenbNYf/c1cFwZVptc20MonjKtAPuCjUCEwo/G8WH5+FwaAgivJAwSPxJbIS7vk1ClwC82bop
zXF6L5rQ/JRpRGKebp3DyFPECVtFzALa6nFQklFEJmZnGteZXZcfUd+Wd7Pthl8TA0JuSi/0oYeR
GZMU/MVmSH7ZljQ4e9xDL3KaRwUnwl/bXuNHiGIIzLufmtrrEZPiAd+h6ZptOKJwXRbs7bBVoK3c
QyhHVLF5h4D+UuReJY85HVO+daQaQF2m0fzIknJRi8Q24y4bm06MTHHxdUuniHqqmCC9jCyfuF4i
a1fhUS7QxiH3lVVY7ifaA2qhJe46i24yuDxX2ifyx7DHETG1zTABTBrP69BUJzLmGaN0iyd9Gsf8
EqV6eGIPHTGHXszrsy2rz913S7tOeSRWzTBWzsbrauscIaiZd/hv8MHn3z3x6Xd/PLD26Yuwazwp
fToF73FtsBupEoXJC7LybKHBEUWwp6FFgSfyCaAWlnMb62NcZveN5zUSzzmG73PoWrHauF0XMefk
gFc3Xik0/V084CJBRnkcKmkPFyikwwHVFE9BY+TnkpBDevDAx3aQMHpM2DrRY8TtvTd2AJ0zLd7q
dr63YT0sMVJh9yDGlA6AUQTagDbRHgGpBGI3Kzmn7puOJpFt0mp0X3TndMEajFUSHei6+3jb1e7s
wmlZRp6CunwtpmH6SjSWeHLYsD+09P/ppuyn9sG1RHCueYZXoyHte7Op7RejCfIzB7Z9ahaWj5Po
iDjz6TIHGeS/zo3plJyU3e18ki0P7HfC1EeelXbChQOMjB8RVCitVd7QxfNRRivWE3raEVNtFHs7
s61vKNqmbgcVM5/urEjET05s9cvfLvxzauZutFfsgp6SEf7lDktAy3Ycoo/esrVqbwyvY1Rp9DJ4
qbIgP5gsB0sGkgJJP4PDHqKJEUKxcWPqtRXBBwSxN2nDB00uSZLfNDCl263fNxlzW1zpOiE2CFVA
x6BRgzmjhgjY8CD/6D7VOUbYTs7GpozCmYTByGkeGhK533ysj3LtdI1H1FbE0F8I7Kp0PrKu1zKz
8xvedX0KY+BtB7cS6BLSuGu+NlksmP5EQ0ROEVo+71BOLWoT3WHZXxNXBBszFjEHtjubBtO6Nh8u
3iiqec1alLV35JjVh4mgOF2jjy1PTVzD8LOH+ouPcPtQYan90tn9jIJiDH0DRZvhNGtupnlblTVk
6iQR0SeIMPrKwQ3/gsWcQYeY4If0ZvnkD7UjEWGpyNyCVXLOuW6SbZL3ScdaqPgQtgy5ykL9OsOR
O2oSQniwOre7HtOKsKeYyRxbb0aXOfBrBjAuK7ZdkXb1baIQrq2MsEV/nVnwv1fsMbpPqkvBvUZo
Gk2i6+TwOsU5S1Ci8pJoaxCTejZsP3rqSKj9SkAhKfNhP2TltuzK2VyrueCrhyetBvmqK5IHJDPl
Vd3QzHmmBUIklCBI+64Ln3tmMqvaivVeu4vyieE6ycZEac1TvKcgPaQidZsVOuJih78YGr+ADL9K
R4xjls/eioGwvUXVxhGo8rR5GVQA8y1qxzX3PudJyrfyFPlWeGijrLoq+2h4ZDcwrDNmaRuyxMdP
Qe1mwNC0qN8j1GMobOLY+jLmCyGv38Lemz/hNv3aq1AzSBERqWiyN1f+xGSNPYvvfF8ZswkLEbUz
RIrn/TTFciKeW4tX0+Y2eonrEubZPFrOrdW7/nEmZQ69kc6YBUZtRVLDwJ6ZZCCAO+9V5OAkROdD
6pZdMpFz/dhghVwG1QG2u7VuuQOOI6E292WghuewRcgFckYO+yahygTVd8ZsHhurumU2ezCa3Efd
UxToOgoZDI9sv9hbObVbkuKZ5u/4C/WrRKPtbHLGKV+1DRWKWsPl7x59fccJJOS6E1aF6gBy1q2o
hgDsrIlSiIjx4DZFX/SAaYpY0NBlMM2atag/u8oDrdxUgKM3FGjTJ59x8pcu8ng6vJYly5kHj8JQ
gQB7C9yueSTD3LrC6ydv89FsnnzLZ2RlVR06JityJ+5ZFtTrXhnBnm3jeODbM6Cuj0X3YbdToA7l
rIIzmn7QJaIEVYxpePCZgE8Wm/CkaQ2kZzI+ZOQqROwnvOgVh7NLYOlQ1Kusy5ZNRmm1IBYLw3wL
/KY7me4AfE7mZbaa/KUE61sG0Vk+S8IMBPypFTUhaU7B1FwxvmTtWKM2M7DOhyLYx4Wdf+WQSN6S
YfAumS8SC0F/XWz5nbGbJamBFF1EEMSgqSIMN2ZYPjew2s48rPZasWiAq2SZJ9NCmugzE2ad3sFn
AsG8YZwhzQ0CMviwprvogqJ5ip4SAh4+oqDi0daESL6PpM5c6YosrpWn/DHHJKbNd3ILSUoXMQoK
AzRZNdE3Dkiq8EqNZw1KmsVhmmwJm8turGQubkvPJZCgNyJ3TcQdB0tVEsyLW2vtcEi+BZnwVqXf
OZ9hL83vY1ZjAKz8KVqy75L3SpZgYscsemByDdQgzMUD4i/6P4875LqvqnDYo9Np2Eh4sk3XPFhC
7lrhwFdXWp8lj8V2zIcWHSAcBZ+ioCgeEKNkJInwvu9wmSNztCuLsEG02OcpKrJ83Y1kVDSxFR9G
GNM4SN1sjkEPNfGHa1UUi4gpt7Xj5XtEcHO0c4i7J+4h6G5dE7poxgfwiHgie+C8qK8ii7dBZYQZ
r08B5bYDF+7E4O9RDsRg8oGGtF+fvITTdgzs6KEu56c/jD9uf3Vv/WdHucccg/uV2pc9kk2A6Xfn
yh+U3pXjAMjIm3lPaqLF3e/hqx5L1ziThA0lKAvC4uPvX/FP2vJg8bHjAoELB0NgGaT8UVvOHLaG
2dnO+1SbyV01zO21HS/B8oXpnRRO0T2ozfgfPOY/G4SWtwkAxYM+yOdtWj/Zw6Qyyzn0UoDscZRd
Ude0t4iT8SSJJH4ENNbtaALdYzMM9a92i/8fxf1D2q8lfIeP/j+P4h5Uygrkj6O43/7Ib6M4/5eA
mDLGc674jlfBCfHbKM7HIiHQBJh48PzFg/cvh4QPmYL/IbDwuToOd8W/B3GEBGJ4kQz18DPgXiRZ
8F9Bx789JGQkg/WIvpZ/8dD8xGLBy20zgyMGkG+TjanW+cnNFFox8bSFZKVFJ3ia9YA8v4Q7HEpA
xePAUhjP1sYm+Hc7VNH4pIYUPL5Z0FYIJOJm0FirXPb+lyRuzA0oNe8eYcF4LI2qveTeGP+D/erH
r/+ff96fvv6OMbmt8ifzQJrucIDIRYNEPgRmzXAjKoFJsw5QlECq+3UQ/R9/U/iJfhhZ/vmlf/L0
Vq6dV7qypgN4TKJtccxe09n5u7keS6KtjHJD62GABmPWB2ftZlz2ZW4d5BtUztE6qRx9mOYC4K0x
5CsG9B5HfHxDall3lBW/PdcaFwBwBJEOGTFQWXoFXYhDM6v7qk+2KO6fgE+zi2NZU+Hwzvz+NVXG
NG+meqhvyzgv93Gbd9jBRMTkyWP2n40KNrvMT5Buyws9mLroYh4+xd3QbkgwKa+UmcntlM9ESFQt
pN4vJN+IY1ZEe6YzBgZicNXRYIoneyjHo4cyaJ9ZGT3BGKldgjwp0aRzMWaV3St5tYK73Uh2Mywo
JiC12urYIUZRJk+OG95003CHxElzQG2GzHi1myI4t2hfTlMSvDTwnfYs7zmzbbGZYldeJXN0yXOM
AxX10cYHwL1yuoWUxQKr9723NkfB1LNMw56bnPCrUMr00w0XuLNrEA1tO4gAayO22lPVj6jku5Bt
S6auS7qk3agFpWOJrWA8hfMUgrerNmwBV5LlX5nUJy47ZxWRR7JLUnvcVFHe7NQs+31JbstWDlR+
xUioGSVuueWNxXgucA852hWfhwiQohsNbYwosJ0OaNXuhi6wTjw1iPa6czgFCHZ82e8YiD4ypEVq
mwOBH6FrYinoiLweqoOIDTTiI2MQTTePxt5gZwSuLOiQWvbETF0Fsb2F+2piXnFDxqSu2EMpDY+2
XRGYLMt4W5f0CBiCnHXQVYv/z5ofjbE+YSnZGrB0132cH2dLW5sMXSsaHL7NbJ6MHfSXEm8Jt7mV
gtQaohi0pmoR2Pb5OzaMxzZt13qhGde1vwpi/5G7ctO4MFVlxu/SGZBYMwZGqkjkR1pb3rrwGLhm
0l/QfNVmAEHe9QGplHyaALiJi3aei6JJ14jhfYq6KttAzE82aAqQv2XJBiMMNh/PT/aIu++ByYmz
geVlBTh32IwZs6Cyailzyip9YIZkbCbP24+D/ZCWzrghFoduHxnoKu2Sa5ekEpTIntygl2/XLcrq
DRq1vTHovSMNeFJudI+WDuVDHpwjxLKIpO+Vz761nsbHdlTMDNW6bePrvjarA+DHDds+4PvPc1bf
eDWTMk9093Fc+U+yTtUOO9y2EN1bSmz0mmTsi07lZsqLR2aXWzkGuzrOv5AFs21n/NiZZ/brWkIE
ayz7OpjceG+SUaaSGqVigK3IvBm96JSQoHLJ3ZqM5nCavF1EvB68PzJR3qmYHH7vhXgY0Xk0MpP3
RoNyEPDpd/7Y+KWX0cjAn93dil1e8BZnVNSCt3Uc5wZRXoaAm6EzK9OQdIwdBD9Ed3EHEoDJ7EFX
2GdkKrGzQfjY6Dx17vxQhqsMWdRlMdofMoaiJ4tzccPo44lhOsDaoB7OE3qnRw1leTe3tkEnYwiq
GrOhDcGKRbykJ66QsYsjyTT6vsZRczt0VnVQJX6SEHLkgdBqzD8zBX7LaOrKrcObappOWlrT1nHT
x6lI2hNacu6H1Eb/MbNZqjzsR1METV1CmoaRoK9lTSyW8EMsT+hVUGQT05ykRA2B0FDHyFvySw34
qIhL1dYTfchh1zgwjI2TF86cd3Qk+eyDjCP0g87PBbk3ePPKMMtvXlQccBi0e4Ia5dogjOfQBOqT
ZcDut1V45ymrWJtxaOzGBt1D2iM9GYzEPOb0h9ezdu7/UJr8xY1vLZu139kH368x3zW592HzMDbz
lhv2D3WyXxZDUjSzeeAJJhGEKYlBLhXpu37meRtDw3Yh+iB9QBnTHiBV19fh8nQR8yLOIgnrMyWn
XrGMfXXxf9+lZIRA7NWLHd8simsHUO8hxXiwSfosOoDDLQ5yHJstHCoOBrxwuhb+Ac3BtwKhEGrY
Rc2t8zt+DoM1XcbO89+l2F+8X4qov327PxXpiZ1lzLkd88BsKbxv9GgB1/NJ3yNta/33L7V4Sf/0
m/WWzSn/weL1J6+pORhh3pK6flCd9w1ofQ3w1v7MOKbYaKd6/fsX+xMejE+QDuD3V1u6kz98joYK
yXovE3lwVA891rFeLExvx2SIPkyl63Xtpu1tF0Og81tJAo+BNEmmrO7IW2kvQdIdEj7JTcNXM3Pr
cZc0XXvqQh74aOzyjVJ8hKkzCNCyibORU1nc0mIwiSZ1chEf8LeRQgGi3Lgal4u6Xq5sm7v779/n
X31+YBgc07NMhsreT1gQ07Bj00gb84C3465UyMdzAhE7PAn/8ELmj2iDXx+MP77ST6Uw9KUiZqtm
HXq4qgc7DL6aM5r8TOBCKVL33ZUMP0cHtHewVAoViVH/0Nv92FB+/wmo+BkHefCq+Gh/Woojc3eF
wT1ycGuEzUDW4Wxb2NDywDVu2Tgya+wIOvyHr+1fvfEfXvanmlq2JYdbOVgHw3aWjZ7z4aUmN7MO
SbLTwiAOa7wOUe/dMgcqt97AWP7vP+S//BH4kHGWmzS26BJ+/DJnwhybKlfmwVI4mhquROU0FwQw
jMhbwlazysUkLKg3Lfczp369+/sf4C8eXdyBv7/+T6dEN+CNNouIZKys+2w1arxui9AiwcblITai
X6mN/7GXWDqFnw4K3qnA1SzwxfPPH99tPLCdbEtsI47VJFfmkA4IPzE2/P17+osn54dX+ek9NZaw
eljB5NexoF0NvMFVw1C4zUHP/fevtLwVIX2HbvVPB18VdMU8u1B8wwHVm2++ZC7RL8Ti/f3r/OXX
5I8v9NOZR//RtWGmbZ7OyvuqhvYmkZ69DzA/o2zorIc0Iq6U+FPKY0S1tAJVW/0Dg+ovWmZbCE/y
iApABfTuP356YTziilShdei8pAJcrPtHdmnmkUWsdajw+pdVACe7j7yV6ifKN1J9116NKwOL45vB
7Jf1BmLXpbqAdBrlL662sltTyedEo+n7+9+Z9ecvGwNn5AKENy0/McKdH+8JE2FrPmt+tKg7FxMq
RzMmz6icSfhyjfkyBu64rTrBTh1VBo7uipUH5Qj5UJTvTpGhteXq0H1xpEwNt0lpAsShp2kMkAE0
Ed+qaoiOos4p4Sz7bHpwA1SO5ZrQgCVXR7XbaoYe3VZhveqzr2BszNU01Dnsw96+aprm1xLn/wdV
/zSoYqPNUfLv6uhPUNSntn3Tf4X0WLjm/Mnf5lX2L4gMpBBUMG4A4IZvzK/zKo/ZUwCDCVKqJFkQ
Qdi/J1aW+IVJFaBStGESnNSCxvwX08P6BYAqbR9oL9tE7CX/m4nVj3ckdE16SaKQF9gcKwj4jj9+
nXFWBOQdOP0eQXrwMHR6uinKhO7WCpR+x+MHIljg+PunS9L9jgX//dReXhnJAMnXDpATiX7tp1fu
GtrY0SGg1rXJ+FHacqq3XA6sRlRv2gABKzONUfEO3WtWJRXIHFINEEx62H5Q2gzC3YusIq2j4XH/
FNahIgOExn4FTj9q174m90A05Myt0xzF2GFg6o+7tzMNkOlDiwmjKv3p3RrAcrSYO/fkdXifcjsf
36ZSBs85eDn4kbLv73BgeNUm5SzE1JoR/kYeNmEzvcmIprBRoDum02/8PD/bRFnuYQtNw+yum7l4
R7mzjlt2BXNplpuGiE6Cl8wrduIJXJHUewlg8O05IFid5NAI1zEzz5KgATd8MvpMEUsVGeVxQse2
Jnjzq1ey/MKqsgv7RB5bDOxs6eNbP+68XT8S7AsynIA2s3hWivyioRrRXwzyofcxUKpA3k95jTcv
yQp2S2U3rgLLviE7fuOP+MfpcEjxRBGFoLt2dkUFQtGAiUDEok7WepRvsDyRJwT2WTjNpokzxO+W
3oMy2Q26IjhsoZvDENq7rm7WjTNn/J8I7pLIum4G3dVXomOeM4da4ydoOsJmKI5LSPuof0Sx7iKi
WtpBedsUmdsGYU27b52IiZ5ozJ2tLOdoC3AbrFvrram77hSKZhlfxXI94xhbdw4chDRMOiL8IvQ+
eeruAweWIv2S2nO7GNserzaoD/iShEMa9kdl9tGhs4Wx8QzXuJ4TjmaTsIP7ac6adFOgXNigkVcE
USzpGssa3YIp6sd5tLHZi9Cv+e7SZlp284alJoUeOFt87qxoyUnobP+CEdN8L3qZf6D3T7w1+0aH
KMV46O6JI7oid6nMKBCFuk5kUCNKrs+RsA2os1V1gjBTvuQMnPldJ5qVn4AmMm+1MygkgGSsuCvy
Dl13rZCw3+aI5hapnQNHChthsZEEWV/bTTozaTKZbqHEMfcjKsN8nxqx/5Av1ARU2bQbtVvMcouU
oiV53nP9i9AWuo+mnvo7iVYCClg8RScibaBh1KL2PjWtzwYvlOl8XXsW04Mas8r9hIfoSJc+Fku4
U34FmVgeyQUIK1QCfnSw0ZQ8llq3BFi6viIQw198BtZkD+Cm3IpNYF72z+A1HGh6ZMk+pO4oF6WP
rYet75D1dJqG1vxa1qRvuVZuPqcWCvF9m5s2fTCSmx3bXSSNFgZkIVfz5Bj3vtsOOzeo53Pa+CQX
SkdqwoBqcrNXFobMx04qKByqZsdVCXNX8S8snZHy7rvZKRjZESS0y2bjJrSnDzdK35s8vjL7ZF8J
w951k2R238vs0MeBdePaCUBou7tSLWm5bPHTq6BlT422A/uXqGiZZ6M9JFV9DQWsuYVI8hGnJsy3
UiN0aGn2BTrLS4Gmf0dac7DzprzaRQsGlfFGu8e+75+7eZRb0Bfl++zqfjflhnstpiRSTFDD4Sps
0vFbnjNxWKlBqjMDRRnzBfYZls3F1COinBzz3UsGdcLzmJ0Dz2MCRgTuymlIjtmYbErdr3UJGUGt
iH6z135Bgm0zGq9tHm2LtmnQQ5rOE1tKIAxF390FlinqVaxCf9PSS5+gpX2tsCEl66a07R2jjXAT
yMm79BZMIDtFnoOoN9oOeaSOZRvnt4YwQ+I3rQ5tDeLTe0KoU+uxN2bdIldJ22Ma1f2X1si762bo
mnRLWmEJ+7idbnyNNQAaNZq+xBrx1jghGBRMTe9+nxDLVji4zX3qLxO6N2loA7+NUconUqBjRo8C
ZMqIOZrIbZKyhvS6DyGwDVF46DLibpFVn9os9i6VdGM0a843bid1XaCY2Ge6jpKVyzelOSZWOq4p
z5gGoyiGpa8ahjkbY6r1B/sFuBbo28SV56IMXEnoFjBBNAoxFFZ9dIEReq+mKH1hH51uM8/yv4rY
7PZEdqLXoEdRe6fu/f5QVWSAbPu+94ljSPNn0sVhMo8mexGcZB8AKe3bZqzD9wktsP2A34tjtp2L
GFZHawncR5rEejpvQZkMYArWRaWJmFfonZJOvFdsGlhUswMm1Qorugo2oy5eDeyXOTm2jWT8CwDJ
Iw4FIvxe5cvYixm5D2WxhpIzpBKIRmgm9rXXeMO4nVyNwqhntzL5xV1oIT+KO6U39KrGbdba4fVo
LGHkJJUr3yb3U6uNWdiEJdcRHpromJM5ux3QIOJ542ZydM8cXZHM4sWXoBcftTeybpHI8RrGkpTv
01HNASLssZYHw0A8qSK8dJJc8Qr55nbutLP3eyjmIXFTeC4jPuR4tM+JEz1HFpnMdTvwBQgHjufI
arHG2Riec2OO73MIs1tGNjtjCLcMUkyCxjp5FaOv2GANNhcKh/oYI0TfhC60l6xB44dSU67KcUR3
0NRyFTWh3lcE2mz4hIYttaC1bhjBs1GYn8IM+Q+CkGqbu/xiM4Bhl9LvUQA11dPgsMaAl6EPbeB0
S6nBesjV7b5kJrDnBPIZr5PQ7afa3YpOpvjDbPeAegNlR4JO25h4fHNp32AD3oohQxAhdT+SN5yi
08VsFO2BbIGsYIvBA69s50y50HxS/vKhxoHj7DpyR29dVZExabaNvy2LcPjEvj2790h8P5NClH7D
cOMeUQaB6emD4SWpMtIb5Fj2u8ERxAXbY1dsIk+E30Q8kwPr4FBHky+rDddsuDd63yGkTpnxLdAo
bs406sXJZYK6JwrdekN2XF/1Qo43edDS9xtVEQAm6/AGRkGOPqyHbnpCGaYeosB0zsLvzUeACeHX
rAmZ/FcAW/aoUlXKwWSGxwQhyAnfdyHW85gE28gy1IlHhQ2liPBd7UvAEXtkSuazhZt7RR5OD1ho
Ggl2lhn4s7QQRI2jOij5EIr8NgVE/sgIOzmouJnOKBvnfSGm/tV2QEB0mKOQ8FA+XAO+aXYIpcmK
b4VIgy3SyPkxTabpK3FkUP0rP03v4X/09wH4j3qdKhhnlLbdeqC03xGc0Tz7Uymuw7goTjEpUPtJ
Ylni8vMGQg5xKb0qu7YJ+RPZ2RmN8bEfcvvQF6q/w+PcUk264S3GW/+Smb55RpzovRoZK+w6qstX
yw6PDD1YP7XRtfahBEg/MvDmgZlz+Z7ZJACrWECOnmlIXTkrpFsWdARP630JucxaDSEqJK+ms1h1
zWJAy0xExavUCfNrEM/xnqyZmn1jQcGYT+29i0H/6FX8BIVfmE+W22PeLHVrPYbh4GIkNGRi3nJF
cL+h9+onDjDTBaCEui7LmmYTQH/aQUEmkIcspOsutZO1lwWgXiuTXQWcE+UX0172ibur6yr+oGjJ
tgSBLd4MFD8kU41TQXrkoI9V3TefeGjnewPHwnp2xgKlCi/iG0IuKavpFih4BILFim7JgJXXQyP6
8a205FjfTaOqswcDkZdH5z4nxG93NHgw9MD3rdBljyFRbj0Z4l7XGj5avJ7VLdKn+9weosexMtW3
GQHVnqVVROr1YEf7Tovmrpqk+YmEL/uxGwcmmpOWwWsHFW/Gv6CKhyg34o9xcJOT4drWG7xqvKZY
ORUfR+WO94IC9au2yvkUDaXlY58Y6/tJA2R2Z+DgFGyNyanmtHW0r0cMsivdWN0L23vxloInZg0t
XP3o57bbXgM9si0S6gdZbM3G5/nJ0R/2RCgS4eJE4EKCPAJboDpzUsfK5Eu46SIjTKjbG80sDYMt
zl2eXnsi7XZTch+eQWoFLhGMdXUdaUKpNwOBjxdW9h7RsZUnp1XZV9GxLjuLsJgh3hNnVj1X6ADe
JC3Rurar+l47wEgMNu/AHzdV4/vndgLuCrmDCOHAFW/IvIfPUREkRxe03HMy98arSd6hv3WDyf7k
qmk89e0w7frAL2/gXLt3EajOaGVGY3iwk2yLjTs9UlHHVxghhkONtfnQ8St8gxvQo2M33Fs7rvQu
N1AytaV3o8CjnVoXbV3Xd8l9YRv2JWitDkNp0AoiKyvWdqNfI8Pwsik8lxoAmO144SWCHtJF8YfB
LOmuq0gVWmE7zjmtgRmsGrcPvnULyi3Ga7MjJAGz0yDjZ+0H3cuQ8ORkRtG+JFkUbQCDWJeiS8uT
QrsMz8n+FtlspRn1Bfc15extBoyC6kpVX+HvQQCIBnlgoew+zn3Qnmao0VtzbgfgXBZEMyONr5vQ
SW5LhmTbSWPk3OZm1V6NIZRdbUTV0Y3yGDpY426sSkEyAkVW3SIezN7rSdp3iI3b3TQHCxCv1De9
M6TH0qvBD46KNbovJ8oDVNvbscSCqkna2qVdO7/B+59W5tgJGBcWNVCbYNmMS3npe6YYGSHBr8qr
w8+h4sx3Iuo0rtX+forK6bOiFrsuWkBwM5PjS+elbOyo8iD5ZMLezWAOThb7/0uIBvipbzjvvars
PiuF5TcERPQ2QR8jtjOgpTZR7F98j2aNmR1Pl+JW2ZDJ6qPe5E7xB6cHkUKPRQLCbq7i5FIgtHjO
fKc5YZlJniGf0qDGbk4niP7Sr/6HvTNbbmO5suiv+AfqRlbW/NgYCRIcRYmUXioEUax5zJq/vldC
drdI3ZbC/ewXh+ywBKCGzJPn7L22VkTElnnnBUJeht4wbvBK5Y/TXEuQK0X5ao8T7qFElPLRp568
EQV7Hoag0Hrxo4wTFo659kpECmf8Qu7nhcGDZm7hjCHJ7rqsf+oRdwCMM+z6qZvqJuDcNZkfMgBr
j16LLyxF7jutPOTcJZLDpnxWKg+/jp3QndeI9eUK4oJ7t7D6fVpaBjxHXCZkMhZuYbeoPfzwa9SN
nK+Qm1inwS3xZ8ligfrkVV+nkQEJQlbvqSI5c+2AMThGVGrJamTt4AsBc8lKP98lkAgeAoPV23Rb
54IrqW5bUw3XSzZ0X/sCGJ05NIzRpB9ugZLmF7SxsQAjuDoqzNurCoPcc+sx+oiywnhwIDWvU+RN
AN7WHUs8s6mqKl8IX3Wnm4BJu3MBO2NcOdgcZ8hzkfmJ8PKKOMVsSl4Hgc0taAmFmAk5dFfhgqJj
VZXz/JRxhtxEYeJcYBTAK8yPj6gJbFioHPyVXeyoAtrjLIb4swwS89FLSx6gBD0C7R9VPcyVryYa
QVH5yS6aV5UlsFRAmJRfF2SzrxU16AHmG8tQaCwo9BtCKgfD2LtTcsoiGltmBenAm79iWp43CFgE
/ETSb8c4BeQ0BJ9YZCodU/hBhKPcR3i8rqIU2WsQVciu8JhBk62OWU+aeNz7D12i7NvQCoujiBgu
rywIkhhIwuzgdGV5habXPSTTzOMAN8O5XIq2r5C/WHqbKnZEyzcIt5i4ad4OPJflCrijf51Ecwzb
IgBloQk9MY/PqT5je7KyKvj7sHzcWDjXAycowhqt7iGdvTukB+aevXl8yEIDOAg5Le26Nxy0VEZA
UApNqVsHeJDuCX2GQQdQCPosQ9bMKNNbKjut3Ga9wh7r4/4YIYxHyG3sCL4lB0+c8YtN/23pNhb+
tk+CXBR3FYyte09pkIOgibPwVqaJJtJ45IIgVF2nuZVsLAU2zQ9n3sscF2uXm0W465ZOYzv6qr2y
W3qJa7uX4VOjwUyqrWEhamwT5iBYpW6M6ETZg3NvJX1zDUkyX1dNE97FKHWvxZkEFQaVd9UTdwU4
DU6UTGZ1VXeivkpg2z24Zl7vSkaf0UbC4nuG0NTd0lxTgLgsRUnjayBVM5A8j62qBoBpz9+CpVk2
nUZYgdoVL8YSZYchXEKsQsgzXK+XNtsRuAd38bNdlEKRbx2x3GpFxz6Wnsb7pYV/PWm01mJMgkev
YSwSG2haXOI3vk6DBhY6dfrRdRpWwalS2GUscOo1zSuGwJrtxZlAfiLkBQe+EAM1F0gwCzRYrxlh
Efw1jntAWSAZffS7Ae6OZoqZcwFeDJjVtE2nfLr3Qpmvm9k3Dp0mkhmaTQYArPkiNK+MKMxkowpG
7UugLjiuE89XNLeDqLpdm2EwNBdioFb8V+fQ2X5xhMc07hDo1d6mPJPSZg1Ns62YdxypFyQmfw73
fda0JhuPHG7MPFCf8A6bn5AqRJu8n9MYv1sLIGVwUxQvOfjOlc1k6BE3ayEASqhpBsyh6W5GTi/v
CpqXpCVbV5LnluYHFNIsMp4QxqhLH+YEvWeKaCh9YOgf8LCAlEM2n3yIvQVORk4EvbdaiJMaN2mT
9OQXFMueRFz3SyYX98E/0+u8MjfwuMKyyHfOGXyXNjHGyxxKSb8mb9p6wO1HiTwGiYQB6wf1U29b
6Wk4U/UCfxT2YVItfMeFVv9jYi/lc2MhrzfSsrmdQDJEeJYadT+c8XwSas1dPdKIAx6CSSrrPjsm
3oDQBwBE2FjwxahgAdf4WQmM9KxL5cviU6rwSMK5mJodHjSElaUJ5XruDlyFZatEPd24iVZmaljl
h64bYHKE8/JI+9K59Bvp3VnEiLWbdPRJJe4XQj07zSSka4B6L8KnAguwZXRgTJNhbwxvxLgOSmRZ
o2OcnhPfZYOghTpfd4Xtbfv4Pqm9vt9EpRs8Zl1YHiP83QCM22wjNS0R0xHx24ptBnARoImTfwYs
xpB7FQL6AgM1XWdEXbVlkT80znmAtWIGsILBSTqEHflltrEsyINsI/Iut4PuHsrh8kTjfLw33L6E
LA72MSltte9UbX20smy6RTlvbxMfl+quSkBFqtxJbxVWE87lI+idrs7iz8nk5le4sIa71pAwZAv4
1hCgfJDJ3AJtS4l907mZE6qsdecZwzPp5HCMXYrrXexM6V7EyXQ7Ba3drjw7I/U940LcV5iNjXVU
Sw2OwRq9TmzT/BCFNHqZXYJaThOPkANN28TOCXjTKYlddYOYg9QElvemrUz1gLNSPMjRKm9nwwHf
OYdJ83mZ/OTGPaM9h8Z3rwXOSNo4pUrLi6RrzI9uHMirpMFvuC5IKGaQ2tP/hLVSeJephoYmGQRr
gt3plY0xBdtqEM0I6WCJy407WxzjlnbIn3jaEG6WecJOQNdzusVdH34bDcSZseQlwjSUP3meJQ+W
2S3XQpbeZawRp1ED7JS1nQ1IBeJFgTaIN0HFzofaEzKjxqROLsDUKUqboz12A9JQcKqqt5M9bivW
TsxDyJebbpq+uymGsTbvN5wh8nTduQi+SnsBt8q6vSF0O/9gT4NzacjSWi3Z3L+UqfYBLu5s7+tc
lBep7U3UaBjjvpq1ULBIe6964IhE97su1Uci7f17n+rsG04V7wMGI/6jZR1S0dA8Rx1j6PYMnfUT
TxmXXQa0sOcafig1m5YdqPBXqTcGj8ZiWtjhi1YmW0Jf7/rCUw8V6jCmB6wt5crubfsqEF13V1he
flVDDHzEeISiAOTfnTuVdBPEXPRfECySLybMQV77vVK70ONUssLFmz9kMcTFdRyksv4QhtVyP8E+
2McUN0cyod17hlvlAcFL/KAIyABBNeHcGnCWtxB5wRyTx7PEEAyKYXYv+WvRLW+3cSKxDjCWWT3H
4ZBtiWOevnJk9m96jQWep+IFnOumyPqIdIDKX8s0mK/dbgYaPlrjvq28ag2m+sOc4BHOyJBmZ6R1
eeiUcNKVNaIST6VwH62R3wUfhJdnhlRs57zXq9ZQQKE5vjKhgSB8MJIiPHSU7V+8uHLvQiGQ4dvW
1D7YFPScBHIHjqOP2XSF5Lq+TAbs/xAwoShH2dQema5+q9C9ZivNSbiNI+ldj25l30+0M76UZyxz
ZoYgmqOe8U3c8zSNGAxZVcM7IMEY2gU9hazt5WtdhsBpFTpTZJSVMpI1bfcWFoEzzsXaoUS46g2v
fLIg6FF0BpQsscZamHIkeZBpC/Jms/7EPLU7FFzfbdx01cUUt/4GmZ+19WfhV3uSJWx204iE8qSD
Vu1aobpmdthvcw20HjTaejSynF6w6X8W0E/bFUxJTK2ZGAItq6OQ9VLmVtbSc4KRZjxeKalo5WiC
ts80h3Zv7XytHRzNeHM744DiiieSHkmycuhjXHewfOQ68JoaBqmKPzglMx9LQ7sTULYv1ThPp4Sy
9bGZeii/bjbp9Z+EiqMLjKtaLZoG3mTaOMmqEH2iRUppshSc8VZDymI89L7HHAZWJBtN1sXX4GjF
KT9DyMcaISfDFzauWQPKQ02740chomQPntYx9rLD7HQRO5fGnbfKIXuhjmRJ4k+Yz0+Nn0nmNpDS
pazZ88tGU59whoXrKpRGuOm8ZLnuE5TLlKiI3kiAVZfRpApr5WSz9y0QKTgvVzDxw+dasVuRjITa
3wxm5wbtGCZdGm2o0dMz/L0oMQuuXLe3mmMwTXxMprHxoaoqXPeaKJ8PLXMUWWZX0+BNoLtDwzjQ
ZC/A2GHc538YeelWYZ/Ij8xsrXw1MhAlPlrz6xtNsq+ZoKJJRI28nEH3IVh1degERr6NJ5fpmX6z
3LZZajziKxBoTgHeYMmfAKYyH9yOgB02+FUFSrdBvmR2pTexPNgZIaSKtW32Q7hzUBGsA5rDV0sh
zEvU79PNLJh4W6ZukhcEuzOmkVsf1S9v1iC3Rjreg3i+s2I1crpWzz041ss5LPODb5TGtoNKvhnn
Zvhu1k563VNO3Ei9OuMW9DeeJ8hfH2qJeZk/LamD1sfslXgWWL5vVBRn18AO5LbqRKzprINK1pbT
Pcd9vUD4H8ojECmfMTr6LyzYxSE3PfEtrwdvG9V+eyx61Fnh0qTtuk7GZNPn4/JNRTgR8f57B4iQ
4wX1Om3iqo+cH0K//2iD/qANotFiYTT7nTpoXyGt/l6iRZ8PL2Qg/+tv/FAFefZfMnAd5G6oJF1e
vv9VBVl/ufCPpGfKfznS/uVjMx2oUTYiItMjmscil+V/VEEmKiMCJ8gwt2w8D67/b/nY3uo3MX/y
xRAWoRx1iCKyxDtNnvTGoXTyEVgxWTwrJqIw1ogMWZsmr4dRpNPlT1fm7ofq52ez6Vtt5b8+jw90
HFtwPd6J6vLIop+YU2cstqJBZUevEDMpAEfyP37/SShWUDT9rDvityFtxfMH1MXxHPFOLcrUFqFP
HI9bvK+48wqHqgFNoXlIWUmvszAarkkySZl5dkymmjZ4IfdnuFPllB0gBrHcN0ZmXkLXQIqR9Ypo
94wkwycbUgjCUx8GhutG5mUvpDqhA3JCRnoeo8d08iktaZpMHm2t6ruhsXlAEszHwm+7YWd5GAWu
OrsVd0kuVbRWycI6nnr2986NK9xIY6qpK3n/2k/k+8LTCemKYeOqwny5g1BHzdSRrrJvaCev6YkO
96m7GFeNCMRwgRaBJkQWB3yV3gvDJ+SNiHUkjkSUQVHucVrzZw+aU0SDGgVLW62gn3Aw6YMRS4uC
1l2tSHBpXwvsG5eecg9exPNggm3aUhMcy9l9JDAZnWNGyiCdYZo8CayYO4LoEbVLTs0h0zHdgTOK
ONXz2fuUU+O+dLwj5yPmAgHyhKZGbm8FBs0x5PZr0bM4hwI8Q24GeUxTyqeXkjlUbcaUXRqzek6C
nkbjZMO8b5JqhQ8CZfngITpO012umM3FGYo2c6IFYgRg+5n5ZJG8J5GATqHxwNq9QTFP98UEpoSR
1N7kRXCQDW6hjJ14HRKXQXmKxwLQLR3MlD9gy/YEgTAq74I1zY1yVcVKbFybD5duwQzXF/jTTLA2
VcurU0ZfI5ldFyXQVTrypzHkUTcVqRx2aeyxD91XWbvx9RVFzAK9wo4/EMwRrcUkX5weXlvmMeRI
ScAziz0HXx9NR0TFqyxG6QgOqsJ8YVK4szJBbEzf7fEwvwp62NsMaAfIj9ch9G8sK33NguRYdAh5
6oyexRCiI42bDxFkH1wdaFWGqzjM9lQjxzhvk21NZB5MEV/CHAhhuR1Ty8bIkNqhum06kC9G9VwO
KSgtC2eLNeaMfjnI9HW6oTx1dxnza2B0wCHYd8sVU5RgS3cALYzPLpkEpDYgkrqRcxzdWOF0ikP1
xNwcCL8cFRcjg6ofGo+hFR0RTzGZZRSJ6xOVAI2nzZzp6YcbXUUwNPYoDJ4z6DZxGGLgD/m4fExO
oWPvySnvgJLgmIMVhUyhYo4v+Gh3lAaDzY7ADOWMa24sE4iZyRwVIExPqOo4paxVxuTvsTNwMDAC
eKT3QYKTVxyHkvtgi/pE17T6oc/+z+b6x83VNAkn/Wlh/0V6+1/ly9fia/mPr+XLP26Sb9UJIe5B
5fxX9XbT/ee/9GPTDay/AgflrMuWZnmmCBB3/5DiBvIvjmMWoXaBJJ/0nLv3T/O4yX7sOTpDz7YR
yiLX/Z9N1/2LpYD9mMEBzWT+H+a/I8U132lxQUtSufHNTL4Ze9QZ8viTBUmpRrlVMrX7eKRKT53i
VDL031oeK1MctvUOkfkrIlQO+0F2omNC17QymBMOkImTCiS9XyoGeuCzwzH5NFS8tj9d5L/Zp985
BuiFCyiTATEewBICVPDvCgOawVQOWdTu/SKE6LPYcoscH5JWHByHpvnKqfXGVf1GRaAFM5fX6//1
BQg0llwqD1rEW70ysRG1P9o5QakRX8BapmGtQYQrKwk5alJl96SzML3Ae4UgcJWafI/ff4V3tcr5
EhAuL0zbISzTf1+rKJuUlLzIm33bR7oT5z32MWtgU/7J1aKLnp8KlX9+EMJpoQEc8n2GvbuQdzDP
VbMvK7CCHbCQndfVzxUQ+B2I62Q9Q7XHlwYyYBhHBpKh4KQxyXsHoMCxAAG1tcACf1WpM27R7ooH
mueAfXn6kMRO7aEvq3nf0l/eGjXLGQc6D5tnzUAWvdIWSyFVXy/vGiPOef64kHPjfiaS/iBaxa6V
NOFlVLLbYfqc92h94+s5/Igygae1WEjC8p0d5+3pZlLZq2kt2VYN+Qn5IDlUbXiz+MF3bNIPxLw9
/f4O6Qru7YXjlRBAr1CPaOegvoM/vUfeUoo8Spp671hAV5hJfU4h3qAaQ4klZUKiGMZvrxmCP7ie
zlm1bz/YduAcez5dwPMy8vaDizrwaoUBd++jjN76+PAPBPF1FxSWckONq+j0LsOacgC61swLTRcT
RpGPSCXIOcDmcbTrweqtHZh9q/OBNAhpEVTNOO/zNETVHkjqTaYZ8sde8396qKSW27/77i7QjMDn
qaYh9T50XvSBTR5NnO8DciM2iHqcK46mVE1D8IAJnPaQ1+X7LuyKG0qPw2CZB82u6Bl2sEG6hx8L
kD3tKufoei5aRsWuGRj8aMKhKHSZjq3xyX/7d++17Upyax3cC9A3AnaNn+91JxNDoPnM96PRakgh
i4Iv8AudL3Tr1gE6G+ozw87ln97Pv7lg0uYQJ1zHFM45KvWnp6yXRQh9oM334aBqMGMBk9OkU3/w
gr21G+kF18bIDE/EF/w4Fpy3v6/M68KCap7v0deWe69tsss2jE9/uIj2u0PR+WPsABcWx07sgvLd
AawqWo8gqCEHLJG/hl7YEgSuKJ6i0oI4r0vawBjZW4au25bmgofSyV/NyF7u0TJtnbKP2Xcomkx7
oB2ExXAbIwy5yBlv7jLkQGt8j7Q1Sv8Rif28E653I0HOHkBNwvafKN8HxmY7wxo7IiHQU/mVQxAM
65tjTnJNe98Ab87/TcWOeeR0B3Krz8UmCPn7duPTRmPqCIKQPxFwQ/imPrgSRBLsSto16BVrm06Z
+jR1sLVkjSM97NJTsSQnJ7Xui3oJL7F0IOijPG5lT1nfx8FKBOWFMQVCEwqDXV4lr21EXdlXrLmw
FzhODQEPnMnzXUbMMoY6P7kDz6CdRR+bpV52Qx48xjwc2ChoWHsW5NQArFRMX8mS3TODhmA96tWb
xFf1VE/U3zbppptpKuU6s/mwPEjtr6aYWZYliUy6nFXku2ysppHryM2bNWesL2Ur03XUF/JhwHpK
WO3CRry4BtPG9NWM+dFD1Plo//i+wJsfSKz/TkuT0TeWgGgcQVb4LNxjX6st0Y0mCZpLh5HcePa0
Vt0OiZMi38rfkDIcrntbxTteMRRwTnKC/YJevHHpFSt24HzuEMLbxdHJ6w+pGTw2TDl5Ddtuk4V+
vKf4wb7SE+SSW9yaUrUPbkKGTFH3txQY+9ArTyjb2gNgY80WJuk7mLibxcxi2Tapu/ZzLdfLX8sA
PTHZFleA7mnnZa+cwoI9YAa1iWx+qBoLQg2s69DiCfTLwd9I4d1kIX1BE64wRwuOjJJB9Sasec5B
dBnbGUo+7Ww+ah6yV87CPLHc2dmLmADROuRw5XwaMkC7ZcRBVNqF2kxh9IqsgYcAOcFKJKO/MeLq
OHmc8GIOW+t8KU5WVeS3PR2ctTsY/gfQETsSk06wOKuLeBbtlRt6j6KDTNhSnh7dlFP1+cZQGdwo
pL3bDG0Iuiye3XnksRFI3HQwTUcgVHLyQ93Zjax7y8+DfTfnJ18M6SrjCTc7Xo3zg9sufO+wnHZ0
uFHoFS4SUf+xDihkYnwQP16BgifMNK171bUKSQnFJ8Kn5bqcuFl9oqsNg3+vKmpr5cc8QZbJ7VeC
1wWCHqgXoN7HUUAfwPBBHq/PQ1t1yen8xfm6VDHYW0kYYk/DDwpxzenVEz0GWMadYL2uoXbkXlxf
V0HQbBOUa4STgVtcGu9gugTVOwXyk4TA1XU6DcdqRHSZYvnZTYxjVxAkX6GnsmB5tAiYUN3z6GY/
bnAhnHuZN89VzXvlTulrw/AQDEd6Oi8XqL5eu4k6Gq9AsCrTiA9QHF07fcKv3ZnJDTpnREBcRA4D
1EMkC6ypkr3VABHBd2R6zMn82mQNqxILVbZ1l/rZkdXxvDsFTFmQEXMFsOSFl9JNX2cRhncEXe4K
iiQA34u9bVVZ75yJxOs5eCnJXEHUx5NbUnStUFt8VIr32Db4dwfW2sytuCCTs2+9/NRRX+nlDN0X
S17u3pwXJVjYdEA69UwDio2RnBlZgdRocuee8065T0xeFddPT7OR0JSxaHXksAB/nCZQFICETCwg
v2w7buXdnH8h+Tiv+pUgEuRebwWEkN93NV/sfA9qGdwkhTGCQSHiLxuPfpQ6dED0Y4PgGr+QU2wr
YJBEXppHp6UjUUc5XgkelRad9Y+VzrdZTEjIeaxmhxWVThY682C8VaTrMEvm/U15M6F7LPwtQhgv
cowDl52+O0yaCXOEAr9EiOkdRASrqV6my/NKnEy6EHMjJP1gCnmD6fvPi//o5SBUV/wNl2/iTzul
Oxa+4gb0CeETSdUvO8JDQB0FzBl83CIbbO4MEwRX7LyvWBlfSuniOXMdukvhlnDKGXcfQ79s5kLq
J2xaWIzjmjKdlWY3LNyqseKhawMWHoz5ChMRq4/PtGBvBRQU+u6C8SREijfci1n1OQWV+ybiH2wG
TgXn9TfXq2PYxHTTEGKuDBLwLpoU0Y/e49qAD4jQ/dO74gXyluyIQY+wzIblJsVouTmXw3jc8m0/
ttm1EebzRwFO9MIreLshp1or0MSn87NSdsUp9ePXcpkeQ5GiunZaWkgDl1rvNvCO2Rg7XgGw+dn1
hCNu4xquWNnamUa6D/pWBuoYPMtmRzoiU1CXkcl5egNkhfrcQc7eNPAz64oNb+6aG1bJBnlT3B3s
kZ6Rcgp3NVkx6mFzCZB/jqgcqiBE7kI2TKVGtE3EHgOjqpfoFENbxgpm2sluMDEpdn6i9sjNKTXQ
8KHmew4ZV+4mTlbfjCBbPuAGq69ECVwxqrsPqFmiPeecBIWiaT6DEEE7VMygNT0EXzFxzcg1FnGB
bWDnLByThoqE3lVWD8ztnNi7M/uiW4/LTAj0yIQtm5vq4OsDXBZTJzdLe2Mhw9h59kRbOYhOvZFP
m9QjTgWvubWW46J2+F2XK4R/gKxKFnt9zAM8mm1iM+E/fGbmABvji8AAckkWA3MwnR88VjktT6Ta
a0Wu0Aospk2NQrARvkh23pkrNsj2e7pQsHWDU6/MpsyJ/AZcBgjg0AXNM6BlMh+YRa0GyyWn2UKJ
hTdT7WsTS1dCE5CPJywFI3G40SO2VayzrBPT7Hdt71zSO/8S5dH4Peva+IIEgXAzYqNcc4D6BvOD
CcP8rZ8ong0zZtECmrzG5JKtjKYjYF0i10izMqEzK+i8MdETnOESl2GldWGkNJEtRar5ENkQG907
A6sALAjKRAHti1CTrR9xT6P4GgLVVVKx/trD+NEU4yWATn/lJ0XNUm58r11eaY85Kcwok4l+b3x1
OlbdtCHnrlvs+yhLJZRXcWwNC08oQ0eSE3pFoJlpXDSIK/HEFby1+uSzZMwuxMKylPTJq4lMeRfH
1E8mPslNVcbzR6uzG32Hl/WYswMhnQxfx9So1qTI5J/Kprev7EU8D5KlwjDVM/5aSiokZgQoI29k
J+63SCi6fVZRBMdTs+zGjIpJcIbLgCuRVnlex20jO+ouMNY00ESm022NoQr2fd3yt/SJHjgcy4HF
a+rXFDKMwO8tULyrvEwghhU8t5V+RDkw7+1xPAXMtPdZOdzHPk9MGIDvNUryfxe2Av09dcvbpPuw
V67JsZDdehVQZvdmfMqc6llkBKEPjrhXmGsImyYzdYzVdHkeKyXC6zFyRXeEtB3r2fzCAbLZiYFk
XyVk+7E3ss8pe1rUeftGzsEl2cp4aMc0u05RlcH1ZtNXQUd1rZfTpSuW66xnxxv8rsZt5D/Scj7V
c3GkwJjuFm9qqQKt67qlrjHMgFS0xOXciHek02IGJtcfAjliF2b61ZGYwniidW/sMY3vRGvWnxPB
tS8pk7e6M5/bPGEQlo2Lntx4CiyuKWhorrPt+YRhli321WR8LBoD0WjL48ZEe8CzCwyM/Gw4tKxr
IUj9bdbE042Bx6FfuYFepAsqvmGoqb0VwqN0pMaUy0BmXJIS3t1WF3lk7kPRq4MZMJkw4teI3b5t
2YdIUbqJLL7neUfvJg5hutxp9LMa8ZjchDaov4iagMM1LhZrNrYGX3hl6z2znKu8WOlTyzLRIEJS
l2HXaJ+rgq1nGPvxNqp5pWCycLPLrtx3JKtdznQmV4HIp9vM7bKHpifNmFH71ogY/kwekoWcEz0R
lzyTcFvKYzIwYoGK5hNRHJjHiMjbTS55hgmTXb4gHYpf2gTFPV0L5hBBD3WPUTZyX56mYCZmLh8V
/0pbvBL2LU5FyMw8Z9c7P/2cN7edRzYMh9VXmhD8qlxLIJFeBfIebQVHvZCdK62N77pR5dgLeRhR
MFw7DXdkzvQeqIcyfSWHNfHFelGI6vuWwHA2s6BGRWSkaymwcCUsYzQjs23hSZLlnO7SIAqcFbe+
QsC3bO2Gj59zUhpSmwIrMeRt3g6gDmwmh0Y8mhvgkMGOp50trucWDaV9f9574dIrnqTw8fcHf+fv
2guuzyTbxIMmhPtuGDqkpCdG6ZztkTRwELdo2Dpd99zUNAVTUSw4H0xmbD13uVvyZRfLomepqT85
zZPf1I/CT8A5xxx0dZnRe8LYup73mA3RHaa8ZW0VnnEBuRCEPPEZ63oc7lySuzbS7yiAu+jjuZF5
PiMxD39JuiJ+daeONJQOaRduI8w+ndZh4L5x66k4EhRIQTfootTjDEQsZsJ5KQMF1znUXliHfxzC
etPyH3r/JTXC9qpUDVkJka4CYz0f5My7cSI/xJNuTv9+i5yJAGAtyYCersB7onCKgLBAWwqiXHGm
9L0xvFTMay9cSdEFzu9Tcl546eMzouV1M0eKxt/f1l8boHgPGWYgu0GwRD/3bdPI8n2ibGTW71OP
SEviTeML1VInxW6DNt5AKRK7g2BomVh/aFdpZMn7NiLHd5hTZFrZkl7S24/mzTb7JAv6vY+SZeWw
qG9STK8PyUgohr3UpHhAvduGYgGoqF1CQzF8CGq5R4hpPv/+Mvw6T7G5A56JQ9rzeLzf9YF72SMK
r8Zsb+tFQDcMSJOlhFbMgc9+sIjV9fcf+WvPnkAv6XjIN2g/U3i//flW2QmOm2G/V6Hlb3NU6Nsm
4k9mXj1OCrsyWOBxU45tDvZ2KC5+/+l/8zYzJ+ALIM4+j7LefnrBRbU6xpwwuynGMho6axAe6g9P
+N9cVrrMEvm4T9/zlzEVuynkBGqJ/WIm9rrH27Bp0+kLg/gbFeSf547Yxd//LvPvfhgZaTy48HOY
++in7qdeK+mQEWVJ0e2jJFVXSOeCXYJQ4sCSQCtn9B9jtk+MBHTP9Gi9mPJ5jxG+Jh6i6df5kLws
+afff6d3EhndMdVzRNQkGrD2y8MFB6VNAlHzjmXpl6p25u8/it8spcYjVO3m9x+np4zvXiyShTzP
putPOAgH87eXoJfAScIyU3tUuTetlMEGFXm5rYiRXAuqZmQY7lc0KB9rgURMeB/bxDVWQzJeY/5+
6fwRI7CDJPD3X0tPZX/5WiCEECzx5Jl4Fd9+LVgK9Rx5EXmsSO7w1lI8uw1LTS8gppKReuir5hjT
JHuyurreqYpbZMQFLV1EA2Y70ZiijgNIJ+UqwThFkWHdjCZIzC5Nv7nqwukEYcg2JUjnHSy0DnCJ
X/E+YoyI+pTwi4isczo13hKBLS2ZLempY4b9BcoGAmq76CBPWPpsLSCBAEYAlBUapBPoVpYe2503
tnQR7eH310b+em30JBlej4VkC/rTu2sTmMPUcTCs99A7iI93mmjtdREIxLGgL+Y1xD/EYIgmnAWr
biDFWP9MWqtrO2+wrPgerVpM6oBt2uyyFr2xddCCbAddNy+EH+xUES3XtCSyFclK0ASKP65nZ/ra
27GQh1pKYg124PI7Qv/Gn948ehms8y3FJkUpfpvANzb01NCbeu1zL6Gf4VI8+oHTbs3Uw/qVJ7t2
xLD6+0v568PvEaPI4wWhClic/e5Kgqi00DtGzZ6gyks5cmG06iUpB/cPHyR/XWkYHQJNhI0JlM57
v9IwBQkbkpYJmydMIk2pe8w50+lSXfmaL+h7PI+uVKK7y+iCqxUBqXyZPpjX8ENJTKrjk+QIn4zM
m7yC817GEfAswqn0mbHk8E5/+9hazOatnDacEXJ2+f3V+rubxgCPAajjCQCC7yfHJSdXaS5xvY8B
L2BLIQ2wLad6XeAWWU3F1GytsX/R56WzeKZv4te58P+wYv26QHrIIpgnAq2wf90mwMkorzbNei/s
6rtFSOSay0AHOUcMNc5/+jT56wQLlTXKR+a+AGbIc3j7oFqV2flIGmvml/C3srqaN3osueB4Wwdm
5NDApaDWRoMVusfotliq52qqsmtXS35tge3QN2cSvJrlYuDgvcqwt5DEysneCDGYptZ4+/vb9Os+
yjd29KCYyAstI3n7jVtn8goiqeq9Z4CmqhT+AAz+2bYXnJ9oZaMgE/kfhpZ/U/DzaTwRAg4Hy/b7
NymndBirRgIRSWlsNpVlcxCf4MJX9gRRvaOfGpUFJ9r+oGhPXQUWjUrdM6TfbmwLWYlNAu9mHzIo
2nQZWZo8AOYlrRVz11DN1gAzqC45dmsNs1yot849kdLk4CQZP+86T69miUO/Vo9fbNgchBwiZCuw
f13gdLH3UQahGyTkxxzR1co0GOrVpou4nqHDLgYgsbbDMdg7ekKJ0PN+GumTnGcbVW4LoIjBN30S
dpOOj5sEE4rwi4XBa13XOC9Aa5b/n2XDJXnV5OKC5DvD7n5aJmt/QTBvs2xEcxffQZ6lKcDxZScd
Mk9pLFfsgRxy0TeeaJvTzXa40eWIrnvsJVG/bjteejM9ovNaDwaP0eicAM63FTF3XSc/n0ebdm0G
aH6K9rJg3H2DHfFP82b90L1d79HGUl2gZoI/Kpx3630b2YxgiYvdlx6bMUiJclN4+pWw4+EqaoNi
HfhL8dn2Q2+DFjT7w55p/7r+wo/xHAvNC1ojKExvX4rAn7JgnEosIjlTtEq2052Z0e/3czrhVhPY
n8raKdaJFWcHItvFJrPZISeyt1mU+ZOTlc2mF1ilooXHlL2LiZLHAAh71Bdh9pfZXD2TdUeWtZ4/
0NowYcwwvE63cRgjk6z1NMChyZ7SlNwLmEabdtLt3KVO7ttmtDEDO5taBMd20FYS3GzQ/lhV/pu5
89qRHEmz9Kss9p4NKqMAdhZYd6eL8NA68oZISU2aURjF0+/H6NruqsiezOmbwQLdPVPIrIxID9Ls
F+d8p0rCH/yXpUdpmN/RMZeHOkBgU/isG399cvyLygKYAGxfXJEut7K3fop/etw0u7o6H9PmoFhS
vC8IKnJQdw62bkwAvIZLXxIYVxDfZRa4sUjI2sbZM8sDeXpfwyyr40G2obPltr4r1/NNeY9ujiA4
7uVbzUZ/l8zsInxyEQ+//u5/PvcC26Oi4L03aVM/9kjgTWSHCrY5EPF2sGL2i+tRUcyMI9+nUSUW
819/xZ+KZ59nivqUpgwyJxf7h6cKCH48twWdIKNtucGJtbJkuY7fdzHd+493YCmkOV9QciAaGdY1
oO5VsHGA5EatgsQlELPgNOLM+fV39/GifP/miD1yeN9W1dD663/6YWJ4ynOjqItDlqIj6Fu+B1J1
2QKwLivXT+Xf/nLrK45SybFoJn66dgopCCxoisMo1qcWDetsUFDBtQq39I6/64iDj1WwzxnHiYKi
EyEbuNEPz2raaraNbZYe0jQVl2EGozZ1W383ueGeVVOYbsaCiiRbddEOZegxI2TwaFlGfe02rv8y
ulV4m2vYUM5w05EwESmv9zbuqFU08o7umK50Z/zZ9SEcZw8PXJ1d1k6OglpXbDeXvt4TasgwXrfe
uru+I1Y0P+VDbe2bvAN9CIdilweBJBCYY25rNNm4cxORb00n1acpHvdMJFXUJso9VHjkL9ByGGxU
iptuNmHYIQc7+DZuXhdBOakJRr6L8yK5gedg7+HI6F1ZB8FuSPmF1Da+WKvazhrVcDdTqO2rMs53
fkqnFq/RIQUVHRPBlrE6hiwWv0XlXCBQFejAijDfeQA8IXO62cWQt3pEaYFfGFa+Q8ieCgjy4Xsw
ZJww333AE3yTpJm9M5gOnwPPWBj/LNYnAN3OgfRi8ZsXzflYqENapwgjY4eG2DPp1//6LENsbEOj
5JZHQREc3/sep0Q1Uncmm21qqdyuzBupVH2I5ehunWUm9kWuP8CmcHf4IECu5AN1vd/6+S4r068l
nK99gPQQm8XoMVLSbjQbBEPAmWMRXrf1niWCu12nEvvAWYzHuRndy3D94/Omv+lT+1H4qE3GyUNJ
IgYnGtqKFIW8C34zcPp4eSH744XiDaaO4aAxPzzqnJyWcFQRwBJbDi0GAUZEv3l7Px6e71/CR2Eo
QhOu4kf3Cl2YYBCQBAgGckmaK+NX3WrajBXO0PWO4rMBCPrrI+NjUcAX5ezEV8SEfT02PpxQiRF4
uZe2/l7B4YlYfmE1W0zF2g3/QOCw0jOIIT41rQnEqi+634y1rI+1vb+ijtH5UcAzT2Xi8tenaibi
D4xb44MAkAZ7+bzjp+0s74g4SkERnmTYBwdOu0fGDsWhdD399OuP4F0B9+fC6P17YERu08sg+g0+
tKC8Nq1vt4a3z73C2OlZdcfKBTqyFGa3bFqdhUCJzO7zZC7xNR+ke91MqE7r3g4ejMKH0KJ9UPyj
m+8Hwk1ezQ6Cba06qrtU7isiP+5HAh6JOvL56/Spf6mU6136clTPdoIqYYNdGrZw2N86fgJIVRvl
b4qvd+TyX/6OFLCMTPGVkWTicDd/+JyzHkoaV+h+4K26HJ122psysbahbvTF+18iJAHj1gRidtml
/AKLx3gbklC/Ky20Iwsl2M5hFrF10jg5hmCqdn6TG7zXZkf8DfZitBhHQ5NDMAQETWWJc1fYlRPJ
diWFguk5lsqDCiiWAJCNr9lqEyojAF4IOMm4g/sFhU+z7thrY19Je9m1a6IU8I990arueuLf3EtP
I7FIk3s4AgbekbEEGCPBEuUOh9BwIUb8UYsLgC5Rqb6yM79/NaD+/PqRcX662Pk4GcKjqfQZBePL
++vHKcMwzhb6JlBDLbOTwWjxLOtLAFoPFclMxMS4Flk9FnBWD6aVzcRrmwsZHAuyYzbE82LiYr9M
YhCvWV7r9AxRlMRoTDCsl8PlzJ/iXWrdDGyE3frIIGnAYpN6B1zSX5dchme6PHNr9kj2RN+5e2UD
f8av325B+zwDhxj2ejIeKwbSuwJq02/ODfen04rwFrpNxkYi4AW2PjxQOd5Ij3GK2FuayzvAo/DJ
nkaWYHzj2OKGwI6GJgDxPE7G3jEqwqUWlZ4tMESE0QEHydN4wIXWVE9Zsso7Ml67ghgliLoiN/b2
KHkwPfJhW8RxO7PlGYH+mm+tLIApZwYWBLLhMM2phZbAfRi18+oauJDn0H+I0+wbvc5A8Fs7nKve
8I8Joo2rpM6C2556MkpLeDChLmnH61TuqnHqDx6zgYPLym/PYpIHXfMlp7B0fjPD+VfPDpsLl6E3
Z99PRSG4wJQdJc8OmRM/cBsEt+u70uKp2o4WFsVfP6r+TzcXKEbhoFBjkou19KOYuRqYVZlDzwmL
nGqXs4d+RViWniXhm1tzqaa9Y8b5der16dkOWg68lvLLGvnQJ62o4IMx3rJNfNFhfDkm3lW8iG5v
ofKZvIs5yZudAv7K70Dyyu/dSmrCHdDJeNvmXB/2yNtM2f4DKNByZzeI+Sy1YKhuGhg9Du+ApCm8
zDvTi2A7JfsUSfzTCEr9noU/abZ2qu9kBg/btdFpFK7FiAt+YUSQOmwwgDcnNrJ3Pf6YY1jMnBzg
5Uj4qv3LFnfF1WhyLHeyKPbd+u2wMS3XQlw/iZlnq9Pca0aqAwAItp/vG9Wvue1Gfm2bDUnjhAp+
cmKf3HVytOvLNG0MoGAVY2edGHvijzmMfMuLUmZBVKC8EMtvXrR/8bTwkDCLWfXo6y3515Omg+FT
VAmq2ACjImcIn18rBZdTA0nJF7wQv35efv56bBVRpFNi0aiLj126VwD9MJZG7MuqogCRvA0rEOeE
5ig4potQv3kbrJ8LS9q29zwZGl6WeeH6Hf2pSQqQtyk7ScBso/qIshllKNkC3mVWsYiqFzM9k4Ob
RUnn7eHytce247jwCMiLGjAUW3+sWQWMfryd6JxJ7eOiMjU/arNxW0QJVn+Qir9K5jXtfdVxXIt6
vdzBR3PzZOWtqJvPxG1bIIMw9GYrYQHQ1mf0izCUPFSheZMZu4TZ5CNJNN1pgZ5e6rTYs2X4QYY9
aZaj+FH45Wc75Xs3zH7aA5Jazsy17Mga4FSGTftINiUnlcHJ/361yoJSq8UT+oqizIkg2i53FiJf
NCK8TSHAkkPKI3hu0tI8wyZe8b/rbVqBTEkkdUmRcc+AxVs25vquzjbnR1sN85d64XwrNM/5onjE
i7btjiiLuXsKjt2ukIoAgYLAwpo7s2z5hiSgPmjM3PWhkbIFmAm5+vuvljzvoLWMPWFndPMNypDd
YI9qC/BmBkjKn5Cndndys8LnZeG4yKyReqCfFj7EqTulvRlcWYoF/lDyj2GfBFDzeEPrlN9iJlQQ
dRwSrkUyxRbNd39ok669zixURHUfN9wL/DUNYeXX2liWndRWFw1z4x3wKOHjrTI+u1IEh3Lxnjzg
FxV6XWBdrn3i7dSXeGogk4y8NYmYgwPQXEqWjDL6/XUnMnzBDQEy3TC4Bci6h0dT8fmnQHNp2vlx
vL9d/22+z/ULfW1YhWQJst7//b/++MKrifIv/wCenQv4bvjezvffQUH1/y/pdv2d/9Vf/ANx8BtL
pwVPwPJWecl/Hqfyf9qh/vw1/Vz+j9v287fvXfpnJ+c//4A/rJz+GpBiM+53bEEez5rn9oeV0/ob
PiAXd6L1MQY4/Bv3qcfvtnFruqx3/uHktD2gCwQTszhHCMPy/N8KVaGx4Dj6cyWNBAJ9OY5RjGCB
YPjx1+OK0AM5Z1xKpzbLkhzMXFfc+J0Y4AnGQw/VdRrK/FiVtYQ1KFtSJQARD2rX+Kl9Yi6WR2Rz
tycQVcK7skwcMqB/Mv4XTUn2tmSSpNMEbFcbGVWbXCyNh9FFtLYZMc9zkutGiCojgGyWb3AVAF01
Vla3G27zhD6a1NUgwt/pP3cjR6rV+4RXBlJHQA1sZG6B+0Uuc1FEMS0I+9qm7ssdJKJg2S4kkd+F
1pBnx6lhRrG1J3O2j2rKW6yEi0Z5rDFa3Dq2AhzoSon1YxZWclUDrrijzoMmWSgNZsDKRym2ylCw
tZ2gMn+kmdmAk0YDBigJFu59ncYufrS4Sl4V/i00JYAVvzqe0d/KnEgPFJf1sA1ySUap07r6M6S1
6SQCkPWYSbzsDd1Hd2xjKH4oYU2TPYHX7sbK9k6WBX7HqalZAYXVtrdxMCs89p49v7I+CvoNWJy4
Z4PcZEeSpWkXnKUtmDrNeSUi2fnOlV1Z49U4wVdwKrLJ1eJmy7UDBN96sLmjCMR0Z5XsifBzwhfd
1+o0K0KdozIErkT6QmKrwzxZJH9syqRvs5PqOmHeBOvnAp9xgXu4z/FBBI8d9pC1HmG7G2PPfGX3
iZdy1uuHlZ6GPiW6ngiXiD/GPTuhq45BEVTzjYWJCCian2rrJvEDNs+GT2psPuZqZ8WQtt3BnOB6
mj/yWc1RXSCjGjnnSJtmOswMyd60yrLx6nTkCszxcs3VnG4qB3DQvLj9PiusGfUgAnWQXt6IBjcc
/AcGq6dRGhbORiMmVLUcqsjN4wdKK/z9pX6xJfkphccWlOcDQZ/4ZlXVqdbtaZyS+gACET5vF4KG
o56IHAZ4V4nt1Bcej8195Ujj5E262EIh4KNTKjhgNlqt0JJIBsQGpIRsvQCb5BIHVzQoBN+5hLXV
ulKXZUoGt2266TdXd+UhcOvqJetFfa2dQhwHvZqowgbff5hCqtVdclMAfoSTOzT3PkSxa/ao7OcL
ASiYDdsqKDPjp6ScHgBfkm3XF8lpHkZACb7fXkgvXfkGTbzzJ8fYuE2Oazt3HlRjAdGsE8y4xA7s
vbh0I7cewSCiLtromFGC1Q9Xiv2wQsfOpCWfxfBYpvJWyxZliwmRdsBfQvWc9jdxWnZUKXNPrYKi
S1Q50iqba6zdwqy/p0stEXEaD3Utvw9Ddlugr9iIGHtK2fc9xIPOv4HClbwmgYFQj19ht13Ur0xz
JYeR8+hqnv+ZQDJRxd9KKz1YQx3ectOa39s840lv5Fl6/sBQ0yOiIyTjuCV4xK/788ACdatGg5+8
dKqtURWLgTA4AfE09MgbBE5uh5hvJ6P5ICemu8xT4JV1V5VbGv1pO/o+WtxZLK8G3/c+z+OFvswl
M8nJx6sgLVCEQz18QF/84AFRuygFUCnkp5rusPWjwJ3cqIDyd9eCj4osv0w2rIKXa3RLg0tU8CSO
qRUDeGBQO+y8HKLM1nUBd4KyBbtmxvb8DMEZLBRsy+swLGTkFX4RhakQX3vV/pCKpCJzCNTF5MXO
PoVyF9HUA60odHUrALbjuOvsiwll6JdG1vUeRhwsioSU7Vu3h9NaaiJceRI4CXukPJGYVfAyhtAU
ZaGRIv/pVr39+y30Z9gONKGPtxMQhFXRYbIDXtuGD3PKpmlVmqdmegrsTve72BorD0JwM990eEye
xgZ6mYSezFzZUUu1qUmre4SaNzM9Ka1vQ6LC/JIpq2VFRS/QMBAcYGKO4qePeB8E92Y0R8JwUz+m
gWbBSzRAHVjpSQxVMN5M+PeJvC2W8bnznOJ+xoUEDqwIPS3OMluCq2UZiltI6hxRSsYdUnvHIU7a
7rsv6KLXwiz1XopublDIFjOSPh+/8obMvADfh49NISQN4TSO/nwYON/PoGimPSxhkoAcPR3ZvIcX
QE3GTWBT2zklDjLGC/0zGYdy55EXjAWeQTqlLJTAnjqEJbTIEXVzb/VBwyQeKePWG0kuPQZeazTI
iSza0QMiVgITSY/Rx9acRXXpg+SNQrIXNmzcjO8ovOaLriOhpEyaFTJK7NR9UXgSHm4vbqq5c247
J00ecHxHi9PSP2RkzFr1slpkc6sh56IS2wCN+Q0SWfFSG9LZaScAH1oqluN93W0Sk4WpNNN+7yTB
QyqCetvhEM3nM8D2z00POTnFoWAzk7+W8Fw1XTTM5svGor8RDDp3bKS6+9Qs8I01fHDUG9t6WGEp
TNaNY20O2WfKdTTcBL0DE9IXvVHf22sWThpXKeJvx7vVWXr0Gc6euFYKZlBe+dzCTI83HTPy0+IP
9B6z7HQkAVhvsBLUr5BTu51pyy8Qp8S2bV38SgsWXItn80b5ynrIEvHVR6pw36S8eahYiADqRZfs
jSDtjG1Aw7acgsFyk4taA5v5Vs6ufGUezIwsKPyQcEvYytdykdrmUBZiIoBtstZcAlN+noHlvPUx
XdaDiAFs8v35aoZTmqg3y0nS60D2znWW1t6XMY/91eLDNiERjvGFVg9uW+VpCDJWLw6hQd6vn/oY
Nqvce3Aco//qoL7YFHZYPdj1NKSRz4L2IMqAwBA1iCsfSuLV0AwhvCG2YZ9EFST3ptu7V5ClqAjU
yD0PgXznueAlPc8IHhWTjo2bOd5nqtrC5zqZEus4mqq8yEZlYJ/DVWMCkDSK+7FW47hlzeVkkdkW
2YrJX7VxLgVHF3HYSbUvwEvuEk4slJPtMqgte9PkGlRQyMdp51z74DEjNsgKPHlevazz5O9D4w1H
Sq+e6HeHEDlHKhKO8MtUvAhDfZRzuHD6BZjtInhI9bMn8GwUc+FcN26l75M8DF+Hjs45q1zmJW2c
3BN1QcnjmG39wLdRPFoLfNlAZVxNi1uSABOMQIqUKzCIB51/mRalrrdtqEQEFKOL7NZ+m3FKXTB4
wT1BalT+VvaZ/0oq1g8tB8OEZab10TLrvT1nXF2jyEFBF/P0CW1WS2zRhCyKhNeg+oy3VT8QmOa+
xpNPNCKg2FiS3WMH2SbDwHZkMuR8Wgp8xFxKxpvXZ/l9ZsXhZ9mp6dFy19EVQ/eCEb4N7JgqnEDk
3NRlxAwawCcw02GfOYv3dSA27CiNoWd+xbx8isRQDNyrDUPjrTv18yczaI1rFHZ4Aes4d8KNXcfF
2XBzdeUO/rgzF1t/M6sW34HZd8ELHTuxWXloG865KeyETsM2k1d7GGdC5eWUVVtptGxGey6LN+ZH
1YMYg+I0xljP3ATNIj4clyGYG9eAKUIqMcCNYQdXuwL0AsR+KgGQKZjZYhrtT71PWsFxcsf0C0FX
NM0VOUZXMl/6jYJeiLWo8LvlHFBjm5YskvM8cbzsUZ3432hnrcs484aLNLfb4sBeannGNmbLyOoJ
shfJZDxBDk5vgRIHX5rJ6h9w9DFkXB9JmqdiKnkIEl7CimQmXnnFMwLJufYuMcyQKYtXmf5nqgjE
6fukKjeMrZNbrAOwnczMuJnzicPeN1MkcxMQ2x/94EIi7iobknHXmeJ6CTOGeCw19ZXC6Pa2pI7z
hTHjjEcvt9X3uQedbikvLrYNi+bXemJyvS/QqMJbcd0fdqY14FTMglHVZxjtFbjRKCbJXm/avFDP
FmrHcWvUU0VKB7DUDZfoGIVFMKdUB93Eri9d+nPX5uENw8rwns+nvh57i6rT69q3So1WFMROTUw6
xYvckjwj30hU6NUGYubQbslVEJGVjNOpdY3xQHxeDihcMD7Z5ohVkk0up+YG03d2A6wzOSrD6YIN
iTPOsa2BlW+h4WtsyXnR29s0c5kL1W0fPmMaA1wrGv/JIsv2C30MNNh8ylx3o2DDzTwKWXvdztPM
oK3HgzW346ttmg/a6NUjKSMqiwa0PzeQHczmVhdTetSLLT5j/fX5pbnsr7PEnk6KSJAI6TcoTuV0
P6bEDKqdMTbBQ2Pi2lrcPHmex5KbqNB+eqraKkVF6wfpOcGcVuwphI2rpEHXvB/gGZ9SJkysDJz0
qdWefTHXTt9eFHAocrKQDdJPkjYYr+swbW/8AFtDCTMPZkE1bXACdCff08EbWJ3poaXcmnbE2sQn
WiUv2VuTQ8ok9Wa7h8xX7ZaBpxPv40z8iwK4zQvE5GS7BHo+mGp0Puu5bk8QCZpr0yqmzRiS+rdx
W3cM6SclFVjKcBKksDKmW6MdYYyXYvwKf7b/lsjSQLKVB1WL8VCvFSvnxGfaWY15qe79LZp+tdO1
QWTOJEafsiifn5MxL8lrWowwwwopc3ppmcL6qHRB+at4sedtohcHNnqgTvky9I+uKHMLJgQMf9RO
Tp0cEtz8EMRddRUYZHOxxFv948P0KhtCTm4qo/J4htv13JSZOTs7znMHbAMrq1vJdkxHmk44O0zK
nakv/GaBe0FVhBDGbiLU2/CczTJcNlL1ydelXZxzFwSFGWEzWTAZVkmR7Co2j2d0V4pklTGe54uR
eJPkBPSmTSO8o/MnGVK2mWRNPk0qVN9FMQYn0wjrFyGK9DkkvnDeaNscD6NpWKfGYqDqedNwmmvQ
rAuuyx+kWJI3EyObxPxa1eW0VV2gd7MVd0gNhXHgSiLoopjp40yascr2afMThikIxHzx1UUrv/r6
pHhcoLhHtU0TmYTehY+uYU9QnxOBBFkeNEj265LpzM42imYTxkQEbLMpb+47L4y/NotELy9a9VCa
pMCQT0qW6tD0Bv1i72T3C0MpFuVp+eKGhr4uC3d6bKRfowdbsEHxWZvED6GwC2sZX3WlKS40L/zj
3FP6t0Y5HxN/gjBFhOePJvDrG2G34pHHnko4dy8sptqnyYp7cOHaPRN+t5z9xUJBSnjGCXU+HIbe
IVKXoIPOFw/U5O0dsm11BrSA/mdwmiMxc96byU/uS+xAOaQHEnudue0uXqziUg51dtsR4MiYisQ6
CCLJZrSZM3SxnfwI3PQpRvR3dAXpeG3poLILx21DnxnNjmgvYRG8hRo+iSq68RDCVF5DInHtw5zf
MDZ/CTmwGC/L8SS67KvlsxlgWgFsrc3lBs079YA9XNhpnB29pC/PcZDbO7aA5IJZU/kJNXB9tbiq
JD+XFoHboTsiYOmP7HD9ndEH+Z6/T7f3Mxc8J7ythsvz123cT6oIU7iI1FnHu5YL5s77sFw1OH7r
kYPkZOvMpuxcq7SAIAc4yrU7bgWP0LxFiWBt5OCA4ZkH/wRYLv6t4+2nRTc6cw951zpb5f84wQdv
SjvEGEotfzrNICRz3fVfGI2PsIG0G3Y3QVBb3m1hYpePAKGM93oGlr8SJ3rWs5r3O3X18zjZgjnZ
bLfJvsoJEQU6IEDYewJF8M7tDPGicOHeslTnk/ec8jVQ0LKd94FcNWpSTOuprrc2XeML4w8DHEjv
PNh6NL62KVEseIGTJ990Bh/WSZK99pmzmuE0mVtmxlAA4MILSYA8KFk63anGy6G4YP2J5sUszqAH
2p0zNw6FhJPcjNhutz1ypXvfr+Yz2mLnaigTrkO4uXtnKl9tpzHvwKVf+KMFP34dWvrr+FK+TzJx
hnBCGui904iRq7iX72PP5H0EitjL/CHfB6O2q/xvUKKC20kU7f2SLNYLQkKlNgoQDeOvtWCfejHA
F0uC7JixQHmC08NzWr5X99Z7pR++V/2wrukAMl3MX0XdcnayAbvJ3/sE8sicY4w1ABS6Cm2kZGs7
wTTJ+4yEoQQZHgYnI7afWJAMJzm1Cap4JqHFMouNkRNIg16BngUtAu1LsHYy1drTYLLnH9c+J06n
Po0CwlUe8maG3WGNdERrbxSsXRJA3mzXykocbNUyo1wnoltOE+MLpGuarGntt/K18wrXHsxeu7HZ
YLytoFTMW2Y5tGsyTO3lwRNd8SbsUn4WxKEMuxoe0fSCLYgPSTSluO4X+svD6HrMwhmkkwcVS6/+
ZqTekEWpGJIfvYNt6fbX76v9ky2DcQvEQuyBNvsJi8D3vy4FhhWhDrNiOGXUWlfSmBLgNZnada1T
nOrKDE4qaKuR+Momjqa2uSGVNiZQtMGzangjDtg+UUzTFiPZMQEABV9XxXhP19PUO5c56Ssra0lQ
TuaoB3cE8yDt3GUGmI24cqcbhIY3I15pUAKjpS8tDHU9C4Up/oru09kDlvROHnELd5DWJkb6ZAY6
nvUgnRQpY3wLog5zdpwgyHDivWUmD7zjDlFjyxWNGfZswzU1J54pDMxOy8CVTWDHMc2UgLnhUaBy
d5hHLf3y1vNy8xbPBlq+xhXJI9Kz+pCA3YmSaTCSTeM0I7M3mFjXHC7qNoAgTz5FwLRKMFuGswwi
UkdiKouLRZkVkGILogMNuKy/+UOHbKMIBgpJ0d/aoe6el4TIj8bJ9aotKnch7tQKr7Yfv6VsFd4m
MVf1dqyadh/3RUqWLZBnbl3XZ2eR9/vcn9e8BMEr53qoEGfRwjaYq1x/q+Iw5PoaSCulE66z3dSF
8yr0RGS48QcdHj2zje9iHaZfKrg/6C6TLIrj2rifmIwwKcigFWdCX5Q5ygjbzKxrRosLTyVFZ5mH
0xmRrPEphAUX8cf17IeD+r7ISHFmzivVkznHvAHYTDd67JmZsclJ994wcKUtglBonGZv2rayR4O8
lWeVI37Ef2um20YrjqaJKPqlI/wNFKRzFpxSW9f3+6hh14AbBICJn1r5U212GGLgR6N6x17qXmSO
6ZY0MV58iUXKPHjENPBeh7lzKavmIQxH8DYlAwrv/SZC3OXeeUabXI3LVFaMd8wh3uRYZoPbulhZ
2HJdIlnv+ySrn4aFcMx1z2SuK6eWqe7CTnvdRMVdyVYqzOYcwFJtf7Het1Yh+yv7fZPVIXXZs4D2
n8v3TVdtG4YgRHZcEQ6c3vWO002+JUz3sqODbCm5xphsmaQ7qOmbO4xTS/dtB4pCgG1bvi60N7Kd
+F86A8e7glrXnlrS7aJxFNYJVRXhZlq5NNdDuDBqgk1V5Mc88Dr23wwwxK7NrObsDA71hHqf6U7r
eLcQ1qsKJNLePnkEFPaatesLYudshvzsgkQMFPw69PfSaob1uwbzwqb0PKWsiDqjEUdZzN3nXx9U
4uN0GARggDHJdSHiIlxbd5t/klqYTOYLRqL+KUyAR4Q3qmgvpb57/yL/1o77KvvaNl3zo3/fUP9j
Y/2+hf7nPz02Ff/5+Fv+P91xI31mqfyf77gf20wOLT+QfwYDrJvtv/9rf2y27b+R80wlxWp79dH7
/Hz+sdlG8YuCHkmIt+62uUD+gBTb7t+E8DwqMP6VAGIkv9Q1rP7+43/a9t9g3aPVoTCzVyrqv5UM
wNP/8fFgPc7hSt3p0S+G5vrrf3o8ZF0Yxuxaw9GNXXIlmQFsjDE4VpppCiSxV0rsNacmLbfcw/Nh
afrvJKy/ILB/rfzSvI8VOwGhxm89czc4UdUQ9ZNHMJthGXhhVf1QSLM7r1yKTRPM9W5BzYFKJb9D
/MtGArzcsV4Bb0kir0EgIXvO5hRun3glh11x8M33jWt+r2R5y3oSlEjCyIJgVxcwj/GNKQZLSNyy
ojHUJ5qCBA8POwFQu+yCIcbyVRP9KevKIwqnS5QvmrnLCASp8hJCqGPiumwsmyag/Q0JgjVJ4r5z
7gHZX0hDepdpTXrRRvputVqB5uc4TB7NrPg84i4q4PuV+EpmbLto/8irmyD8o1fapsMMrdh2h3sw
h+QKF+6l9KzpZBdi2C/x3BBFEHIlKYvJCdfKPI0Qoq3hhzWE192ceJHVOv4dzYK5DWUapaorDnOH
VYrJWH3l58S0GFMXf3GQ+xw9DBgXXAZyh2LSpm8iKKSAaXMBONf70nvzp3YiNt2pFrUyO7q1weH/
qx35ZfBC4yr2tHnifCeIi+txt5TCJYGzHfYkIH/PrZ4MOAKtblozx+ORoPcccovO0SRJibxP9nEp
iKgxVO2Fqib7PuiWb1KCbGtwglCiDMWr08yvbiBT4DgzTV+Yw4fszEtXFUMkGzdFf2QUsOvLH+QX
FUe/CT+FPdgrT/PbcT/N6X60uMR0ZV40PgwEfhdkK6QW58wvH5nhPfp9l5OmRxxLlUzZI1Hs3a7w
8eV1yGzxQyXlPddpsLWYhCDzDh0CZtKOlFD3yXdgWPiJIa6GXL3wvIbfJ7PuI5NwrOvFbtpd1adV
pGX3GBsxdIIp8poJlM7SkSyM61GbOjx0NR0Iyt23sp7MY95395aQEys1X24Iau/2RLv0z2aioWt6
AW1T+Ag36bZ2KJDoDcm5StEvdLpiChxqqM7T1CUxTlVK6EOF1fVUxxlTUEBY8tb1JqaowjB2aVuU
NyH8SUqvZDxVmSX37EfaG7aU+oIs7QwdLOaFMk05zsLusPSSVJscaFdQtlQIdZPfd7kbHGzJJInI
gGcr6aYHNlPJxYg8kX1NwqrC9QBt5fahyHT1XOZQ/PlR6WgUs+5ZD/SMbQYjfmN5rKO4sNVl1ndI
WebRY4jBqt/ZWChadkPcfm9kSxYH6CyojUt4TaTsdJewxNtJQh8iLmZn23feBWRm54ZiC1NqLJiG
hmN2N1plyh6HYtDMF/TRpLl+7eeQ7Dh2697oN8fAzHuisxbrLi56iHIGuYUzVfceGiXToi72t9pL
yFrvR5oZT9Jm2amoKX1KKryZOLpdOBrDy9yF3hNBO/5RkQj5AoMBxZiJXlRoBomMSdMTFvn5rHyR
PQH7U5esAOkCU7HY9+ViGdcswRZACmX+QlnzYqZtv2+8mU1Dwhalm25lr+3vzLH1ilMhAzjrkPih
QMbNNhHgHaQGdthOfsnEMH7XTlfd+NIZ2XR647HvgxKvBJIbwy+LvbUkL4Fbymtgs2dwCGzDWAEk
8DfhGpnbik0Oa3VFllMMmYHZaL6rpiJGWpf6Z7es8ttxieVlbPX5DWWftW3M4XLwMo0Yo1cvrAiH
jY1R9Zqx57BNZ4BjQwYcolrjT3W+5E865Nsox3m5j9PlbhJ19X/ZO5PluJF0S79L7yFzzMCiewHE
yIjgTIrUBkZJlDvmeXz6+0GZeVOpzKxbueu2LrPalCkpBUnA/R/O+c7GYFKwKecxPjKGvOMe0sBH
RFD1hC0/N1CnDnpG9tNUC3ajpBGXRtHdlKln4wVayF4tPLo9Iz4TtAJ3SlrlnZ0wXstjq2c77Wpw
tV0jgCQSoTPXZ3pWCPdHPAL9hsmZvfmeDM1urAEzxPgUlp4L2xp61uCanMKx/Q6prNj4TqaHCNDu
8sb5Ehse3v8E5i6zDkwaokKdOSQj6v52IQMs4niJsDaVRfSME55bcf0MaOJZHMaAOcvONz56A28z
IXLOFuCDf4EHhhDFGGxrjb+Q42cNsm8SJMj0H43K+2a3ySUfe05fqKOjYtxveDcDhg5ST1JTw8ym
RtaxCnW/l6La0JJ7d9Kriyuc5LkCVbGtDZjw/qKeyfXa29qYbRzuhIIezn/FHw3wwK++lhMPlNNm
j0PNMCAhbXdTZOJ6GZZL7tN0c9slT1BijSNeRT9s1t+0l87RzhykEXg5R0/HCrYwFshQ5afBNSJ+
qGQfbjPDZf2JnJPBAks6+Lm3mB+biycktlUs5zHjrnCOBi8sWTzS7bbIrBeCfq3ENQ/tkDaPyMC7
zdIChXAQrxzMqXwTGqcQjKVNZERbp7M/z4VxGC37a94XZCJ0eoFx2P7F5vGPKtm/rlF/lGH+n3+v
2N2/l9dv+Xv7/0q5a7pMHf++3N28fW3efgnpeJNEdBzehvcs/lP1+/1v+aX6dc0PhP56gkGiazmr
C+m36teljtUt1N9UxAjPjdWB9Vv1KyiZAYRQntm6TVn6e/ErPgiKaaakAmeigfz6nyR0/CR7RzwK
mNwF5sKBxgcRP805EyKwJjPKou2IfCJJpr1jqZ3eGhDMrf0PP6e/EOn8HAbC905xvUrYV/OQz//9
Y5ktc62CKtRGwNXLHZS2+zmvD23q7gpk94tfv+bCDrvxo2/uNHe5kfkiQmW+MIMMjHg6TYRAc4kc
/odP9VNv+MunMo21P+TjfRf0/lj8R1VMfmteR9tKzQTf1cfMGWGbGu5OZ3K6sBx3tTx0CP3xAIyy
69rMkQXwVxLGQEqfUd396w/ENvCP7cj6iTzDJJWWURRxZT8bInPlVhpgZdLel17tmXcdUehb9wjp
optJIX6obC27qbKhb/CiLJAqAAB1i021nQ7WqrD9pDWFfcfpkNGge9HJsrh/3GJXQY3lThk/udOX
jD5kYFrmlMXFGYifGtE2DGQ32sBf1oRPsjZaEaLtD1oAknW5bGokLDiAL6LWNqzVdpVVbJKMaTO7
/l7FV452Pxrl/ULcq8Gax6qBF3gzzoAeJgT4aWFcSYeZUk1yvWMcWDYFdfOCCu+oqTpchs9acUJz
x0BqNK8qyjXDOqT+89APH4c+hRY/A9GoJvdodc8kFUCcRWcylHsTDnveZkx65d3CFMdNrjNuH0x8
oWfPoAujK1uBaidjyY+y82zjVhuKK9N0d1NrHhzUwzgKul2dePNOYwOJ/21jOLQXClGi1VwG5eww
PUyIETyLfzMbqdiJN6tLpD8fHc+/QkMbugVr8sxG8Y+8IR52LFkwrpSHph1DmbX8ePhnfDIv6/G+
bGw0xwyLNPPQd04eLOOArQXwTtJs9BrA7w1R5+cCjUEce+GIuE4I/6qyeDMHbysShIfxQ0pYl9Zc
o+nZsQV6GyjhLetzPZWf2vYLEjcE1TXaaP+mxTPnz7dxUxw8AN+55+7Y9YYyavtronGqh7iLPkk3
1y4IfK2NixFcqxJu3AURVyh5tIwu8m/REZVfpFlHcVBV/NCYzSYKCUj23rJPvDMWWb75ZkzdZdrr
S0MuG6IRdXRH68HVe+PJSY3hiEK7fyWOD5qW6cs9mjaUCGi65XNepQWwfTMKEPNSzEKFRrUQobF7
4Bbud7rTupuOYGaUIiNScT6FM73ZzZwdCjvvaT3qQV7UUMVnBlM3dtM6d80yuPedkde77+/pfy7J
x7l6/9//6+1rHhebmFon/tL9dL3x+K8Ls7+/JK+5Gtfkqr/+ul+HQvYHg/0XtmFmRaSdOAzlfh0K
md/HRSt+jWeP/dUP16LD5AcvhOevUBooTOg8fxsK2R90LjNKPW5bm7/S/Sf3ItGJfzyFPQ5h02QN
xaQJd7Rr/DQUAmluiIFV3HGOTZTk7pt0CcqLYbJeK2uOznHW2wDr8qeySp2NDV95X4spe5ss270k
HklWU+vtExsyDztZWly6cqvwniTwh03W+ExU+hViMkPKHVNruBsYCAejYaLnr/rsoVUQGRK/aQ6e
sl5ZQYZG61zmlhPBs1nqAIAFsRbd9TA1HDSuW0EmHgqW6GlSkbdD9pEFbm6fc9Li39yYePUh9bdt
iTOA4PvlkuULt8bY5UGGEw0lJrZEzRt3YztUnELebrE8RM1I3c1NnVMdTLq7onI1lr/jXa0sRi7+
V+7JYKxyIltZfLbGPea1U9lUMkQiG8KX/Wbr8XSlqSjBYJl6y95QzUPMz/amjHOqgEWr9syFnyZS
zh1tPPc2P0y/q8xzMvMtx2Z6bRXQHzVkckVVX0y7b0NPlPk+nkjuNublOnpuOXOCtiaFgICsK0tX
GYu0DlHevEGGuM3QRNe5VYe6V3zrLEzavoMb09Q3k+dABE4ea18eVUXH2LiIEYHbBnA/2AcuyUGb
+zvNsAd8eO301MeLfTTdfFv1xrQhSxk5BzLWya3lIS+lesBFeK/MgXg+ejHZWtlummYPakNu3dhs
4oOMXQ0x8LgE8GESq9Rh88LHZR8NlLePZl7em2ltKeZwVr9JcjU/iCxakO21XbXHoClvJueCYPYJ
CDa8ysQpbsdG00JoexcprBuVTBvUtx9lNrNpqdii9FRyydicZdMeNdD0gj55lKCdkVzO9hzzq2qv
m6b7lhYPLGArWkPfPNhulYUzkzuE31vi2UOBhyyofVMLo4lok8qor+dBnEnRpmiAJuR5HjbS+Ti1
4inKnw2EeKR44H+enPXfTo610IImq8QTBPQ45O62sRog2d0Vqmi5kkZ9X6O5Lmz9zULPdVp0/xu7
oouZLoEl8is3qm/NzkMfnWyQ/d03i9JfBwRhAsxivLWIK3rwHUAiEZkBgTG7NtO+RrtBzmbfIiXD
3OEj9C/wDLOyrvsT2P64C9vZdm6z2qyuSOyeT4nVeNwotcJRWcgTFG3vWOhNfySsKvuYmGCU0Sq3
8VkZShxVIpvD7DbysXVZW/Ootke25PMraz54h/VY3iqH3GvXLbJP9JHE0uOpgduYpoxdCueknNI/
4b9zuNvGcdfpOqI6bZku+WDlj0sXT49gzPurBHnkU04BtKsH9ARBU/nNW8dMaVPragDh7dsXeNfV
mepgvMPMYF7b+tJfdXC9X/Uk65ntoXsG3O6cMGGkx0b59s3SlOrdtCZuzpb0rq+4LBnxliwtLyw7
40tS+ePZjrLulEWezkRkGMSt503ifjSH+hr6u37O01I9MXvwL7WPTIVHxT2b2ijO1Apdy5IJ+yfg
Z3evZ0Z2TX8gN6rDw5dkShT/QzFvfh/V/+5SY1EA5IsFA7cAqbQ+fcYfe4yUSWNptgsSKSmz68pq
yuGYtEN7Xa/qwT6CvFnp4xjMBgppfUyXzYjUla0rMhur65+codV2mTmz/HKT1bzQ6iVg5VjsyFVp
Q0SUEjl1D2gOPpx96xQiOXUivyYNF+ZB7S+3zLjp6SMvu8yEBGA3Uk82sjK0br59AI6Xhwz/7UDN
9mPTKBX0/ZjfOL0E/zLOffRYjaOhkWY3o6Vv3aUuNqrgLw4YfjC7c9CiYg6GIRC2cTRMe5ETgkH+
q1W+Ioyu4w0VULm1F714gjLuvQILvCLPlZwPA3q0q4FY74pwNp1NVcyY1TqXKkBk+EpzovZMaR3m
HC9N35v31dSdVdU8RKT3YG8XHTsQG/NTPOH1imLCewg8NeGBh+6YzKGu8lO7WMMpasqzG/P6x/GM
AAop+1jE0Mf6hlqccXpQj478ogZ7RII9WjsNrSL0TVKGS/afnDF6tnNVmtxXiyM3VS/z634Z3dU2
x6O0MOQOFmLFzpjtCNntk/YMes+/9LZQT0pI4yxjp75OaX3vS90RtyoFchOCaepO/K6nM+LF+DIK
1FKMZHjemTe1X11ZDFZAW6/egTMU4dRE065Z35R5fWe89e0x1veoX9+orPVQ9EaTeZ0ia72r6rg+
W6LgflbtgFqJqxIAXgvYIkfaSNGPlHZ9g/31XRbrWx25afGItXe64AWVx2owRyZUnAP4tf3TvIzO
qbLKNBzqYn0Oau8BzVr2KV5Pk2U9V5b1hLHWs8ZeT51uPX+W9SSK1zPJ1ypxTD0dbpR0OLImvP8f
G2/pj0lKDnDVjfKUdb0Kh87x3pLMmE9VpLEtQSRzq3Ji31YqXn+iAHG+MIRW+wlP+I7K2rnlv9Zu
+lo6oV7COopjGDvhzLanAEPbkDDTLj4VSsrEod15fooWE750MiKkAEq3IQ3JyUNdms0Mb0blw3Xh
Jl4o7NrGus20d9kY/mT7B1xHmJ8KBmLVR5aUDX2ZnVYd3BAz7Q6lbAZ5NmgbmJq2qOyCvvOGHmNb
QVRKU8dQzYTUQJF4Ss1y489TLYmOsRfua8QIAqfKOliriqTce3Vn3pjaYFw8Odl3k+bqu8w3222D
Hf6+XRo7xS4Z5WJPvlKWbbVGR9gQsYLC9FOxgoKZQW/oI8kJGndR2rbPMyogxsJ9Frocmy9LBps8
pDnXOVvmJPF5xPRaPzdmZ9ynbNtrwmPu3GjGkZok41a0c4U/qDi00GxRa3RP3XB2FnBIMhIX1/Or
i0VIB42ZFqFqNFEGN3EUEjmBCiRCjkQG1rTJy2oMTMtlcTcknzDfj7s5Gb/ohVmHXmNiVZyN20jU
4zWBVkaI2vpz7H7GJuZfzQbrK8edDcYEXANmCWmdrOK9q8o7ZhH3Scm2Ysq8Wz2CbqZy1yF6HA1W
X1vuqXMm54DWB65hbF6RQnaPIYA7L9bNs8b9vxVL9SVrS239HSHPnivigtR4y3X+tOhV/M1Gbn9s
+2UIxqxcTigDmU9g43rWPTFvEr2ev/kl1t8QkH9lhm3TiQSsTEzm93/6vO8u+X+vz4O78fd93uVd
Ym5/m9/+otHjC/97++/a9GoO7nU6uu9U2F8aPc//wJQLOhNFlPvrn/w2/3Q+MJjEcg62mABrx/9h
AGp/ACvIqciunmXGSnb5zeX/6xQSQMDfp4SaPxN9uCrW4R8Zyp7FX2Yxnv1xAMg6o8Nf7TqHxm8s
eTDqFB0U1LWpYfkfq69TmmVXPM9TdWRi1z9Y+uzJrTPqybLDYmc+1QldYtE5hEJVToqNII812DH2
2E31PteU+eS3uKujcRTIxjX0W6ZdsAxwQf31JNFZiX9oy9KD5Th7dXUWWonuFKBkaNtSSZwPSGla
mzBcWH9ZF/a9rj1iWK9PXu/2L6D3MqLdPH+riywN68K7F9AJsdCJa8J2hwB/Zw3tsx2aLzWeKKSI
7NFqjj8pzyIhX4baRF/OtmorAsQsahLIChCBliw/uH2T39RGbBwi2yM8yl7MwwzH9YCMc4UrzhN2
7Gx27kZl+o9eCWB01NPxUhHZFyZzPgSmbwo0yHlFK+kjZlUOayDGpoQ5e2N/H5VT5QZ1W97r3FlM
uqp4JkmN0bc4G5xA7F+Lcbirhwy3hSzY757ruEvGfeQNA+jnMZOo2op6kptWj1avl8bSLMDL1TGB
02fkStmAF/Bugew83zTSc4o7HY8ifl1RR80hTbQmovvz9OXYiw6FYDSMPhLnJNKHbd+j1t2ZxLG+
EPVV23dYETqDXSPtDutkMBu0T0Y6B+bSDv0uctph73ZCfRVlJd0wr3J/XzS9/myD922gqUi5Ihq/
+Wjgem2sb43CM85lM1eUUkIjmtMbXpCWTwEu7FsIQU7AzdLh7ZlyWqFm3ORzHd9ReVGRCqJsSlCL
UI9tFP6tVbRfzXxwD6WhqXgfD0usb7JS1BvsmN4jdzC2xNllAbvJ4857INpnPpNoCGMItd46DMoe
OrK8NszlkIGznN6DJiqvhMsmE8Ks3IrYu6KMWxXE+vIY4Y7ZDXVpXyF+ZOubaHvsP+JGen2Ylm37
MFskdimmdjea1CNSVkaZo0Cj3bCyhlinslRuHtRIPuW+ZGV3Zq7jYVhmBjKzij43taVjIU+s+JGn
tT+VzIpgWBosVOFdxclxlulYkXLZbxhAOEFWyf4ohzG98b1oeO343UaBLCO9DTHZoG6Zx2kCHquN
KDmbVdKfu89THOd39VzuS2wj29oXyzMiyPirbWiETHtu9ZD3suXa6xN+7sm8dxLMk66PGCHTlv5S
dfN72fdVHlSzkW+9KeoOJJIkOwd4TPqCtNN5GMsZa7uuUvdTNeP72orcsY6rmYP5wNSjv2HH6mhG
v7WHut+Juqn3uPHHsJlsJKC6yV55SnBxNzI7ZL52JRApcsLk08WxRf8SiZZ1bSuzW+mb9VVbJcVV
PSv/Zh3WvlnjQNDyf67Ff/9aXEMj/v5aDBWzz5jtoPrzvbh+5a97QecDEcgMHolCBzzlrNq3X+5F
1/mAFI7FEKHs0NJWudyv16IpPrjkqUKC4cpatXS/zz/5I8dzuUkdtuK0NSAtf7oG/9W1qK+33u+N
9DqUpZUWK5NzvR/JvfnpVlSOm4t8fdrHpn7KwWS+1C7QE8/gvkQS20yvGPs/R6nevFNIFp/GFanh
DEr1W6sdy607lM3WpTF7afShvBrySm50L86+2pnsP/7nYfwHDyO/m79/GDdv+VvxfWGNRe4vnke+
+Nfncd1Gk0WzIvpYQf5Qp7niA/XZDytsnrrf6jQeSJPpOFkgBDCQ48Jf99tAnhU2FmCeVfa+AAVg
MvyDB9JfNbo/PpAwSk0LkSj/w2lg/0mk2WiQygvdIpUj/ta7zrXb2PvK8R+TiLtTJGBoZmbqA+I0
HJWEeDuvdMP73v+kRlaKuiZPqHKe097Zg+rf6aT5JmfY9FfdaINLy2irhguRXs+1gfeqk7tqsffJ
0qCwC0vFYi2rTnoTOr23A6ewTYhZyZLmgGHqmDrmndPY17Zj7sfaurMiHdBzsOb2TFLt5soH9l4/
eFr1sEwkRVH7WaoMUxgSWfd5yR5mCQ8lxzk/OTvXGi9u5WE5y896ZV0X1vRcmcCAu+KWs35bzfM+
yx2SGzvgZ9HjQvoa4jDrsXXkoRmTmzyyUOkrP2c32RyWiPlsIrO7TroHs2rx+NnDp67xH7FdvyQW
PzLGxgS6Okf8AVsMFF9wTtCM5meL6/CHJ++vJADrqfGnX+LqGcFRpfPUrEuXH5S2M6DOVgnNIkeq
3uBh/g7rlmN9Y8/zjdtAI1cKDeTibjUy8QZ+M//6A1g/Ffvf9Q4CSjv7Js44EmD++AEYpFGjGnG0
JSFxqdgTen2zmwQjimG2Mf8o48aKUmffR8ttUi/PQxGbZxQa2jF3WDK4wfuMk3a3oAcgytSMd64e
5duoXM5T1hzw9dPjelI7CvR3+cL+HGNpvtnjasNo0KD6JbVoO5IdQnKpQ/0T2YfIN0/1xGoAtgjd
c2t8mbF6BnCY7noR75eWASrv3kezNk7ocC9e0p8KXOBXZV3J0z8/SP89Wc/f/lf/N8rYOTLIYBA8
DH9/TuLHeuu6uP3Ttf37F/9yTnrWB2tV36wHEpek+H1x6YkP0EbJyQbKzzn6faX52zlpfdAFh+sq
tPnuLeSz/HpO6u4Hms41TsnCqu+66I/+wTlJOfDTO+ZghOW+9g3PWEmrP8tHgJqSsZsMJKJbpTJ2
k942MLASA/WZDwMsMCv8slvosrRJg4zY/blu1S8bazImLcDVBFec9eu5oJELyh68T9BHgKZQ+WUP
aTxqj/a605dTuSYfFurU5K6Qu8Z28z1efn/rmhzIbdGqrwj4FhYpnFAKJjRZKNEEMwXyM2aZCIL8
SeqFBTvAcNAk89DfOVOZg+haHmRvztiTD9A4ey8wBox5fdw0J+XRQ05cD8ZupuhOWUZJgE9uNmP7
LyA0XsP8QbTYZ4t4iOw4ezGnST6UBn4yRxjkhHqzvMwZ/G10rsPyWZa+/Wki0RR6AjaHEcIS4Trp
0U4M3OMNgUZhmehgxMCzFbdT26K8WdJkW5AiGRTGdJKiQ4WcKyKUzIbOEL15aPUQJyHY6Z9XRAi0
obKHPEZIc3qulZN+Hh0QLQgzMv+rLDX5ZNDyKEgFeJDAb2iGvpHGUGw6urqtb6ZWIMx4Qp4ljauE
XwAWBaAktKrDCWLd8xyz8tq4xgTdaGmLKcySQpThMtUFPtQlNdcgYffSO2PyFhdW/i6MCGl1M8yV
BsZgQHEr/Lk9495mX2O3qCvyfIGo7A+dnEKnwAREVw3VzXBGeSF4zb+acFm/qjZquzAHuixQMcdl
zfyclFDgQeqF9s2StLSGOpgt/44+m8WwSZvRI+Fd4olYDWcFtjjCBYF9wpU+sBDqvyKLHtXOhJN1
6GPN37u9y5rCkM4MVL+HSuSaHrwqjHvtUwer8BbXmHWOnL59VIUq3yQJB0ngAKfzT1x5JvItb6q+
1Lk9v7a+KvWNzdadkUHSVJ/0HspcsOhrtmWSFM0DwYv+rQULOdos1eifE9rY21zVuFO9QumEsxIl
fMcIYXpuLTiFaGmF9g7C2Eawq+vNi+Wm+WcHBOfem7jt0PP642NbFGYOMStnNt50iZoPrM0Rog6a
KrBZII0nWwuDAfMiIs3H8dl3xure7srlaDKp5b1N6wMzeA2rX+Uw3xUoITa1tKc6jISRfpa8XOuX
RtxjVpNl9UHE5KtvrcHxjoPNzD5DEsz83Mom8VHWs3hZO/YZy0e5rHsVfoEeVj+kVLNnM/yqyZpr
RTPqAZsHeVhaBYMpct6jzFheRzlt9ahkuzqaX8rBRx0m0qT5bLsTiDOs3dPrNCTFpu4VEiOtHR+R
s1dn5ZnRISVi86ogRRgDgOz4Yzem5waS9HFpXTwQssWtbxDoBGWjK69csThdgIIBWhPwGxzfJj45
1M4HyLV7PveyLVlZUylMRoCrs0FcBvN7Mdzo2TcQSRUdy0Koub4Tajp3Kzy7pqpD5hD1hlRvoqKs
JRZ6mI9TXm4NZM05I6o6fk/6Sj0trlInkeqp3LIgMLJAs4zxReNFIRoKpUYfpHXdv+ZmohpekU7T
gzReeLWX3K5v4WXm867oE0TB+VJB0dCqDiiNzcHCXKm/rut0xk1XlOWxy9v2pV319ezhvqYkCaP7
bjinhyxjS+ynqyS61yC5IJR8Ep2RwIAmiyrw1TR8tCLZnM1IqVedtSXTQDtftr2Bj4EHluE7xMRc
oOGrF/dLW3jZQVLmiTq2YBUWNGdcJSw4JJyJr5YmWRZoTc/6sejG8RL3vWQZZMvZZsIGRSvUoJyr
0BoTqGF8n4576P1MeUGbSN3cpMJv32erRTc2Tm4A1oFbxiIYtMmb+ipy4oIhKK0jUSBgiDf5mKXd
Hv5jqw4lYV07K3Y6cciXgnVrgiI6xtPq2MjYepCFfPfCajc8mvW3icg1dmmlsdFbWBEBRmwOJz8r
HgqN1w3ucDxtsrGuX2O3hWmNSty766rGeGYEBrXDqVPjLFRpPEHxqF+g+ntXXpJJBlluB5DNq6R5
UwHYvnHYPj3VMxs7jg2Hx8dth8ykrtfTfNPGw2V2O2cdolnymbmsyDdT6erfRE0s34lPqExMPDao
NuXN3msHSw3pW2a0F95bOz9EloHwrxlt55GzqTkPuZ9cj1Fp7BCJkioT4c0gD6pZIIhosabCbMn0
nVaXMSKZyP04J2IMMsw4N2nii5AxJQnwYxnfUn8XoVp0nVLWKdnWqfq5lyJ9qnyz2uhz/1oJ13zs
gBrcpuTybPo0MQ+1nYtHcC3au5EQ+BAY0iDF3CzNI84DHAfgcaLHXEj31i3jx7IU2m1UzoSzzgVx
iYNK0lstMcBKW1XZhyOCUkSmPkkI21gUJHB1/NgIB3eTVUWbISbgScjM6g1cbIRAoZfsjN2U/fZS
jnAM8XFhBAabk43Ll0zpMbKcmrzfoi/VTelk7TmvBndbjU78Ke6ABVVy2U+9P+2jmI2k6+TxW9TP
2BW8Mb33wGbvMUYsB3tQxa7G5+dAEDO0X6LL5l6ZzKjB2TUX187zT5ka0Ot4ujEhusxSNtNgBlbU
XcXh0pqedUT42j3WC0rMQmsUWljRbLvVEpKT4RkHaYmMS7SWubc4gEKCeYZHm6vlztIyU5KeMaZR
oFIMDKUY27cFcNHFa/Hs4Stp1XEoI3UtxWA8CKuvbrHGJTjPJYtvTFRA2GxFCmFmpfoeE7yxT7zJ
u4buIDsSoiMB/kao7OIkQLphlkWvPdSW+44p0remzkyXW5lSgva2wruh1+uOTZ8brQpt2RfZbTwR
xBPYCFq4v3OWfE3bxeACrXL+aCywrbHqVrdphdeesCW3hnrb6uabM1A0b7pEqmfHalWzG2m6NHIs
cKpZMlk2LXFI0d5k9luEMK3m8eiTmVViWEycjwPhRU9FHg/3pGPW+y7N9ZvRUAY4QLvtoqDXOB7A
3Mu9k2fdKxya8q5BS+WjOe5JEKpFfXJUyru6yDw5u7M5nxtm6OBf0SrcUcCOoCb8Qb0oMlkRuI0D
vi0rVeajSKb6o2kk1a3fYsRGuLRce70jh4Bry5o2dg0blJyAeMkxyrtfS8ti6ksaz3ytDVFx5VeF
2JNKjVqqGTsNO4jrfFkWr9OJC7Hmt051CLJY7Ghba66Gz4mBP37HmnkNIFf+IUHmcDeknd7/8l2y
SCVgHBk14Bf30USrH4ww1z/ycmKzq+OiuvVWG6eq8yc7ze4zlePVz2R79nOFztgkSZfkgAHRRw7m
LAQu0W0K0+AXH0WO/7HSMaAEUTVKulYLpnhAy24+J05Un32CCu79snTuBwgEF5qX7NzKOXvRMKIl
oQNv+Us6L2qPA9WGN0+G0DVyumEAzddNn7x4FvNVOZnDjIRbH9IrVRg6Ml8p50OHFP9LlElAqYVA
plgAuiK4pIKlGBiN518XtcQYxc31rumt8y5l1PTbIUlZ3fcLc4uNQ1IuSXWDGRt7o/TjJ/Btxg7w
cPKyaNpyD4QHbilUFp+7TQ3POryBe1bZ2TVApOV2ic3u3fx++TZRsgaZLHA3Rxndz2puP0+l115c
kFqPDUw+vZbSCdApOG8K/hnEP8tTyC0jQidCw8HkCtHLvIHFOG7IkZEqUPGMl6jNbL8PRGGl6aHv
k9X2XrccGnWJ8SnrDftFSL1GBVp3bROIuBmDWojqi6XV3QEaS3zBwVjexflYf2wwNn1ta0QRWZHq
z4MukAlMLN+O/tC33U4fQWqEOcCco+Zbi3YkM1AcDBfbRNqYkJvsWXWfFE1yFkxN159jZebVPnW8
jlhQvU3OtARwgZrROFSTqFPSOiFX6LaiDp0H/MKqL6pqY1arfzbBikiGhqvxqyMK4irPE5TeAzrO
bGNEenkLnXE59MioqG7MPtnbok0Onl1AIR013biXPJmHUXeKz1655J/WLrvjX4A6vektU3sQfdPf
5pnefMQ9Ox9T3cwpVbnwQ9zMS1ghoOJPBkGJoRnlqRVzdS59iS0SHUQZhWVWJm95mTXqYHSxvMG2
x7eQpliYeR+S5K73828N3AOT1yXfk12egB6Dax7MYJHDZrHtk1STDhcNM+Qj6RP+/WQky9byFsNC
od476SlhJ9kjljPbqzbG0bFxFstarY1OdWg7qCaDXcQaralicZMZcW4fmq7lV0MZL3IfdKk9Mn3k
RnqLWTk7YRFHbRTgLCdxoIDqa61CuWhA9UKywjJ2ybrEddQK1QPRGIjU2WK1VafWwI7cpMPyNfd0
Z7dMU96tZWRebd1eNV6Iiik++il12STT8iKb7w53oszuat0VT7m99hQswTNsdtziofD05sbqkWrk
8IcP6KCLwwDj8Fj0s6rBPOfTM6NaQ+yB3ZRHDS46E0UvxsPhLNmlgNdtHM2mQWjq9lNHAeiO7GH/
+ajq/0uT2q/zKBY2fz/Meuq6t+YtXfdQfxj5//61v86y9A/CMjx0k+S0sDNa56G/7qDcD7ZLCgC2
NXZRP66g9A8WA39U8RYoDZ/Qy/+eZBneB/5gjRL7ruZYv+ofTLLAdv00ydIJ7dIJTGU6wYCMidsf
h7UqmqsGyYWxl4mdQyLGmbWgEyuRR0au/dbOkXGnzxTTdZWKECQTsw+Rzg6Fs8WhONruePYJSsdU
T4UcJdBfVfXUL8WmGOD8u6QFbpTDAN+lBP6s4r47iiQ2ma13ksxfn6hfhPGevRw1wqTT0IMEdE+P
be6Krl5uDMbp0NpBpCWghMuA1YAKEqefkOKPB2BGzbtkyBJ2VLM4j/IY3b+ve9ei6+OzZKS7nY3k
v9g7s+XGkTRLv0o/wKAMcGyOy+EukpKofbmBKRZh3x1wAE8/H5RV3ZlZmVnT02NjfTFxlxaRFAWC
jn855zuUs37f7AqBh9RRRbLtVCpPKVTPdRDP7bqx2KrHqR38SGHSwaKkecegFzr7aurNB58u5zar
vWa/OCI2hT0SSOIoPR8Ni5BEerFuJ2a/FERzR1WyguHzkZMySERllKf7QjZU4dEwZXodOwO2aLeX
dzpPQfI2NcBK6dTfTMKabpwMVMHsvavAvJ6rhDx6Jz+weyCsC+qiO93FBpECrtNfsEFdU2m0m9Hx
4TW3jLC9CBC+pKPfVYaX5wwFihqJyKjVJs5C71FBY0PFlw+hucHxQ1xSegK3TkayLJxNSAfB/KWS
/S4uJvYaKmjNYVX2ovqgppuup7YN34N0dGE5yvoydxaH+CwM7zEHInts06k7jJ5hXuOeA/pgKhsU
ulTEyIpl1OcVo38YusY/sJkcnga2BgDmIjeD9jsPJEEZ1pl1qXFVicb43tmK/JnMJU+bO61b9aX2
X3TuiVMJgRbwQozKz+OKwGcskh8J+9OtyV15YPiETL5y43JvVm75PmCOvvWJ1lnlQAW+tXX1puTk
v5GB4+8pjbP7gtrtQivhPUP6ycFMxuYZLbB/RocaIfz24g0QqTMSmug8mGO5axvbOAQmqbAwD8Qd
D2hagBGjRU2Byx3tZt0iDuxvGGZl1/noMCnNMzGuLb+wzhNycJC3pN4/K5+Ke90FaPCqJpkeIL6O
V4XurAtFXO8AiK6HD9uV+siyxEEa2aXYS2b1rotQn0N69wNmU/uxM6URs/OoNOrKtH3PKS3bdZbO
XbMmps1tbgIzw7gXatKfN8Q1Es+bZQZ0ew1SJdQkmJJMOqJ4NvgxJIfoy+B5xbNTQQpddQYfRZON
OK+7iLRHAhHsCgQo4iYbhsTRTzFNG4kpbzkuEIJmiUhu0pjGRYJcvmg1q/MAD+bCk57RnPDd6QHY
kXV0MtXR0jRW9R14TXRrqilm+mmlYje0TbdNRt/Ea2P5xgknPNkX2tKVxQ8t01uBj/86HObs0rUa
EEw4lluVWznLb2c8+L6GnqkMXd/JWoe30kezHxfMU4Za0Wx38B52mBapCPHkJ2eRhmLnV5N3tuJu
PJmtivfYg9W5NGt9HTNlfXdrOmPqNSqRtZieaqTgUI0p/h+ttgAlJWai0TVqLZQ97YNbMohKHKbL
CQGHe4xBfLcmXWQ3YZTrO0Dj4x2bMI3LqGrVugb6SmcPi8VXB6MxW7gkQ4zrIzSJHYPwpXyjuVhe
UFwS13efG6huzyB7qp/aphFf4R9EOjZL48GfenE7dMJ9tsLGcNcW2UwnUCtEJyk/PaHP45YubfsT
chYx2Zaun93KtDYGaL7nJIZjl9lZr1aQeuetbU3EVqJCxR6bxTuzi/V6mKNu3TgtDbKB6v3B8Ytw
F8dSEcUg9XRVZaV9jopk3k+F5+7JZJHsktt5E1mpdZWCx3+lgycRtBP9fRO04YX/DBeptP+aaKvY
F1Eb71DkNjfCwzeJwar8xuRn2DmWKN4xPAXvgSyKS+8NyZ5dCr3YzOIgQzi9LYbWZtBg+OKKSo2k
r4akw7WbZzHx3Xl/ZATTYJKV7ZUzWwBk8XCu4Yt8F+0omcB3xzpGEuTzVCvC6r2252ZEcu3fRw34
zmKcrkAORo9Nmg8/CabVG6+1x71qdYkJrBeNtfWmmU7RJHAjRu6H1cSYbC9aq9auz7VvqPXswJVo
e3IDcon8jLlyeXAJP0PN6K4c+7Wd2qPLSP7aqoZDEUl2zEl0zViqPXBUb62JZr5IcXSjcWcC0rIr
Byta1lusRQkkXWJY82Nmq85kDIbrLCauGFRb3BNzqdL8CnnV8rtYUbltR1T5cdu+s07jZO4rH7Gy
tkdG9Sbe3babJ/oEMW9Fo91dGRTDvW3gntuiBQ4OYCHwGeDpo5ofg5WGFDEzoMjJPb8wiKm/1b2d
sXUFys8yqDiONZcHL4TLUKuwuWNr5xoppL2ZmBIyWyynk6XFXtnzfPCGcWaZK/JXutMfVO28bPgR
j3530AUSAlkaB1URruhE68atYCZbTrUeHcO+J+GxPzppZT44ONvkqjXS8TYmkp5MHunCinNj09mw
WbCA5BC0RKaL8TmGrXe0oO888/1ozr6s+4M9L7vlqK9+FKoYDlLU/lGJekaORIgkyUiXRZSzuPrm
bTQU4QMfQME1FRKpXYa7SQrCFJyuiW+sCD0+/9Bm7j5a+9qcqwvwY/PcoYl71SB9tkMc1eRtGsNQ
7zQBwwfhKUZ2AaCDz8KwbdDbBkSkLHNQvtstht9I6mSL1c5z9rAD46vSgQtIMACIwHh0hkOJ4M1k
iFx6OUylsrqnvkjK6zwii2xjFDB6YNLZ6/jK7JBZbkTTpPo2GMf2iIIyx9VuJz8LTpxpBStIr/OR
SPPO9pInmz50m1LuguywLBxZA+47gYWa//btQ0E65s5OBYyUKkGSCiN13UgBja9ICO30Wbkwjbtd
ki9K1Oj8wO6qrcZq04MgWUlzpCmmtKCBz6I1nu7xh07G8VPX4gf9X/sOQfzDqweTiZkTVbeBEXmk
ZPXqMPtJsi4rW599u8VDV5vDaXZEC2OeMaHfxWQ55TyeOrO3j3YjH8WssdIIiOACS+YmbMtuE3dQ
b/O6izZu7pa7uOuTU1qW+lZZobEP4QQj3SzUHnqfB5UAK4rHcPgHqxxoCi1CmDKebT6GvnhM3Arg
ny2ji1nE476bB7UzUrw1WBu8h8hfdgklj851KuZ04zoqxxA6BNGRVPVh1/kMGVocj98slsxbRC3h
pUiYz5i68tctRxR2jNS96QlbWRt5CBSmge4Z5jZ+CC3LgPFIMrrbOcfK4BJRU61Fov1tHJrxLlU+
Md99ptFbBJVz8mU7gAEbnUMxwu0MVRBv29oEUmWI8OBOTrbPJm1B1I8qLImdDYN50FdJHlYXX+cM
PnqPTSYSFyN5dZNWHRqd1fcm2SubUTAZcJLSX0l/dp550NFxe62kO0g8sXWIDDhCf5cHP1TYfgA1
fsoyk9de5+ZPA3mRUFpKc9tgbz7MmeNeBc3k7NDYmgQ/1cDEszDgUTOBeKEasHFZleO5M9Ud05Ad
dSreSR/eIgCqF4PAP9RN8c0wGW94ouKVHVVYPEs0Ip5sgZ9XNC215y8p0eZ4rMEZbNsQs+lqdECh
9su2hSaelCJuDCZqhcr1vZmxUTCd2d1MkQr5DVjHQJIKj7/qLP9A1APw/V/0ab8T1RigilJtEo7C
no8dme1mGwPEI0timeyES1QqnB/jCQrv+CgtK3id5FDfiniOTnISzVuY6JRdJQU++CIR7eN+qh9H
O5h3pksIAtFE7IlIYb8QqCVivrSJyChoF6pT4FBKQPFNXh0obgZFTUnWiFDlnqXAEkGVkcuQGN8j
r4o2tkEIgJECtgZz9Nw3HaQkVbtkwgXWq+h7bCsWTI+0IdsSiyFfWpLrb5ycEFXgRq27KRo545z0
/Xcq9WjvigHweKo/qsG99AprABXKasog9GFTnDbuHE93Q18SAJHNZyjF8IcJQo7Z3xLpQFcaw5XI
iSXh2I5a94dQDSMoA+gmD/eConA7GFb1MosiF5s6kaDH29gbziGRO1cxm3ubVYDw7oiUHW474J0L
IdoKMaFl4qeLeOhHHc7DpnYMfwv3TdxXc4YOCdgGQWIesvxqGrwTtkfj4ApIWF06Vw24aVzOwAfN
8efQja9dPDcsMd1k57RFvnPHJt+Rks7Gn6XByiaVA2eDCzC+QRnvk+HFmqqvhm6LpyC5nbOSJzSz
32NI/3pJQJkRszAOyT1f9OBqDEZ9JSoHTxuLCqgZU/dZx4pSsNB6fIwLTdp1T71AzEtT9v5awnk/
i6XOHr5K7vyr/BZLJc5TmKI8rYl+4UKKnUkvT0qYjuNbe6nkMY1xNsmlvre+Kn1Qfkxfl/pfG1Kd
g6UnyJbuIF/6hD4fBISmiFiiLiWmq66CjkQHGoz2q9dAo88H1C4tiP3VjfRLY8IsTV+Kr24F6u7I
aDHmYe1psZbxkvBq942xjWKEbsFXyyO/2h/Lb8v6oBp/xJTlWcexdZHYO3XKB55x4+LgIMXNtfwP
NgxiFRAARUjKoC4OurH9JKECcIjRb83N/FDja9vkRn1viCQ51AYXzIa8c49C3iHAg0rZmDqUPhWl
8NGHoH0aYpo0pw2VB9WwJ+RKUoZhm1OEJUWm9YLvwV33CJIvgQRB2/AZTCtzaRkJQhrXoILoI1EA
ZNdxppgU0GQSMUKs81fn6X11ocHSkNYI2ffN0qT2S7uKZB83Bx1svbSyABX42Jf2lje5NLq0vO3S
/IL6HxalEdu7pTV2jUi+lU7zNrKk+eYtDXS/tNKE95bv5dJey69OG8b5dIiX9jtYGvHpqyfPl/a8
WBp1DCXiBG7efxmXNl59dfSY8UIQN7T589LwpxzSRYjfVGF+L8CVLJOBbBkS9Mu4wF0GB0L1weav
T9QvHu2vZZKWI0jztDxGqBZQUvn78OMA0Q/ZIcZ+UtI5lkxvlQglIWpGsBVLvALKL/diOovgAI8S
oUhJ7+4H4VtvHW5HYoMqP/oxDb0+kmc1nQxpdRfJNO+VwqB6tmV97pOSQFmT9AiKJ33fktwCBduo
Mz7T1F4s/WTeQJLsaAVUyhraiwz/2EksOFs18a7sQAxUVuFcfpCrlJPEorwYU81ykGVfZxqYUc63
+eusc77OvXg5AoPlMPzrC/Zl6/7NBfuaFFJMi2XM5bu/05UGBIhMDqCFPfqgh/nVfm0+jNfmXt90
d5Ahylsjv/nrn+gsH8HvfqJlQsxa+F0clf7vfqJmwMJwPAn3SGzCbzkOVIWjKp1usjGZBQHjBAi2
U4NLwwI9+c1yZwLMkJZ+4kMa7dU0JeGuTDXqO+FTUW/n0OYZLki0MPdEfhkv8B68R4/M9gy8R6UJ
93V8mUGomtrD2FTNGbhBdvTKebyikuF8Ypyywql734+z3GN5ihg2FOkOXHWzmzqNW6xy53dEYOFV
p8P8amhcuVdTbjwViW7PSKGyO7Zc0UnkPeEXzOzrhzjwZuwjSQpzVo9E6oxJ+wxvdjm/CpG/fF3U
/2dInf/G0tO/tFEe44/2T2f1/+6jlP7fAleiEf0nv4i0AeaYGAVt+7d2EQFjR/qS/8FBioCDnsrs
H+p8628B3xXU+T7+YRcW4n9mVu/jLvnt98FD0g2jWWIZkfgHvgI1fqXsNgszJfRuAvZpOYytgcdX
JWeTxVi7690+YG4fei98Tc1807Vewrehy4CPQnKNrM2SH7hsopvhQZu471a+q9ydyo3iWo79st+M
1X2FloTFWIWBEX0T6oMJ2HlMDtCJN1Rs4E3ogw6QOV5PTCbHs1eZ7amGsZrcuoiYIMp6pEjQ76Y+
olXf7wQh3lV+D7XDnZBsTYSLkK9giy04zjLYk1w82ytStxCroUph4UyIoDyYQekOh2wI0/uhd5tD
Q1uUkZBUvsK1G4N1D+P9B78c31jZhcvK2+4f/c5zIeEboPZWurDCvXZrP13jDUPqpsH37FzHG1DR
2o1f7ZJZk3LfjWFykyiL3UUWM6ffRH49m0cqNXLXQj0yBmBfF/qHFA6GeXBm+sFt2DoJZ6ynvXFN
rJ/xjvQ0wKWeT8m5ClmLNkwXzrCNHOItq8pPTqNAZbchjh4uRGH7rYdKs+1Qbg2hfI101b/lItMO
6w1V/RSwtz5jx4c4Q+kMLXVOpusRnjIORTfomlVPVABD5HrMDpYhNJGqxnCHoa/4bhexQUhuGkf5
FjKK8dqRjGRswsbrqr3TdN4Fzg4TF+FEOeKNjnnemqFm/ljZ+UC9oUzSYFlB1BWrdWl9erUZLKsE
K3+DCUF+Q29AICEscwZNi8WcEULNYgDPeoaLvA+N4GQldb2zaoSoou0WgZ5RX+KBCZatquY+TqV5
0+CENFbQXAu9yV1XbjO3qD/MTo03OOjtHqjLBF669rOjgRN06zlZjciuRpSW0NWs5qmc9sppql3l
WtMujrLxxSfN4NqMSmy+TOCfx7pKCDFK2R7ZMxgBaS4g8VDND1Y1jheADR0rHEQkmRXo29Ti1M8z
N0H72WTXvQXmqOe1WIcRLUnQabmHDSQZiJXmIp8UWz23YjsZCURuBmKLwjY8kg5dHUQRk6ltk0sB
KqN4bi30f5W0nzybJRA6d8gNQb1qhhOVBHc+G6sJWRqqqWBw7ask5jfVvSk3iUy6E95ZcxMy2nuq
oxIwSd+PR1uVi3puHtaN6bHx9aY2ADbtcP0zARHVgklzZ4tBbqaS6Rf3ur0nGsCvNzHF26fUjrrr
w1ps0t61Hgi4mJ8R2QIS8OXEkCltfPzEY10+53QUL4QP189ZpfpPttzps2+5V56WUNwzXjs16SrX
Xaa8C67M5q0RRXdXFo71oYOQjMVG+MGDSJhElXFOcmRa0OKsAs4UMg1TmxwEe2I0zPbxQ88p+ea1
0TlPQjTMDAao3K0eCtw9qX+L+817Tynpt3HhhuCj8ADf29JHo1onBPShQ/jhdyHzqqoxBVFMhjvd
pn6Jriww0/pTJI31vNwIj/bsz5+xr3W9kdrMn4gB8e+mYlyEdgSXjbEq2jWbDM3vydJ9k0MUfbPJ
jTH2PYmM7ibI8/AGrGF/nDgj7kPWNj+LOIM+w+ByeskI3CAehaP5YEPiA7tgh/Zn1lboamBoLeGQ
mfAesWmjdO7pAtdg0CNqw6j88IiK/iloZrHbSjj0ZuINgvUAEeywMMYzfbtC8zcn826sVbAhiYEe
HeAHal7aMjZi6BYoiHb0AYg9IO23R6a5Dbz2nJZnU1r9fMhRHzfMYuN+qVZzUEQZX5Lac4kelkp0
95HIm30CxbdaDUnfPaTMjLeeR/oqzZx3sr08vI9yx3ljZpYdS3MO3w3dPYBeGc9p1OORrc0pvQNq
khWHSmfJCvW7QIdoYxymagX+jSdaXFnI1c9eJtV13mQxElTwireZOwY3UAnowNLZ6LkQuTPfaa+L
9EEkSj0gockf4yFy30WKd3gYIv/EqtW8Y5ymjwmF5DkX7KWSrC9QYxFZu82yMbgtymk6DBVwHZoo
A7dGP5Rg2UydGEgJlWfs0FYk7hrbQAP5YxJPXtxVd1GTUqypwTsi7Ss+RmKOPhAV9ns8zLxnbdvt
D0sRQo02SDwOFrG9s1OSH93EEiJXW3+Pwkh/QPJkABHZLmytzGCbtZoH3R68KQHLk6gcUadVfoZd
1WZMqn0JJo5onYEubtoIt3OvWHFV51Rn9o48Mq7oZCfxytcuuPF5YlBB1X9HNoCBM8CURb1Lxozn
rSSn6CZA7b4kALiFtYr1oNnn5gwI4kKE97Ga+k97gOt4a2U9bXQlHRIlEbyxX0uclKFEMt21IMp4
srdde1dWfhGsO/p01Iqp76wzhqRnBF8ND6/By266bowgCxXVMXY7UgscpsE/fISN3QrrtTbXoW0n
J9BLOtgJMZhPnp8nzzyzAb2TgqHYpQTVQI9puKc8l/U+AFBBNhVeMDp4xKaySsHEZ6I3TnkSzuZV
MnTlo10S6bhC5ZWe5sYwnVNcTvZLVZveuEEUeZV0nlev3K7EJbvU6aryxf1oSnF0gjjbhZ1JlKOM
gONUs77MZccFCTh0V4av1ItLVtJnLIf5xdStt8+xVlx1s0TLM8vyPggb5+y3Nl3E5HXeixJtDMNa
wzFDgO+4IYuvmmlwHCc3edhkLxXeYlBKXLN9yMQFqWQX5Odg6uVbMGNCGRPvlZCcej952UiSn8Pt
HDkg9draeTRSYp9idJmA8BFHsJBFAvnE/qsvtzVwlj0bivytjEz9LDg6a+Ih2voUIPLdxmo2zVU2
i/Egxjw+eklFSOFkyGWY4+3D0Nglvc3kCmc9qQqJHt4nMZHfnGSOt0bLmr3JqS2/ZGTy0IamvLFR
8wrW5ObwM3S7YNuP6bqlMNqadQKJ3+4+yqSWB625/Xv6/5Ol5CNox3avg+HB8of6pYVTsB+cFgCD
P0hOrHRwzf1odBVnUx7lDwm3yUszmsCu2PkeMOcMxRa0YAI6NRjGI5L9IF1Xfa2iLcpL5zXo1PSt
9tk7wKhI2EvpHEY+jx9QrPgsaiIJyIxt12aUM+3lY55XY9i7Hcd2nb8ljae5iAEyy0nw+NyHi9J6
jskWT7/k18GixK4mw7h4iLOBI/mXaNFrJ1/SbTKo7Kve0aDPvqTd9aLyrhe9N6gE+5AuGvAUsNIu
Ii52nZMs9Kidq3CBGczAc+uic6+7wmQoYmpnS/gQa5LApOcu4+KqIHl47aNJvHRS1RvDs258khhu
QKKEcH5NfRcukvVsEa8jRkDHriyesSv9pW/3G+1vhkX03i/yd4v1yzlqCnYgRreI5AtMQ9ftTLG4
amlnnt0vQf38Ja4XU2mAtaNARN7eenJjL0r8hrOOJ9jk3tc+m6uN3VMl7qymzIdVaMgAivyi62cD
HNxo7CSXyF9k/xgdiF8fyPA9snxoXjvP8p4k9JGzR7YWQopy8J47r3LvOOzY2hTEtb3xBTZ39qRJ
62MphvlgsSH4iyGhzlxsIrxPsWHWIo+CX/wz8IYC6YuOfKbb1JtXpS4wOuRfpgdUM515qBcvhN0t
togir+2SU3OyjE3fsXlfRWj8EduxvsEGFkXYifuOOFm0A65AvegYH4bhdA8l6H1iJKjZNzVywNvZ
z/u3yvdI12xIZb3upc/CXBJx36UGJc7kDOat7Lz8rWOKoTCPQba57crYJPq0aXJ348YOTorACEPc
LMMI5cYsY7YuY82ek29EgJthEMFLCMU5XA1+iFonQ3fLzI1xe3U0cofAG8hzJv6L2XrpOqbde+WZ
8hRMTHxZOUXJU2XIYrojuQzkLxtT57OD/lHtaybM0y40FYwn9Diw8tkZdvGtsh1ajjyvcPPI2Jp5
6OWB5lk13fOd0SvXLrpxreKZWoPT/6Riouz7ojyNOM5fOJbce6/icZCkYXAqh0k9jOAbmeHn84ue
I58o9zgZgc7BlFm3sZmjtmi82fv/gsZfIqH+BWgK3EAA6cISwlkoAaQJogP8c2njHwP4/+1/lj/+
7U9RB3/4I35RQC50foaGSEUc1+WuseAO/F0BuVAPLOAF4PmZrnzxOf7h5oV6gPqR4wEDo3DYdf/H
XMVEUUkmESgFnG685H8qm8qyF43jr+eMv2APTB4ZKPBdtk78/a/mKg05HGmEshgx1FM/VdfBo7WL
dgyxW5Law7Vc/PzoX+7tJ9JDgh523FPXJNC9X8JRbZKQjPnBQRVZvAch/ssYUBuaNWPHZnU/1HIV
dsVVLL9NI2rjmnyqPnnp9Tvl7NaY2Oab84ONe1OL6dbGyWEbR8I6WiymB2R7g7iJfsRITEr3PDGN
KPV11fbr0Pskg2OdtRieqCAtDzMtgg9yt26GotxMGFjzeNoXXoZRc+yRRxAoY+xNL213JC1FPC7z
mzF+LwlH9kr9jYHLU6fMu6KZ2RJEvuQbPdXbjvmJU35X+a0nB4iVGCdYxtFTR7ihKBRaPPS+uGBZ
e4hynJR2uzMncVgqlgzXARaGsz2CE+rq+rbrKW6bqCUqx9guQY4ItlZjnaZsM6ufLr31umycNxMt
Jh/TdqiiLXrzVRrqndNlu4nYsJagndRrN3nWXduJuijPBpBqf8987zJWvFeeMe6qtgTAoYkjbt6J
gmxI6F9McRzKX4ArlKm8ahQnl6ggA75BvblyZHLTQJBPx+tffW3+YG9r/dPUfPnekeBp+hbMD589
w2/vLVSxHa5ddgrjXDy1ik2843SXcXAPMVUSka3NJve9o8rKfV7fsu3Yu5ZzwsbabyaTHUHRkeMU
hsGVl+Qgj0wqNL0j8R2TTmhf7KECbuQ+2I7LWi7tNg3FdVOezN7Zt3V5YjpiUd7h60TZON+5eXxA
C79treBG8RHinvx0Wvfezd4MLjM10Br29i5KM7Be8RpRCyvzBdPVnWUArh+hRtQaByZkl9Ztd4Pt
XCYzOHsOIiU8GsGIgCtWj2mNxdLyoCsdHevdc4FjzP2R4/zGrJjzGVXU4IcfiVTmrkQMv6sHIBHE
jTWoVQBsu4X8VqjpkOfmIdIL3NOA8pD183ke1VbK8GOq3V1FGFjBC65YwtJcWBMiHudFiOgmLR9F
2163GCA6Sz+W4/ucuuOpJj8dsKXlvzWhzRo8xmiT2tu4tsBNcYtoz9nRhB4aejpz5D0OxXQbwYtd
ybCi8Vd2f2owNtXe/P7Xt4lYNhm/OYG4SzDJ2kyhQBIFX9v/X51Ac2VKbNsl8TNV9jMiFSrk8oWt
9d60MaENLdvU9r4Js5u5H26jrr1K9XiT4BOzsq7ZsdRELRikm7Srryi1bmNBUGai7jsZgLZVFK7x
8Fm75b+4u5l9/+59w7BBOW5ygPOAsdAc/vbu7mqMwYNFJELjtz6dBhhKfIczsx+COFktktQQYlvd
Y7HY1Gh1DORUtKL9B9EfzJj2TZxPK9+YXWCi6M5rGM4nKxKw6RKweKnADQ9nPBkeOFj3dj5ekrR/
qA3raUZeDOjkB/7sh8LpGC5ItaniVq3QAfCDPVVtRyk5Ggfxafb0Y5FSBvscRJfpjEU4r/V9PAwX
hlmn2gujVeKVpBqEIMW84L3xZ2vFfvDRs/Jb0khZt7v1J96aeOva9aNWxidxyflaJt4nu9eHzktf
iznZt0PH+t76rHP6MLB9Qck7iJqrlj5txpWPF/WZ0fQesSRxfO03HRuw7yV7Yr2FZk/TBgM8XieZ
+1LWONHQeziMdwpXXaOuuXSKp0dt0kDI4GBYGAfjvn9JW/XE1Itz3Hmds+YpSsZbco3nzdAjOTTU
wU6bdROZB5eURDfWB5OGp1Tp99CsH/JYHXuBeRbRR5u6gOHkJSrNK5imF+0gDcvlQ2EJhruFt2GX
uQ1QzSf4R6PY3PHRn03i6JkqLHCCF3Rih8FHkOtjb2QcW51VOG+hf+/wDK9znyFP95rODwudJ0vk
Ju5PQZ1dpWX4QowEW3YybnE+YfxG+SOzeRsztkfyBjc9juHrepce/R4OwbeGoLoVDsLyIMDTrmcb
aVzq+eolLfy7Cu7tyoB+UzJZZd44oJtN4TI6qFbFZyIL2q3gxelyepTqByiZHWwOZOPEJpd8DUnF
qy6qyQ74L3dpVT8U2rvPovTkCLKsUHWsGqTn6K4s/n+1Cap+h3phE0ZdyZPpNRWaWKnxUPTEupBT
xeRLFU92XL5GnXseW/s5V7Jaud6rOzePY9GrLXf1VRP6n7OwT2Efe1uNwgjJenSaMP3ROE/TBqpi
vnWd+cxufIXV+BahTLv3W/PD6eZ8C1PjvrKnj6wBuYeG99XMwdVarKLXCakkraOehlkeBx9tqm0m
WyO7ytAJYxghc88a1yJOH/EBvvaiP5nj+K0Y2f4YJZLq3D4YmimKaV7IstwgS34uMLHKNmMZG9x7
vXEdZW+oIhge9esAL203JHeEQG4n7naH6eucwATgio1jQNlvo3VI9pVC5WM196HxbcjkZzCb7yOU
4UiMO6sPvqeEsCQFCd+R696Hwc+CCZkfbB3jppU3tXXj2rdlfw9C8NIaxaa3aXXse2LgVzg7noqx
Y67PSABZIhDQ1YAcW6Q/swSst2bb0L36waN2cbKN4KjzTwikG0u89dGDH6E4k+1KOncMxfGZkSLT
C24X4zo1sacl9SqezyYbJ3/CpMszKoExiKDZdYpt9oW8IBzcu7X0dxJfsCfbrwq2ijfxvc7Eqwwu
xaixq92Zi7eSs/KlCUW27iFDRsk3jZGk6D/HtAJqGXwbbTvfBUP3jcS0Q9JGB3rhHwO50us+iOn5
qoDMhYxQx0BvGNOsVFDJqzTGnIIyjDDDqHhOJpjro5icH0YrrJVE6VgB3NlpcL+gQR7jqPE3c2o9
BpnxVk3TS5XNj0ta5BwqAvcAy69t4iavIpXl2zKX5ZbE7X4z6PJ71c97OfsHxZ4a/zfTFISz1FXj
g+GQjtqapEDTxxZItxQDhd5qmaiHwMUViyfP/1YMwxHvw0859Y+ATup1k4pDmkKRrhj2EiJUZNvQ
X3QYgELSQT3m9kxpV2wp1M/giD8zk+gfax8p7+iwybOq9hpQJacv0uLGBcuq9igzxcZh8LzDGoz8
BqXTBpV+AvWlNdadEyi2Psa0+h/xHIrc7ynTaje4ZGLJDZU9E53iFYcdDMuK2WjUhfd2bB25NiRx
BxOuwRqIVOX7wHFKkgtNA88PkoWH/1sr+//CMv7vgoHNh/rYfmHw7vqf7XT/E+ys+neI4fK3lyop
1WP1f/aP/mFN++MX+nuc8S+9KzdMqZZ3EJGl9RtD3VJT/6ZX/XpLX+/3r14h/1CJ6n+Qs0OWMUMZ
6SG++eUPRTh8+ejvf+0HXxA9aTq2+fXnF4bVr67Qn12Dv/71frmYf/1vfvML/HkekGex+HeX8ut/
50L87nX+40KAwZKmuRCd/+kKUHVK0hHIn1z+8Nf8oP9OV8BkdgFN7r94AXBPkkKN7Bwj5tcfxiC/
vhP8v+GF/F/MXUtv2zAM/itBDzsWUeI6NYYWaDFg7dp0wRZgZ9YWauVZ2DGG7Nfvk2x5Ua08ZvqQ
q518pGk+JJoiUeNzJUo5oALjvOQQoGdpyVTZfbs2rKY57NeC6DLAxlL3PfUKIUQbtesIifJSBrot
+HkJQYQoNmVqggjQ/xXncgN8CvVpAoSAwi/MB6x8Rml6Z2QRowhn0IbIpLE8AlxjGA1C5Cb8YhCX
mPDSD2EVZ2oQGNMZlgrKMAic0Bah6GP37bqDa3QhHPXRCP8/IsIJKlLHV/TxWSQmsiqZ+wLwvh/Y
oNK8XwWUx+TmQiejnB/qQFvSlnXn21vHTRiXv3PThgBDp/p79YBN0g4t+1T24oOSGWUx5nsa0hWb
emrtzQXyyikGvk4ySmSeOrH/KtS1eTW3jZl5tfIfxM9zWloYLZmB0BkWLuy9Qk2hhdGwKMeFPXJh
Hyjb0ooskHmTOOYLr89GVkuKMUzCK2l0akV05ZL4RmgW2ftEy/fPvSfCsSrlSAj+NIIn5VJ5omyF
pencFVIZFdjY0NPFB+BATy7kAj/TPE8p+S3luwUz73aEoRj2gvczzkk6PqYk3fptCPgdaPv3RIF9
y6ixIuT8OniZkyIp4lRm2dYBD4dC2AvtxTIpVjN6tTiGaxw26YDrHzSjfIPmHw42PnJ1gP1TzefK
cVhIDOsYxFXBKS3VovdCSWGxtESqEMoFN/1QfK5liE91HWj4L5lvevdyhbGnDvd6cWIvtFeUMcGZ
w2FtMkfHq/U2VzZfixnQN5ZNLfV6/cbGXjsca1ycabGk2ksEUblua/+i4vUrJrE/5nrkbG7By+cQ
QnSh9Xeo3tofnvoCS7ROHKX6s87c5QCgcYA06iDCTlGihg7Gu/KpwDuwXv9X+QYtfEm319q//CPT
hZkLsrGu+irclYHZ4OvBUVx7ODYwi8n7F7lIleVSGwBecJWa4HK+t7aiItFBPDw6NoUpnVM6vDNJ
mDhzuO8Wk8LRs0JM/KmEF337uMb/l+Pj6tEzJZDPro6OApxOGaCGZoB+eyinQX26vd3eR/j9UZsq
oYPy9O0369xkcxdqs66+v7lbbP2LeCEpu/0LAAD//w==</cx:binary>
              </cx:geoCache>
            </cx:geography>
          </cx:layoutPr>
        </cx:series>
      </cx:plotAreaRegion>
    </cx:plotArea>
    <cx:legend pos="r" align="min"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umDim>
    </cx:data>
  </cx:chartData>
  <cx:chart>
    <cx:plotArea>
      <cx:plotAreaRegion>
        <cx:plotSurface>
          <cx:spPr>
            <a:noFill/>
            <a:ln>
              <a:noFill/>
            </a:ln>
          </cx:spPr>
        </cx:plotSurface>
        <cx:series layoutId="regionMap" uniqueId="{0A754FF3-821D-442A-9880-2C00D8F982FC}">
          <cx:tx>
            <cx:txData>
              <cx:f>_xlchart.v5.6</cx:f>
              <cx:v>SALES</cx:v>
            </cx:txData>
          </cx:tx>
          <cx:dataId val="0"/>
          <cx:layoutPr>
            <cx:geography cultureLanguage="en-US" cultureRegion="IN" attribution="Powered by Bing">
              <cx:geoCache provider="{E9337A44-BEBE-4D9F-B70C-5C5E7DAFC167}">
                <cx:binary>1HrZct04tuWvZPi54QQIggAqKm/EBckz6GiWLFt+YciWzBEjZ359b2dmZdtOl7Nu9O2OunqwrMND
YgN7Wmtt/v3j8reP3ctT+GnRnen/9nH55VU1DO5vP//cf6xe9FP/Wtcfg+3tp+H1R6t/tp8+1R9f
fn4OT3Ntyp8jTOKfP1ZPYXhZXv3H3+Fp5Ys9tx+fhtqam/ElrLcv/dgN/Q+ufffST0/PujZZ3Q+h
/jiQX15lL11Vv/rpxQz1sN6v7uWXV1995dVPP3/7oD8t+lMHdg3jM9wbiddJTKnESYJ//SGvfuqs
KX+/zPlrQljMBSPy15/kH0tfPmm4/S+t+dWWp+fn8NL3sJdff/9x21eGw6fnr376aEczfD6tEg7u
l1dH81w/vfqp7m3624XUfrb6ePnrNn/++pz/4+/ffAAb/+aTL1zx7Sn91aU/eeL+6v4/weIfe+L/
4fr7sQlPw18Z8PUR/TAUoteJjBLC4+i7oUBeM8lxAvHw3VAAc57+wp7vB8MfN34TDvuzf+tw+H6k
fhkNX33jv5qX0WvKIpEQ+tthS/F1XsrXNKFU4Jj+5iv+jzj4LS9/z5t/bs33XfH7bV8Z/u+dhKen
YJ6GpxaKxJeb/SqU/otHT+LXnOA4iv9JHiSvScIlYVA1f/2h/1j6t6P/lyz6/vF/cetXG/jl1ek/
/61z4StroUldPEErfOqrIfx3+kW+jlmEBWXyu/UJ/IKFpFH8e8awr/3yL9r0fc98dfNXu4XNHv5H
+eb+SdfdT5dPz+M/zuf/HkUQ8hqThGAsvilT4nWMOY4w+6Y+/WtGfN8XX977jSvuARf8Dype9y/d
kymfzH9nkvDXAuOESfKNJ+RrjKWIJfs9PeDybwXzt6r1L5nyT/zxf3bxrTv2/3/d8c/B1h+4J4Nm
kf+Knb/Aez+++uuuAc5/c+uP+s1vJ3t8/uUVl5hGNPqiBX1+zFdH/wf++c5dL0/9AA+JX8c8oTJO
oOlEmBJ43vzy+UoiXhPJMMURiWIc0Th+9ZOxYagA2X9uYxGjMuERwHeWwE29HX+9hAHVc0APJI4i
QiSJ/+As17ZbS2v+OJHf//7JjPra1mbof3kFS7jfvvXrBmMMKwiJicSSRJxwDNc/Pt0CLYIvk/8l
o3pK+m7h+cCqrlLbtq5vqyhZfsPwv+HT7ywDTOObZUQSRzxKJE8i2Nc3y/QJTpq5NEmexO30fsJI
7ASmZVDT0E77UrsJovEPbvSdBT9nzJ9WTBiPIaGwpER8tujLjemtFWNbJDkni9TKadxV6YgqPSvD
qcl0ous7MfLmMBTidpyxRMpLvb03KyV77GVz1icVPSN+ivJoG5szuXbzhS637Zwsrbv4C3uhwf3J
XnB5zBh0SI75Z0d9YW/DUbvOi+F5W1j9PE9rm/acwL+tNDJrUCHUXPJkVrWwz8Hi7XlcxPywlo3b
s9HGn8pxbN8Yuwxn5bLZTz82L/pznIiEU4o5AcIJMQnx+KV5XHrsGrkm+UhcfFFvpF3Smlma8X6u
TmuzcKsMcfbUDXTJMcLlYSijJQebxaFaYv42Wkt9tS7ViRB3xBW6WUrCtCqmUVQq8VP7SONE7Kci
DtedjeyHsSTtXq/e3f54L7H8zlELDikUURoL+P31XkS9zXgYKcvd2FXnKwsinZclKrPFiepsDvXY
pppiliPbz88mmW2hOm1kq4we2GFJJLoZl2V4TOKJIkWIOdctYu8W0u76nl3wUEeZ4fWU8g6VV4aO
03GwVZWHsnl0zFeqLtg7yQZ6OaAxNWa9Ems9Hdya6GMbuuSSaOPPY1RsTkXVzIyKalLsKm0S1XDO
83EVsYq6mV4Eh6tnkYRyU2Sk7sQSv10MjaalqqAanYLG86qaCMkhs9vSvPvxWf6auF/XD8ExZTHl
hBKaJN+kmeO6b1m/spwUVF9Z3JqdbWZ8LiKx55R8Qs28XI1rvfSpXkSlD2Po5k+J78KH2Pnhwpfz
pFXkI36cbddlHPk5UcZwkqKCumtb2f4wTX25nEqn12c5zuRudIU9yW5B7whty3O3JWWZdq7Gai3x
ci7asdkNY4L/InCgsv4pRyEzP7cEEVMGqfB14DiB3cQ/J0Hf+umy1NFYfD7a+OigrF+jNZE7T0ik
CtJtN8GL8kQdw7OKhXAHssXiDevZ+hLmEn/8sR++U18F1HIRgQcSLJLP1eWL6tGVq546NrN8FhFL
abCfqmk9xkO7ZHyZgKv/qLZ+5xgAi0QRIHkqCJT0rxez0B9msQ4sX9eev8N2tZ+zuLn68SrfKYhf
rfJNlnaiqZOeBpa3tK5fMKh75+tokFPxYNbdj9f6TkUQUkKPho4qaBx9c3wQko1zkWe5YTQ6UaS3
5y3xyXkcKL6Nlh7KrrGztAoIvbmWpgjZjw34zpHKmMcStDoGIC/+9kjRzJyvGMu7gU8PZPaxWoqN
/0UXjj4/5stsZYIAcGBMQAkHMsbJ156LoOSKtWuSfGLh1vVRmWq87pt6uln0vZX11WJoSpf5eZnX
dKw6dLWRrlDQT0TW0HnN5Dj26VDF9ibp3bzn5TAottz2kfNpu1Y4d3XZKTxWRxcv0aqo3EKmZ//S
lHX64yP7Nj6YECyOoVfGBHgjpsDkvwz5Ld5aPyaB5x7aTlqMtVDJOpXZllj0F97507GBwvq58ZEE
AAxh4pvwqLYi6viIZM67pDwr1hYdON6mUxlMt6N9MR7gqOVfLApQ8NusToB6YQ5wCSorZwDPvt7i
HA0s0mQu8qmb71nd2pyWIuxlsczvqLc6UWTpb1FZH0M5P3Jpmh2f1+ipKSOiBlydAPuolQuuaJFc
987hDIqb39fB7bvBONUX9WMR9Y92Ivsaz1YJ0faq10WkfDdYxeflyNopVoH3+Foms0u97pSs16pU
iHVI1XjFu0AKdiFssWRlwOcuQt2OL3OlZBEhRZ2+GX0llfGlgwS6XXmbQtE/trG4K6Udr7bkKXbb
s8Fbf2U2zTLDWPmut2i8Qr6JdnPTl1mxNURpL7QKPW/2XZ0YDH93zeO6IZItY22qVC799Bx1Muzj
KpaN0gONH5c6EjuJ9b1z03UQ+xH2WTcl+VjULOSs0EbVqNTvOWP1poaOhR3zbZubWrrD0jGdRmvQ
l7Fv2muyJMWoosYPOWli6LlhjF562ooLrXm/q0lJsqJu5yKVZCrybU64zgroUu/b3sx53ZvFqGZN
XZfcMVfbbPBUl8qMY9ylm6/WU6BVfFNUk095veYLxbm0y8FWZttHHT0Uyf04tWpd4mxYI/lpnel5
O4/3fhpfGkCXD3Vk2x3djM6lmN7qyp/1eul3/ThMF0XkyYNvGnoztYEJtTqr4Vkd6pXcpJLU32i5
PSzlKC6mlseHwYWgqrFEnWrFkqQEDdNVWLZlT7aOXQ+T0M+mB7eNAdROVVTlJzENcl9uRX/AXrib
vhPknfGuezvXdG+awQ67ulnEtbXa3aC2G4NaSlyxVEd+zfpmWt905Tbc0GId37iokalHYb1HVeH2
zqL2EjlfHrYloNsWgNbl2PgqbUDFyIjXHFZO3GWxoTFv5wXnYyzIEypIONrEsssoOJ9V4L3D1ujh
phq7D2Hi64fm8w5nzNA+FNM1LuP9Zu8xISQVer3yxXpRIN7vG9zMR0ta+7EoSHVvMYSkp2MNAFyQ
TPiWnCHebdkw+CHb5NYpu5Tshvu5umy93TLsVpLaNZhPAvfLDk3xeqZd0FeGiZfKs0eDcSFVT6wr
VIjq5S3vuT3E5YzUusoOMN1C1dhX21HMjVFjKN8G1791ch4bNTASPnSWDA+laJODll7vJV1t7goT
pcB8+vOgA8uCDMmhCa7bBSTKnFEwiuDEPMTBoIsarMocKeDLrbmFCrscvPbzkQw0yeFb5T7i83nR
Ty+UlafOLonqG5kYZTBd0qau4AuorO6mRYp8Wia0a6kQV0Xv2pxYJO7ouH7oBbO3XZiTKzZCVYAc
3LKY1tOx0+x6c5jejJUGn0SjNVnVz+NZTPoZkmqodpWc53SUNF0i6855M1WqpUmtyrVqUlZs1ZuB
VhY+c9sJYw8btL5PVwbVkcX9Cg3Ca8VI1Tz1oxnPp5LNl/VWdDdstfPFwJDOkQtDVnXNnsX1o690
vyuTxmQx6jzU1ZC1k5yyBenm0raGqhUt0Uc6N6OahW8yLyuc1W3pryOkZakKoHbJjur4gRaeQQ0s
m5BXlckIb6/QgMfbslhPRE/pSPvj1jb3Rdsa2LFrbyheSNqtdfSMt6W7dVMDSF/MW7xv+ogLFTbT
ZEtIrkKUxJlx1XbwC70jxZIyE0dqHItJcT7uzebGXIbog5n8qSIs6+L2g6njRNVmivezS6J9QPjO
ti7rq2W6MGwqzufRNl4x7Pp3w6ZJ5vxsivcl0LNJVYXmu7VZB2DXWzgNZCjTSNN86dvyctx6kQ7R
TNJqpluUcru0CvkwpmMtDVKsN/EukXGd2rk4A9hh97Zp2pOlaLpGpPa7GhtzXlnrzljS29s48TdV
S1ZlO4me6jjYpy3gdk8KXj8URsT5sMT1eV0E+g6stnk/tuzSTHW3l4vY9lXiqidJUHPmBR4VT6Bz
hmj1kBdOHqZ6HFM3NEAHu1VkfWn10VFWQ+lnPmtDiy+62Y27wUPxbupwE8intgIdQSVo7e/FwE3a
k8pdR3O33iZlK04udOuJb7w5wRxozeNuKN6aTa7vxq51qYw6cruU3u8Ni6EXVlGzj8NQvxeWbamL
e7+bvODvXInxsa6kPWtoCe22Wq9x0lbZ0tLyGpSdIcew2/O5XNlpmHp2XtCR5VUx4fsIV/VNVw/0
GPpZnMeyHHMsm/Ji0gL+18vp0vPm2Wnf3FdM47SOS3yAEM392H8QmlU70wFeVDx8ri6yqkirOge4
f+PJeuxjmlMUztx4xXCd6z4xV3NXe1W6RQwpcUmRo1HwC+oTeztsNXtmtdfveGRYilD8sBYxy2yF
of35YdqzeQpSDdvQ7HEsjUJxos+G1idQw+KwizmiWY2bPuUo+DvEphgDMO3ktOOOVUdPudvhNY5V
R7zNtlhD4BdDQC5bTBIfm3LajkbgtyIe+LWA+9W4IHRjZNNdbLV/TvqI5LgNFBBwF8ydCeMl6umB
9/EnI8JZ2W7lNWtlki3r1GblXDXHicI5l7xmqafrrECOuuhLl09lkQJQK3ah0LMDgWCt8gkReTUT
OV4NQ1++AYqZEGW6muxkbJJK8X4KlzGVxQMPnNxqPeCLaJjdGS3L5WJZlv65ZzXWavJVdT8bMAbh
mL3QBcuPoq7MWVvXTR5VcB8pBMpCYgJRNYC+XcEaOimoC+tTJHt+rqd+Raqk1uRBcnPrDDfHyjfT
SzcvyagaityprMS0762jTnFSkzeoAEzSVK0UmWXQryeQf6zSSYH38exiaJWjL+5jR0ZwficBRs66
3K+esg5wpk+c8lW0qbqPugfL5PIu8K0rs9B3Q1Cuqooib0ZaJcrbRl62VTvtohbNGQUytECxQeyx
9NCCuCu6xyQa+V4yhFbVzo1V86zlhey8A+NxQjXgmYbmk0O+V51H29XSgkCZDaF3V26t+otmam51
sn2IefN21PG4q6o1OgtlUR7GcXs3bhEk9KZ9ulZtOIx0s3mkJ6PE53aDI84B3YbNf5aIlszoxGeu
E+N5RAPZVcVY7ThtijONuClV0MVynKp5V2iaNbqTO+iutSJUW6361TQntNTuwSzbaSyet5jfijm6
D2J6Ir46irV8z9r+XQUzz4Mukb7xExaHHhuexljz824S7ZB1ttaZxaQPym6bvNTYhYwzuR10h0YC
UlQEOEkwcyFZGO5Q37YZsYL2KnbReNmauoxVnzD2tMxG1CmYMF77gpU3nVzuikXTg42NeVw2vFkV
ZkwPIC3NL1NTDHeb5n6/Lhblxjl+MGgthWLQ9p7HUUwgvpJClXFSqMJQt4dMFj4dgr0RZTMfJkzK
R2MHogIZRZ7Y0ixpKc+oad1N0oLgooisfTb1tTtyZuYHHGpoOkJM1Ku6ZC5N7AacFcNLN2oskvoT
3GPyLujNZX5FCTTWJFRxum09Omtn0eSA//sr3sm6ymOQWvMQSX0+xRViqk4s33VNxfeNxAOU3NjS
lNQR2pleiju0cCAMHETDN9W22kcg7PgEEoXdBxFJSO5R7lGJShUX2w1p5nSS2jwPIDruFjrgJ8jh
KF/pXBzaUWzXaMJjvnDZAQwegz1SI9AFrmjRKLyE9qKrfHEVAHzkrGpNakln92Mh6qymMTnpUrzp
JnwW6d5+2May3uPKV3fxhOzdxihKRzesN7WGctprmdxIGeH3Fevk7dhG0UXEcaHgkeXHz6XwvS5t
dTfO2jP4sCWn0LBIuQbJN3wbhnveylZm41B/hMLSXVbTvLyZ8Vo3Wc1buyO+N+/n1XjYQ9UeqlJs
591Ql5dkK/3NFBZ7ZhtHj64ch8uaaKssisq3tRuLKxeVBhIItJc5EfVJA2B7q2VNNxVG2e0B8ziX
+ylGudCLPPiJT8NnlaG+AmVwemhjUAYXtOozK6deqsTO/Q3uKw5yyhbWgwG8dkq6IXmZiY+82hpT
31AI1RsvmtVUCs1RdGQc+HHVAZs8tAFEWWXqudv5RphDZebmbd/r8OibGJOcYhgcKOs3LDMA582b
Ed67ySKxkjzWKPSKaw3ERpQan/tqqi5Rgk1OmHWHqQiTQpQ4oIFVuIY22ewC3ToKWeLLtFrF+oCI
MW9QjbpUdIJl3m0FkEMzXLZ8ueGF4BD8UzseHGwBKSec+QR/xkk6xx1Ay3YVfFYSeZh1LKVgt6gq
64yHBlBIEbVx6mXZvyEDAcEUY8B3cNl/7Fyx5NM2RVdk0gHoPQCeyyKg6YlVRfNoGDIhLwgbptSa
eK5vaVUN+85TALtoW0d/snEPlaFcb2GjIKG7sCAgVZruoamv+4Un+tBShOmDLor+0xQ1HVBrUA7N
WRTrJE6BGLD5JNc6idRWEL5m3dqGOQMkjdAVZskgTmRNujlfGHs36kUf3CbobbdReahR7VelJzsI
BQi/sZDtzIkceOZ8NfjZQynYtnFRRVvLaqfN4rLBTgBu+SZcvvZhjc5B3itwmtQMBlXCNptis0fH
xTN70VLZv6kn1qQzwomaPQeehsTyaXNy0yADx/PZhqz+wIibdr3roEWu0GFLheeJnmuut7eRiftP
FehAF3hj6Bm27h/HYu6ZEoUbzqAVQhkA38QmX0ctwiUT5XrZ20Q4Jcat201swueghpVQzyfdzdlE
uzrzhXVX9STxpcWseQ/UEugin7340DShBXUdCvdbT4Rsc0HnUzNUwqbzjIxXck7cY++lzToXF+9g
pAR5NXU1EL3a3pmpEOdFYGW7Q4J+6CIQoOa+SuMhhuEJ6Jn7ZtrO2nae4LBBAlNmQ+VtvfLufhmX
YUexK0+uEuSqZS0C4SOMgatxMv1uNdtwXLWPcofqMOQ6suEtbZLp0ED7eijbshigwldJAzsh/VnY
mvbJAlzK59kOB0jV8uTFSK5d36BEQQc0Qi0RKlA6LENh0mVZiz5jvIIuuUzbRUMIEANgwx8i5sUR
1NXyFE3LS0+ml9CjNxgogOqamhwp4UsmLI138Qwl1DIzPgRXlmdCOnnexGX9MnFd1mqz9XoJyhZ0
Bg3AWgkU8VH5mIAMGuo+3RaHXno5F07BbO1TH7G5//h5CaPiZB7k7VLFFcuTaMKt2qYaqH0C48xV
YbrGypGJpnEBm7NrARR8e2AhTDAP3OYPNXKmTSexDFdLwa+namAXA9RgBtsqsnpYelB0WjqepsFv
xzDHg4LseMTwlERFiMUZEJN2nwzr0n0uEUsW1u29GEGHK/dSx488iPkKe07f9bD1MwFtWIG+OBxh
xmVzUJfoA3SnNEaV31RTrOwSkWVOAcs0au5akXmyXVRG+5NMwpQWg3fPa7eA3KZHtC8ccF20NC6l
fh6KtDArT60YIQ8QYcceIG2pHDSrWQ0LtOShjZZ9Eja0t7jvMh0S26tyjNxlHyGzw3HgR8ujEiuo
dOTOiZB8BCmjkdnciAWnqFmOG+lvdRGqaxKBLihR3wEHHOlFUYzp0EAcrslqy1QIux7A48OcblEM
Q1cxQ8RW8mQn+W5GlD9UW5KctWtwaSs2AtKsXjIGvfdsbBJ6IaYxyQTAlXcTSZqTZlqnAA5cHi3T
nNaTtwre8Zgvllm0MWgJaM0lrWBaZ4Bf3fAVWHE8zdMpcFl/LMMGDbgrQkoZjNHaujRvdMLa+7Ic
t1uESv4A83oLlKgudKHi0dNclNimXdIQmsVmEA8C1R1osF10N6xGAp+tixQokDuSre93Dl5TTMMc
mrT37WTS2ECoyHjR9X4GLLmHNt1gVXM8p6hlRZXJKi4Bbq3TeyijfgD6yxq5k3YGaF9s9XCEKbTY
0rX3Tu/6mo+3AxH40AG8t1BNhZ+BdkV1qSSb0U3drc2lt7Y4E14P+8qGLptnlpwvsfGHuSVmJ/zW
ZGzqgQP1XZKFonHX9WKve03pG7IUyoTofW2TJ9lJpphNlloB4vN5Um26z0xI0mHtLpKxYIeyrPCt
s4ym3lBxpte5u6j79t5UMlKkm6pPnkTkjoc4vh9bWxxrgCA58tNdEc0tFOlkvp31jA9jx9rLBTop
vHlh8r5sxtsCbeVdsmm9h7fBk12kQWUGQZdezCYe9yxxw27srVEwDHkcRcAnXHZovxT6OHWB78cY
wqiphk8DsJXndcMpdWhJx3UM6cI2riaYfLW100cc2S73wbR7XvWgDRV8sBDhtMw3ulX3wzjuNpjH
Um/AxzDryvHaf4x7vZ3KeaZXYhwCU6GNsVMIKqkB/WkfF3jc2RYjr9wQiTxiV555oGJD66Y0sH7c
NSt3lRpgtOxy7LuTCPC2iEO5bMzlVKPxUUv2PApU7ke0kONqBvi26JKbEYfU9sl5tA0H5IDf2aGM
T8FXV6D9Wpgd6L2tmhuLGP5QuW2G0gR0OJr1AnL+tJ5AAHvTyhhkBcxTGDykUV2D2DeN7khDfSpN
EwOXWLpnOhR12tLwftvKc0KAVSh4T92WikSlVjDbj6AdILZzDCjQxuojj9beKSu9dmowMMkC6MFP
DC1tGjYgyEm3cmUpM7kgugGREugEvGq/vDdCJic9tXFGbQKkfVx2JdTcDPOynbKuZh+sNvFd4ksz
5mUVVUHNKEp28doMh25dXQxai63OGKrbZE81YY9hIqh8KuADSM/gEuC9ktzTmNfAtSZQ29p1ylvI
W5cCl843IVa5gwEFSBmhXm8KFBd33tFR1aO0cs9FdJSMZqXw0ZlnUQ0DzGme18PEt/qp4AV0Rd5A
SIWa2OYe1VsDI0dCK/lU1gUUYniDlqfYV6g4JTXwk7RsEzI/Stm0N7LkjB5hnN106TrCfAQGtM15
x6Yt3dplSWcfgSaaDLUaS+iH/5u5L1uSE+e6faGjDgRCgps/4kBmklnzZLvsG8LtQQxiFGLQ0/8r
3f25y3SX/TVxLs6NI8ouCxDa0t57DXAHEAL205B3UdnnD8U0lo9mYNhtsW/UiVdY9DSntPbBA8m5
eN/WynxcGtf/XIqyjHoWmiqaQuTNGnVd7DazOlg7uHHQLXQ4Fj6Oe+XgVaMYHFEtpi3YJQHpn9Eo
7veFO/WAMAdxIbiPHj4REWODj91K3XCnmVH/drde4Z501X7MHNXjRqdbH+c7qFa3HpGXuhjII6PT
4kRM1vLeR0JyjRWXvU+7okNF3EWTls6VWOjn3p/NTi5ue1RjlwNdWrqoKsJkrMIPoxwf/G5+Zqme
hwiBi4i3XneaS1wrkEPC6r65CUFdjnmPhV7laDZK3z2TbKh5wNld44Qs0SUrVFvtUQagUh0Im2Wk
7Fh9saOv4p55Okbac6rrzIsGkaJmYqMDlgkHKtWGenoMm3p4I01rozn30KRWfndTgMDgqPJaeyTd
01nQHQ0yNCl0k6bPqBcqZw9WWrcTpWdPY+MNH3Ja6Cru+TJf2kE7Mh79skDimwMW7gYcupWR2PKy
OEC/YClkeFwcanYOSh0X+0/V3Diq9h+7KaRItNA/zR0CcMQv3mtJaLKM2HHRW52v88bvd2462+dF
oGqrYkBZ6GxwLJZb3lfP00S9e2lpKg968JYPrZOXR4Ps+JqFA39eOkvR/AKsh5TI+nFTLKFzPSvi
dJEQmAbwwUiRVFqmtx5aQ59Qm6IKsUV6k4+yRqMC84eZJJmg+9Sn6g1KuHyn+z4pFzeeKupcspAA
L9Bj+aYaumNv2ungV9PbQVcdZlC+AYCctDQQRwUsaW9sr2NnWfps5/c+etwFufUkIEXsK/mboREK
jJEWlcmIhRYp7vRfa5vftJ0oI5YviXD7XT2pZs/LCUc2GvmxDXJ04LN2n7neuNNg2piIua08hEvl
osYHG4bvmJ//7hrXb0FqbKdjhfrz2alD9FY5605+4Xaf6xL92N3sYoFMeZ/mUdWF46PyqTvHHR3K
Y5mWqBqsFVciC6o37sx1nxg068LYYdLivkQXjTWX91lX3gzCILMY2/wCyAkgB7dSx7kPVbXrHdN0
Easm+2DnvD6CeDbpnZsF7jEoHaXAtzCAE5aieC6wK36ytKdxDXLNI2/TEX3iuc0vfcuwhflivBtK
wGajm6KQa1xyqXK3RcnUNezUuyOrY+5P5c2EPOZiXFI5AEJrGdC0bF50ZFWDYB8cl+2mAVMeE9e8
LbXNUH/YYJ/zsU+mgBZI69wTFy2OwSnzE18jg4pQlLrXqOCaKOuBKo67rrP3dftZFzn50pQziXth
yFV5zngn6+YP4Os1N144mripVHFXWMuPCCXvLkQ76C3LXLEPQuLvgtHWqPf8IXKtdmO/bOaYFQX2
rdotr8BzYkjLRuTOaTddYsed4xG53MFgl064VwL3b/ozMtal9J1Cu+EiBQq0a8sw29W5xx+MDfPr
kjb+JxoKkUbo6uHwKIvZ2xnmkyibSBGrzEw79JC8nZNRE7UlGZ77PPMfKdbnfdZSLCXpDeg72ObB
B1UraoBDxTh59K7AJosG1chOTueU6KaUS74LSr96zKu2TIzmw7suxV7XOB4A/akGsy1anAJPXBGT
jbGqKZAlKQa9F032CWIa970/Bvnt4upuBziRxC6IilFTeH4ciHCMXUdyzJRq4qL2lsuMBDhyZDPi
7UxNF3wkE3lfB8sXOQrv2g+9OywodOvRTYorNRR3GaGV2UG5da4cWFbNN6EFdJ20qHpN0mDzzOKs
1+MRy7pD+uihZTpVQXaiRS7fiM7Ry/kgGp1dE6pljglmFpQBG17VI02Pvqj6T66cIg8991R4w21H
quVUO7OIy5KMfTxMBegz2ZCn9xLNokesrvxdWbf0eXI9teNCy70kvjykTWpved2ouBMG9WW6jICd
FXWewboc3pTWRWMqqDq0wy0NTlnvdjFoY/JLKG2wa1On3IfcLo9d2LVXdVVXB5wWas9Fry/q2WlR
jzqjC/iFfquSTTx7dXdJClRfrlTqwl8kPZEhHPT5DPFiq4LloNlob9BoGU42K8nHUkr+1tNItGsU
SUdNMo0+rMiSOS/yAx34Xrmz+UzCzj3lk5vSSLgTV3FG86vUTvMdVqRCSs369w0fi09eqNBLz6R9
FMIdp2hBvdPuFsDHYDDs0DWOwG/EnyW6JE+LTEMTA9wI5tgZB/1I50rfsLLp/BsnqMeLYaE1uEtk
MnsftdaxyzMg6LZ07hYvC1BJ8ooeQ5qpfcsHcFRoi65eWIindPTcm6xtkIhQgaaNcifEM0KvlRog
ZmDVm6yvQCEhoFBZ3VyThrwRNfnigdr5VLWke2gMSw+kmfNzVtuMMcvztw7px9vFSPHkzeX4QJax
2RXF/YRW68FlhXkuG67vfOrNzyTNhn0BIsql1+RBbERqnrGtPPNSedcLOecHU1XeeCVzL2ulnUTJ
rLqTQ17GqT+Wn8cx1Yducp24r8YcpYqD3QEEqyNqw1zGXesOWQz6h39SQnfJ2Af2fSW7fomGxbqf
Ko8gH9OtQyKFPPmyyH25qxlHX5bV1U5zYWPZGjfu2JkaUZsAW5NsT1XL0ffhQ9J7wly0U9rEGaf0
2Q9Vg70Wd1VFXV7RezRb88vRDt4BPdsCo4r50LROeZJGeXet6PS+CkO6I1kdXBqKlkZRf53Qr+Ez
zgyVmjlBGh320eKxLkqLzIlTXdTHjqNrzAP5Psiyz2ApfQnQbY0lUOw8pYdZgKLWaV4kbdd8KXnZ
RCEnSZ33KqqWEpvfwnZZNV7JXl5Nonk7G2w7sxW7WQEYInRxgBtne4RsbCjbjbmgJzW2j4umRzCG
YuGM2XEpahX7Uw4GAlChIZpmAFmBQbun0k4kXXK0TnehPHY0xXLFOnS/FyjaHtDqYkcdzMWBDRJ8
5NZCggt0v/gg2qU/ECGL60Dk5aML/OvJr1ExNjZHK7xqaPJ/bOMgbwR0vxflID+SLGPXKIGdgw1k
mdQ612++kfP+1Gj8yb//Q2fwqcEFcpn9KY/+/uP/PDXgDFbfRLx//eVZXf3XT8mX5qxg0etfOl/n
+2/hMn9e96y++OGHv4lBXpF7/KHffuUf/zstiEvPpMzvNNm/CUH+r9Yfq//Ics7aij/+wx8akJBD
YuW5YeCAww79IQcB9Q8NSBD+BhAOY3PGIFv89i//0YCI3yDOQEEpOP4zeKmgB/5HA8J+o27oh8CI
wUoD95r+Gw0IP0tQXvBCQbOFRgJXoqEbgk7p0RXBscnEBEY+wO40s80E5IlkdG9A6QYW3xhTx0Fj
1V2Qpxk4dtjr6niUyyCArxdtFWfgrOqo9x3R7yxwvANgdutHXgVdwnEmJs2TZmHkGKCE20PSwr6g
bPOmiIAjf8F8ZRSaeYGKWTjmJxCM9oVf6zuW1+59qCm/ke7CQQ8j9dXshvkJifp8bVz2GLBWx5jB
JXFa2u+axh2uCy0OOmiRfUzF3ufeBZCYWLTG7Gw/2RgMUZDphxZ4Sh80B7GU4B2Vxt17vlnipguv
UxQfNyPRMmE2+1DTPL9cXAX6Kxl5bMGaOKB/9LkNQbOeRv2prsogKVuQTwftW/S20uWEDG+4t+jy
AZIHOz/EvgMKD5rYNR0+ipkEyHad/lCYFhlniGsGOf+SjoLeDN382RrjH5x5QRFQkBveIZAL+3sI
JJhIbzdU6bu58y6HTl2hggcJ0FxUDOzNzAGOJTryiTUBkObZ+6xUm2jWFFHJF3SsliZ2J+9JhtkY
NXlh936Zpztgfk3U0eId8Ip5PwjxzAvnqugpOp9iN+mpj3Mzd/tQdsEuMGS8RJ7eg7BPL6qqWZIl
Z8lMwL6Cf8Jd2bcAjuysqz2TlXsELeD3ZSLfOrbOvfW4ixPOd2PVM/Oh0m4FNg8f5Sc3BTScFTNG
MB62XDqxT32PRrEyXXBbVVJcejNfvvbhANYGQ9EaAXa3l8iqp6s+K28d2uZfWT81ICG3XkTP+Csg
UdCMcjV8bkugUSQgD7QLL0ozVDFomqWKLOm9WzcFFLuo4K5sBLI+bh+CrLkvhQMUdxJ3tsqnkw9E
5DLvBt5ETpm6d+HYdLvcXz4pv5gPAVEfKmg8rrXgJ+Iq66AS0eUD8m0fbIWuuJwdgOAdDw4e6q59
PXs2BiSzXA6luKWE+Q+D1JpeIQ0H3dHJatrt6oXkXlyxsgLpqFImj4HHSbIHUoycthjxsGfIBnFX
cBNOMTd5pfbMppWTlHnB8cCkcB/6IABrsPAqPeJAAqK+U9w6TmzGzimiFhCz3GsBisHO2iznsaBN
KnapSpEWyYKyPjKkzuaolv0orwjLq+FoaNgOceaWGrBXyfL2HSmLHj05UgeD3ZVVAMaHcJogdkdk
Wjd+VgzLMajLfrlMu0xNh2D2FY1k3ffBI2iffnMqwSVuvrZlbkNctwgRATpT6Dq5pODRkqY1A7If
gq24hOBmxXJ0/CbJPL4g//chGdkPrpNnYFiQQH9u3DGrgJUHYOlRyBMyMIxC/4PjyuVdPSFiwqFI
73rZB8uuSEE2A3N8zpojurzKidyRVKgYixlZjt8o6aPpoTBZoiRRP7K9wW28KQsHETIECIUclWJZ
1NWjLuTwZUpRde7ybJrAiAfWU97xpqiKgzWsDvYVOFryBkg+3j5b2iyR4+wOezdFbhg7PLAeElrS
oh1h0G448a4f1KeuJyY/hKLsShDsghSUjZHaj3UokLDMJnsIa+vsfcVxQdOWuwFUQjxomwlzWtIZ
7d5unCPV2AtOXPdDyfPsug7Z8HFCkQ2+VDZ316YBGTLKAlucqpnbj4FPYj/TLHK4fioG8ZQN83NQ
F/NO10CSAn/qDrbM1L1XUGx7ueQHWdfDIxOiOUCvE7yXbocWsTcw+4FCrTahA3+u+uu3Kel3bVjv
CMi+UdWPwyXHuH3EBwddR2yhIIdfDYC6vCQkKWZ0BP065nIiTaQC0t0uvaJ7ks2pSeSEfvWuEUhu
9m5dq+kSu/bbcWCzOPCsGx6LSijvIVXdmB6UEAGI4ppfaiCxRbT0gzM/+CoHSUaxTu5GdMCyRyVo
9plwRf0IeZrOdkHP8qceTbMRzEc79BcWDTJ7yMZco0Uus4jm5XIE3/j3OSsAGXGsZQrwnwNuka09
s32KuAc1/W4YlvyWkRrNMm+erwPP3C8A7k8pcM77gKMJr5UF9G8dcUUgcHqvZ7+9b4kT5tG4hOGT
tmq5X9K+Undj2DS/157vHw0gwVM6VgJwuwmqjzzN6T3RSICFO4S381AB5h5oEfwu3cC8U6jyu11f
+zmPes+kqAoGL/gaKNtdtYuZvoJ9Ppk4D9GIetKkExAikqWPXY9DwybAelZf87PkLC5I5tyU48gf
mobydxVaBkk+5q4Apw04/RWtuxm7AthvBG2mp0Z2rYw1mlZfQF1tvo6CTM9oXRhA8ywLd9yv+iai
xYB+aI6u6i1pcu9aKk2qa3Am2RNQjq66qts5QCOKNozvJdjKxT50suBZNBJYVqHDOSmgD3MvOC3Z
5wZlFUhEbvDkNLW6qvMhB7FlSMUb1VP/gzU4QQBYY5MU1SKf+Uice3emKCMV8MrrZkE7LXAFP6ZT
6O2p9Ollhgr7NDK3HMFpAm/Fh3iUYI9o+vIQ9D04Y5YsoN6S0Oo3c0bJTVqDigScVaMe51LZ/roi
OdotVlb1hF2yU0vUO2EdG8cuap9BenGhh9m4B+t52r/vi1E9o0GJRddI6Y37CsWSh55oKCBLrUEf
OQWpGdITAU2pPzrMwfnXyYDX96PvkuXW52nm3hMgQUs0N8UwHiCuA2CuPbG0uzbDowN3U7JE66Wc
PGhMaTklsg99eZXXhC/xWE/jPXVRH15Aq+E7V1NR2Ap8UtIGcQt+LlQKrQCzhizAwrrcb9+mlR/P
lV/HhSqgYwwhZahLhDyAzjCeKB+vS0GDZBq68An8Mn5fIHOBIinFvs/nLj8SZr1j6AOdbt3cPeI8
q27BlKmgttEQirIMHDyUyWqHvoS90ikDeaFGA/sy99B4hcaiaycsiLH/NKMRVEfzAhzFeM6NXiYQ
qPr0wUHAx73O0/3AHdAUVTs+BxRUlurc0Cl0N8QlyBSgybRcPjFfZhL0ZpwOYHoAUl4CdE/6pgnK
BOLuIjxycN7xWsGR9WLUnWy4c13l3AYa/SZFMu8Nm4a5g3iFoBff8BLbcjVwXu7aoqhOJEi9Nwsd
QRVrlkXIfbgY8zh7xQQkbwnKC/An5Wccc9gs037y52icAB0fVe6gZ4/642NLq/ByYY66s6y56yD/
SXRuaKTCVkV9bf2rpm+DXW38yw78sH3tDk+S5yV4onV6ORHffsSBUTxK4arPrYEquys72h3AgyhP
dOjTOkIp032W6ItHTeOnJ6mcCVBHhQOqnTMBZkPeF+DRapTjoOSCaZ17OAiSaUbafu1nEIdogMUh
Ct/Z3pZM93E3LM2nVi+fAH2WXgxaUnVuCoKmcTCeCtMdVRVoBS+Ksz/r09d173+veM7SqxeCSW82
tdM0w3xijQKM7fm6v6gVKZ7+/WWgFQ0hfufoSvkr3ftoqxoACplOYkb5HRVSFnG3oKPxi8f5Ue1+
fpzz+4VEzXNQEeLHHx+HhsQdgtA3J2tq87E4n/B8sKgI5BJA9z6TMv+iRptVUE9WbvCLq7s/CtX+
uLyALpyF0FWHfP2Y+SRLSCa84cT6vD1k50TADSoAnufkYJy0ug86rzuUDVvel0sDnRiyidEJnyyy
C/YtzaByp86JR82R99v5DoLy5sS9bm4vHEcOoMvZQQCynnJ1C+wFW1UjLPogBUgDkR/C6+t77f4P
y+PvD4RK2IHUFxMLUa2/Ep9aj2VCNYCYba51EXWgXrTR2OQTJEV8DHHGSxV4p397Uc/hDqM0QGbK
4db140vs01SysQwhAcmlvfKEh1x6eO/08iIXSwcfkp894Y/yyfMrw8WoE+IBMRJj55bAiwCQYJHV
KqiG02Rzsvd79/NckkPlzMMvnupHaeu3C2FZ+lBNCjQ5IBX/8UKgpkKf2eX1KTeVO9xC1ZLi4Kyp
b44/fyL695cGdyGGKhJp4tm1ZvXSZJmzAsC+Og2M8ssMrJ0deoGZvEL3wzO7ErpunYQ2R53XZpO+
hW7OY3cB9dHsRMpnvmV/oF1J8MRNaoFUnfPD/luu+PNb/ducAKjC0grR2MG0+GsHAkmYBP05yKH7
yBxxakHKuJubGcXSv76Oh7CHpcS5kwR9849zz7tMd+AKAQxOUQzsemgv8p1M0cD/dp3/1+2+6/+4
MK77fS/bff/z/19T8AdXopc9Pmy6L17I33qCPxi5nXuC337/z5ag+A2RLhAY65bgH7YwFM1COIEE
Z8eY77YwnvjNQRT5WDgcPACs9u8tQf4b2oQ4aQLhooXHQY77Ny3BHxcowUkiGDqL4aoRqNM5bUDs
4seM7kL/Vo//yjrgr3FXC3Grzcxrt73SghffzVOyvuv7B3RxHPn0X9ig/LjD/HX7q80StjB/msmg
7aft/TnNAqnFK3waIdmu3Ih53ZAeXqyVfziDXnuYler7L6+cGdiZF6GnDJ+cZuHBh5+P/6Oq/a+H
WeUKKysXimZb9Tg5gA2ulmCo54SAgNUD8vi18Qp2m7/cB75fMDi7L7w4av6yzRhVKOaLJjPgXDIN
+v7+5090HuifLrDa+P8ydJlKLaYLvnipG7eldrMrv8wK95qacwuw0x2IppGjGFJatEvH/lcn0Hnq
/ukGzlP98gm/u6AYKaGS+o/5SVt6HVgsf3icmEWQq2ZC53FvXNQMgIxk4Fa/SFxeWTRru6N/MAAR
QJl+8XyvDb7aFTYafrw2+vnvX0zePxl91ODBmV/4Rbw2/GpvaLZZa7w2+mpn+Ms5ZGiItXsgJ2O/
423TiI23v9oN3O+WHXPDQKZZOJ9Z1HUIpd3Pg+e1J1htB26xkLrRLdruzSL4HbDAbHhbDQP5uml8
sYp+DbWtM81+AEk9rfaLZARSp7xE4ffz8X9MaL/vLuusL2xKpoy7pAm05bY6ADBvx72aFgphRJ6x
cONlViHusSYNppaIBAovF7RZ3tQOiPBUzfs2H6Z5W6iJ8wn0Ihg6KFJSb66CpHVL+4SWeXZbCx4+
bZurVSBP5RxQ2ByEUOjP+V7pXnhXki1N9670Azh6/fwqr6yotZVZFsi2DEQbJL1iy4lU1rkNJQWM
vm1478cpatJ8cTA5PDECtKfIKWb2nltQ7LcNv4poM4pGBHDcTkaFNzAoCTDLEJSe24ZfxbMBCLOA
9R4kDHRBvIMlgEpKQ0ZnN15gFc8lyGNdCLZzEtKqq08thWJy3xfCTnebnuCMZb9comBNe5qSGbps
neVvRaD13ZxLiK9+PvwruRZfHeZVOE5+AR5MUindpQ/Abzvz1uts6FyAgxmKe1ggevz084u9slT5
KqrF0sNdHaUkKF5syI+D9eYwysozx3/bBVbxPOdLB4YgCP6lli0DxxiYWFQY9El+cYHztPxD6rF2
/oL/n3QqyFwSMEuh+C2kB85ZRezIL+SQVuV+BnxeP6sq8D6YWk71L2aOvpLz8POUvtip1CxTAdkt
9l0VqPYC9IEUomgLgmG+D0Bkg5CkHgo7xjmsF6pDOVspdhySquZxdAb+q+r/tTe42g2WlBMRlCRN
AH+YnZdPoNMA8vnFYgSh4p+n1/3xKf1xmHNIRsPEc2wP5RNNxwGsbmvVsQ3RPb+VugJwSdhUHZkN
av9m9tBZgbQ2CIrnoHR9/xe38tqDrjYOYG9+20yA21uRai/mNvzSzjNQxm0LdbVtqN7jdJkLAROQ
Fq3/gYIfC0BFft40vL/aNAzteVAUMNaRQG/e+zhKb7QDp5Vto6/2jM6DCoQQESa+QiUD+lUAvMXk
/aK3RdnZEfnlYtdQz/nuDPOoYZlS9xSwvnd+n8F/7XeQdzjwvsxNC6Ul3Ifkp7Y6M3a3Pdlq//Am
NOlKt+cJD9IKDNzOBeq+GEY2Hhf+KiWw323UTOfT/X/roPbKol03/3gaOnXRzTbRBvoGW0M1zfu2
+MUe9Nroq9hHezMjM46GpHBzSIkBce5S8L83LqpV6KPqaQKaN/DdQt0YgQD9rpbsV1nra7e+imbK
25rNMLpKpFiGa7PUsFBRXUaLjetmFc5ZYYbWg6gzIWkVniB0LXepF7Bk06r85rD6Yu/32tFvhxKj
D6nL4skTZ9M4+iuHv1fmhq2iOahdG4wCr5UM8KyAjHWMoD9l2/bRM6vvZSgXINo6U6pt0tFcHXR4
BuN9Zg8/n5lz2PzDccxW8VqnfmYtJVMCMO0LHB3hYgIXzrZOhknwjU+wClkPfPW6KNMp8WBr8RAO
TbGnrCl/4b/52uyf//7Fu4UtoMcmy6ekYT4/nUGlHTwSNm43bBWyFFymFCQTMDe0Ype5qsR1O6uN
t76KWBzUMM6i3pDAQial0C26kMZmM+ySfv5yX5uaVdD6qdQlrA6gfa/z+QJM2uHKpKnaGFSrkIUN
NxmpKYZDb+SkH73JCdQtfEaghtx0+97qDC4p5MdyhCkzDP5sXLb++wV6ul8s/FfmZg1p+AWBn2OQ
jvtOZTTytIGFZBiajbe+ClqvLZibFsGImSfvexghQi89p9te65ln+3LFl3AvI0TzP2+dwYwY0ivY
IG2b9XW0+qBmBBkd9+GEprF7Hl1vn5jz63gRraUzwg4JHgb7uQjhbw7r44hzKNy33fsqWjPmBwDi
HYzO3C9dztRB5nJjZ+vss//DreNjXkEuMXgIFk6iBPhKWcnnbbnBGUR5Ofo8eCKFfci494cUNih0
hMK7TYdtx+s3W+wX015lrVs3cIHZ15BpQQ6WfzEQ2mybdXcVp9r2Q9tkYGBWZcYizvz3ZNTuxsFX
h6uT+j1UjmTYQ65UQymYwwUROrZN6+Wb//CLaelAvoK1jjFQp4QQ8xawHjC9+yuywytbzDcWwovR
4agFq1sYmYMEa+i1Bjxylwr5J5YJiBGfgbj744x+nRnyvY+49oCeDQPQi5ETSA0hZLM1XLZ3ZACf
dNua+Wax/+L23Q7fITCtHJOFVXUPD6DWT9rJHT5tm/tVrNI8dftmrnCyplpdhIWmO13C8mfb6Ktg
NX3aevAYNMkQeh9o4d7D/u9+29DrSNVLUS0LGcBhJzfYHt8vLhSw28ZenalhnleC1mJIiikLdibz
nxp8X2HbC6WrOK1LDa1VYExCwCqMVQFNrNs52+782/ctXq4Wx5ta6HjhqKbmz/lC37l+dblpUujq
MA1A14FrB1kSDKuHyLoargyL9uS2rfcbT+PFrcNQFYJg1g8JvvXkPLMB+0Ck8cmIbZnGWqxiOuU6
Km1MUjW93TWz+D3LYZe7bW5W5ymc1Tox5j0cO5Z+iauqxa2Xv0JeX9nAzuSBl2dSCB/KvCUwOmn6
AaoPLSlYgWn7btutr0LUHdyhx4cosRyzFMTranoWYJhsG3sVo2AThkWalSbpfWjhaTC/V11wt23s
VYyyic3whsbYoHE+MbNc+0z/4usqr0y4s4pQWMtC7O1JmKSmhMAkJb3KLez3Nt23szpJIR1uhSUu
2XMnvK0W8T7oF7Vta3FWIQoboxG7OeZEZfV9IxsIG7KNt73Kdlk7Ld6MBv6+seOxn9xL5m8jeTir
TLddfChkWtR2vJJXQTMndZ/+K0LT98PZWYUlVDxzZgxuuq3eWGjnC/F220tchaQK4YNtS7xElpW/
93N4H1i+bZ9yVvFo8EmbeZmgd110QZ/sMrgJDE71btuNryLSq9O5LvJwSGBCB0lbXR7DNHzeNvYq
IkuVa3z9xAEtMEd2C7u7jwzs7U07LMyuftwEsbC7Tjk4kqE3miNfM7ILQyjwt9w6+Kg/jh7oUcCc
biT7jj/2zS5AF3vbwKuIzGTWMfjzDwkMTeFG48E5iHb8advgq5iEc7hcljrVe1hIHycFbL/zimHT
SsFH5H6ckt4YpyQKgwew7PdM+ylnS79xVlZxGTJ/cbog1Pu+8u58jD2bcevYq9CksOvwvJmibex6
zpWBV+xFx2a+cVZW0QnO8aiQz2Kh+BCQW6d4o3i2KcFi4So259CwCUbRQwLH5aGAMUrKmx10YjTf
tLX8je7dThUDTR8xJFkLV4vxHcCHN5uW4pqsBRMRp+ce5sUYKN86Ay0OPqQlNuURaAit1mI2CvSj
Z9z4PN+ZxrmYIX7ZthaDVYRC6eUwkXk6CUqoLfBdOzgkCXfbjK/5VUb24FyacYDUWN3jOwBx0Web
khQWrOMTxqqLhEIzcV1oY+En1MeUFV+3vc5VgC5AFDRY3hpsBv5e6hlUcv9x29Cr+AQ7Oi0D6I1g
UKAmyAtFBx/MYhsNgwWr+Gz8qQ5h+NsngJBgK2SbG+FBvbTt1lcBalroczM69UkDrg10P6Ynl3Bi
Xh62Db86P2ETiV2RGbzRcfmskcHNOvh909BrNtWAgydrYX+ZlFw+zC2+pFdV29bhmkgFr9eSF4r1
iYXF/H6cpLsjqv607b5XwZlbmJ71cwn+fQbjTLbcQCX8i7TzHCd/h1zgpPDjnjIR9IPHVvQJzDl8
g08V8eIadvNzNBUuRP3b7n8VpH6JD/eUMCKDdsv7oDL2jrTl07ahVyE649Nmiou0R/yP+Nadhms/
Hdk2qI6JVZRKN/Pz3nNx44y+q0a48MIz6+22O1/FKHTDbdk7mU5gMMgm+E8a+NbWEByV2w7p/+Xs
TJYkxZmufUWYgSQEbCGGjJyzsipr2GA1CjQwIyGu/j/xrrr4urp+Y9sDQQrJ5XIdP0+yWaesEiKF
MwSm5AKzUEPe1/2+szjbgk9h0tjjwIxHlz57mcL6qaR81zUUjG9+n5CwQipNj6blMy0NOQcpmV4i
4epdSl8gMX9/OknQ+m5BrjqXaBZFD3OP3sOd6jS21UOZpQxgZFkN58Z26Hq0CXyCxL7qMIxQfn/z
Ca4PM4PT/Rnh8c56cqfjZd8a2qqgMic0LLnEcE5KtO4mcCXK4FO2b7fYKp0yzJJwIWo4R619plF/
P4TTzvferM6hxu0Ed0F/Hnn6sY6GF636XYc4diUI/7PYVC7MKNHJ4cwxMnkGEXree5Pui4d8szIn
KvtAwjoV9zZVXwxEvczgBOwKK3yzfYLZVPkmDvuzqCl8Vx0KFcc5DPi+gdlKkeAuAVWa9Fg3MEcE
tYTzd+igXfd90W3noJXotYbWrj+v2UCKaGSP2En33Z6zrQwJXhzAAy0tpkubMZiGw8xOjfDOyqz6
y2bKMDv+ZTONN2sUWmB4by8Nxl5ULikaFM/OZcn6ffcIoB3/PivhdgDzYwOWWwoCSV9Y15lfc5a4
nYfGreAoMiRkDk3p56HyI9xt4B+PEYpPu2ZmvFmuSbIsaWhDuB5qTuDXARE7+u92xsd4s2InDQXe
CCwFXHsA1syjlaivyi9ACOx7+82aXeqBD27B2MBvGV65k/mw6GjfnrftAAYawAF2M2PcG7Bu/RiO
JziUVje73nyrNwJmifoOPIqzLOP1Y9iC0sOSFC6F+x6/2VLBEO5i4vFZQXbtx1MygxGbx2ULp519
P7DJfnEZp9qmsxh5OroLbG8+VL3eV5tnW8lRomChw6cBXB02vdZifHFqet333pvVCiydo1qL/pw0
2RcQcKO8Yuxv2to/hBp2/ef/uCbqUTJP4STYnekg0y+wgljgZGLszimzWapw1l/8SmEShJUKGzxI
X+AmHCTHfQOzWaoDXBanTuPpsfUzYILdrWr+pmL6Xwr6LzGYbdZpXy+Q16WkPVsODAZMchuJYJPU
8CUX4AmqG9N59zqbUV9grxnw81SBHfkeLW5J/4z63zi8ZonhNwr3ku2NVPBmzBMNv4tHsfQpeNQr
k/3wAc4roI+Hvm9A1qiqoIdLLsxbDlGMWjuMq2Y4WesIVbKC45Z6ucx9kMozSUCtuJSAfHtAI1FN
+BRA2etPEYX12oHC3mwuHKhz60mAgzii246s88kQsqyH0RrafFkSxsrnifFAfhujGAi8FHal9jws
+HsP3bTGRxnaOC2ahEQKlm0wab4RUSuyew4XKbxyvxL4C2QOPlt8uHT1OKzwqctgQeqMBr3SDkzE
R5s4AINiXVlWCBhmw7zLZpmHvXpNk9y09RDdwRJRZhf4405AfmK0XRFTZS/rGpjHobEhO7DQ2ivi
YijXVx3JNtmXhbBNkmMWNnO4nbVnDt9cVH2CnAia7Ys3W6UXZaVHIgn/t4qbnyVTr4Ak7nvvrc7L
4iZm0QTvHc/lecz0LSyx9xUH6SZKxhbKFBjtd2eSZeD0BJnKMx21O8dkk9kMoaBc4dLuLAjcRBbV
/+Jy2Jf00U2clBbuww0sz87gNXSP6Aarb2CRbvaFMroJlBWvYZtF+AhDHsXu4TMjofyfp8+7QtmW
oz3AotnazrZnlYr5bQBvA8V8OLntHPZNpOzhuIQ2kawFxXGGHx+R99Uq9nWaAdD9+xYSYgnHsEpv
zx7A3Cv+zsnz0ocwxd03NptFGjV1tAYw7TtzYWCPSMZmXvMkiFV/2PUDW6nXBLBuGVRTe8ZF1S/Y
JQIJMe7r6GAk/X1wutkNtvcJbPJCUFvgT5ksuqCZJL/2vftmudq4X6kFhAcMsGxN86TtQUtCtQN+
8/t+YLNiHTgQUbgIJAhhBPu/BI6eQH/sTBC2eq8ucSXAE9jCcUcD5sMc8aILXHje9+6bNQsungeu
s2nRVQu3DU4tbM3h5sf36fsZ2aQ3sDMWEDK1CMPNnNxW8PL9gjOt31cKJptFmyymX2EZiVMa7KAu
JYPTXhJOyc5Jv1m1cDKfAUjC7iRrAz8414scppxm56zZrtkhAnsM5+Rz4Bv6s4La/OdqZrNP+cm2
oq+Y0EZWUnXnmCc2uKisiYqwBLToL3eHf+irY1vhF3pby5LrtDmvOqLDe3hi2rYok4Z0sGNtg/do
OHsMYA4oD8jiFCwyMxxGT1UQA1K3a+5u9WFoCoYToUT+6XxfpQB5SBhQmKoBMHzfD2wWNg/pijPL
NTKVU1TemVqg78z3HtSQfT+w2Y/XcB7QXkvAlqHwZswXJx27epUCHLHvBzbLm4+rGRqCH/AzgWx5
nT9Cvf9937M3S1tPxk/ZvDbnbmjGYhH01zrFe198s7IFYCjjqBJzRm570kTdEjLuKwH8r4XyH+c5
EwShcHAQOU+wpS1UwHDVALzHvkHZrOqp0oOInG3O5Tykx7kiMPgFTnrffNnqxFwCM/UGX/Rcg1n5
zUhHvw8Btptd774Vio2SNbD7BecKudZjYtc73Yu/eLlc59u/HBW3OjGx4J6Rw5r0PC6kuo30kF6Z
V27fJrY1JHNwigVnlJozVSk4WjJN+1v4SDXVzmHfLFOWLS3lTWjOSdzAFy9LbxSL/L4lupWMDV0j
wICom3PGKnc/DoYVySTty39/0+sr/tvAbxZp5sDjchH2d72yHil/OIrsqMMI4HmOU12zL8faashS
z8uUU9Gew5nCA6+KJwDQFfxg2317cbjZi+FDOvY2qzE3YwIoV/hOROXOab9ZsnCymFKY17Vo+Y1j
2G2ilL/OYF/+9wf495lPtzKyBpMxUFAFHqMERp7WB91rU8X7upngqvV77qzrJppDMgL9gnrmS2do
fJ7qON016DTbZM4dqgthaRqNy/ArBrlPX2AIV+8cmM3mOvup8bOvNRQCsHAq0HzYf151BuvTfQO/
WbQwpCkBqx30eR2Sb6gdPZik+rjv0ddv/Y8dBJgy3FajQxBNqy0A2P0425+O9vusN8Bk+f3xNY5v
TVVeh71LSxQcx/QCmua8a7pT+K/99vItkfOywpj5XIoKZaeIAEClln07FNh/vz8dsJ7ExyPqb5Gb
Ig+EE/QIoBw10u4qvsD14vcfSC0wtchs9TmquD+AIho+t+jne7fry25VZZ7XqHC5PjiISAAELsMo
fCSkg2Hpfz//f5WW/xuP6VZYBuNJoMj4jKnDQSR86qOomW9qZfvhhIMYnJThpcfHQx/rpb0PPE4F
910ie/OZRHCqnTlZLwkLfAy2WTnDXcEHSj2ZJl5IYfre18UqqnL91pa+nk9Nhz23mGH+/50axu5s
J6dbX1f2RMsZ5O0VHhhVHpqare+rCP0tL+rqU/G+qdMOSNI5YSv+7eCKKoTy81F2VbAe8F+P9QMl
ZWu///eg/CFEbgVx0DX25NqQfBRlJB8t6O338FEW+zZYupXEtQDCtqiOqjNZwp+c9C9ZJJ73vfkm
xuCs6U3AHWyVV+hsNWEX0o5/M9K4BsJ/myqbKDPPgRHruKhz38Gr4zLAU90dMg/VA6BfNhMXnnGw
Hff9JZuYA+JEzBnIiOegC/iRKRDl106LD/uevok5lS9nnBGpOtuWVYegXD9OkvxtnK6D/W/jtAk5
USjqWQ0zMNHAT7xCVc2e0kosXxcZBX+pbP7pJzZBJ4SBuSBdr47jQhU/VFM/9HC6H1BsBxIMHW1/
OVT/4ZNvVXOQJ4jZcg14Wj0pdZrjJYI6LNDH2qwpOKJ257UT3YroRIXaSTloDFpDAgjd+EcEop0b
WLLJGwIYjqAQAPJvhOs4EHROE43+EqD/8CW2IrqEQsu5ogf3oESfTJdMj/GpTTPc+3NhdbhLXUCT
66//Y4OP8Wxe10kAm44x+YRed/Ep65N9ra1wo/796aPP+rr2gzwnSTydoLlO87KK9h1W4Jn8+9Nt
jVIknaPqXLOUnTrrzQG4zl3nOJpsFnLIu0jrRMPr3Na3YUlz1vKdY75Zxp6GemwnPHpd2bHM+pOp
ya7zIdzcfx8SD9e1esxUeVA1uUvi4K7n+6p4dKuhg6zwaoQLQFEnXX8rx3E6BzF93RU2txK6Enhc
62mAyR6J8dh1A8t9ptlp39M3qzTM1FDGYVCfk3rs7qB6/dgLv88clm41dIInIrAEXD0NKtVpziag
U3u9T4pKtzK6wC+4TzFDfa4lECFdld4HyTAe943LZnkuMuznkbYZGFasXk6EuA/doNS+oiLlm/VZ
tRmYWKzJDo3tH8EAPcuh3beJb6V0vloWYQQSKT3Ndd4AHQDgZfyXyPuHLG2rpLNQ56/o8MMiGi2Q
8dlQdByOwvvGfLNCV5j0jHbqanQtGV80oE0CiDg02T5BGgypf48AmfHouVBxhkardiV5qsvhrgXP
el8fJN2q6WbelE3S0+wAUDDubF+gAvjLyER/GPetlo7xNYI5lajOkQ+ovQtrE6PBSMA49D2cktpz
HWcrBVHNmvjIUV1zAFWo2MKOs+P+1M9Z2B/XLhLkq0liYs9lSutkVwWeblV4S9BH8N2YrselYRKX
mobpfKxGNTaHXfNiK8Nr6nriaVSBXTlUHAHKS0D+qphH9Pu+H9gs9mFS82rLbj7OLajUJmUOzCe2
q9JMtzI8pGwx7aiZj9HV98vFPTq1WbJLX023KrwusWwsJzzczvBu1iMQoq0m+zR+NN7sxqya0Q0P
RseRyKgrqIokgM76275B36z2VqVpGNJyOloC0kcaACPdLyzct69tRXgCWtOQBXQ6tlDW5K0axKMG
xPht17tvTb+Y6zoacUDQgwy3Hkyt4lj7eN/AbD2/6sFFLS5ipyM8KslzYxb1jYdrsi8N2grw1rhy
/TTb8dg0wBfDuRqOMKzc53pC2SZn1tlEV5rG47EGQ+YUlxP8xQO1744dHJDfAzgFV3rVCoht6kwF
xdX0Hu3Vy19i7B9C7Nbsa3Y9LLMSPx59Ag6MCtVQJGpnrrIFmMRq5gHtMeqrgV2Lm/yvcKj29RLS
rQQvWDvTl5oCgojumUPmwD1FPN53eU+32i8QPllZWyRWSUe+jYa+morsa6+mW+lXZVBSbjs2H+tw
CPOlI+WxLCGj++9V+odj4lb9pSPVE9UCds1LHdvnaja1AdOZ6OHEhg674H//zB8mzlYJBsR2ySKJ
PyImaXCwJBZFs8z7lGB06/fVVWUyTRxPB8YKSHrIwIqs9T/2vfpmuSqJcAA943Dsls4XtenlYTTl
vo1vqwTLOhZOJo6Ho1WzPZkqJSD4Zeu+nW+rBPMGxw1QcofjVK36FI3qwxrJeOcnJb8HGqCn2Nqi
1nPs0iopjF5kAUnqPtk/bvV/f3qT+GRK0rI7BiYYCrl2TU47v8+5CR3Qvz+9ZAywQMm7Yz31VbHG
RhcpbPIPu2bMVgM2Rx4l50GkJymb9f0adsubDJu/+db/YSltVWAldS6aIVYG4ilCP8o14egAUNoX
4beGXyDcoFwNMOWJBSid2+B7q5v3+4blWsv7R61IRSQqwc9ITvD5KnVuV6gTp2oZP+17/GadRrql
7RoO2SnuwGgrnFx4dc8j3aT71urW7qsb0xlZfJedwLDOZUZudbgzE9uKv2DEBWYewaMNw/Z31UM0
+wSJdKv8AgwCkO+kz07r1fpIuYgVrErdzumyWaYy1NW0evBx4cJ10wzdc8j3uQmC//X7dAljiIqo
MezAIX+QTXDPmvpl11T5P5Iv2AhVA23YgfDZRGfWafRdV87MH/Y9f3PZ3HRRL/XcJifWRgss1NnI
bq+ten/zE7wWnv6lkL/Vc9UB2KmpK/nJdMF4M5XWmscxCYU4ok81AcPRrK56mNby/+Nw/b+j6r/9
6Gb5Jp6UjZU9aKbj4pqliHStSXdUCqtOn6pyAYC7b43DFtbQHnv7Iv3QJJdWd7wyJxyspTK5XpX1
l6r0QfmVUgfZXRNC0qpyKv3qXI4kp+vvFY/S7sGOJaiilyUAoVLlw6pFUOchzWoq8gHsQCRCLcen
Ay2wb8XXbqgM0JhMJbW5ULCMSXvwONAn4uB7C+658lQur7CQc7bOY2XQw5M3vl5GQDCzOeAM9FFY
w6ubqFMc1vcGNcvJgK0+6BkvOCZt86EjBgcZmcj0l+kM/vEw98weOOS+IB1jhFRhrSP1efXzAuqS
CunYfAV1NkzmfBmiMHJ5nHJRfW5qprLvRszegCXu13YwOdy+pP90FenddKvxwHTDNGosnKvHSB0S
NE6WxxVXNuQYkHIZizLFTMsKy52PzYFYcFzvotTy7FTH82rQF9a3QMU3oikS3ln+IMO5Tg9hTR0t
qoT3yMJSAw68gQFuvvQCVFXoN2VbAZmX4byfFKiQLKLFm/XNkORAKyboG7H1uWQJ0kbEEm7mW3yt
tqrzIUVml2dRoM1hNg350k+GH5xfl+T7XK+enrqhjdXjOpCUv1U9SZJHOpWU3q9llc4ARq7oUWGn
zM0RHBFWnsz6AR0aKb5XV9cdXk6EaybmUwhXY2RjJmxXdeM5Xdy3PjV1K4rWohh8SdCBlL0H1XkZ
faEb1iRHkQZXG0g968YF6GJZIdqCg04y2/no8S1BpyQxCmnkwlWTggDOVXbiqmrAdV2cGVBN8cFo
r5mlHe/CeVRHNyBGPfJWzPL9shABAO8wt2Q+SRqPS9GKihG4xFZeH3CuqdLP6USb9i5bVhz8qjic
wX0F7xrF/DwDVpAgg5omSmmRxZTKl0ilAz/BYEUtdw1xEara4QRvtRXXzJMV6N0C/5dPUHJymKyF
ev5GdICemcEmrHtNYhOlh6ocY/kNZ59UY9EY1trDKON2fFRzKPh7yLN6c5I+QZtQ1oZtfLvGAVH3
UeXU+qNugMxEx8wQtOyxx6KtjoCQe3LpTCT7j1Vg0pAgvCnBY+CWWdY9htOkom9MlmXq81JkRpyd
sza+DYeatZ+k4z4u4HkfohtdOBplsHaOuf5eTkCOihxE9PRbTHnffUR3+VoVuF3C3oU+j9Y/QNU3
pvif24B9b+Vg14shnffv1QqYatFVWEnfJcM0vxGKrI9TFopTSPpUPqXDnPBjmNZd9a5X1bI+OzR4
kAA30fANSA9XJ2J+Gd3UNL8Ubm6qO8l76s9tK3V57kkWDXdznyWkkIwy8jnlhGU/IqfKR7SQB7e4
Rlq/o7XF5NLF4iBgEBQclnpN3S0YEna9gXkQ/aSzmoFUqdHp+JL4SjePkQDZ++LaevbHoK/kcpP5
IeTnhC8q/BjyUpXvqj4TXdH5KYAnogyzEU00hgPkZ9cxHh7GcJ3CC+14pz8A3FG2T3OcJdUprFSb
HKZFWsROF6dDdYJ+Ohoe+szy7xqeAE1RomTonqolHBBKqnZxRx630yAOIW6r7J2SMDg+lWLu0F4T
JFa8r9IxYxfTdR3PJ2Df+Tegn2VXiGZUk8zTJipDgI4YXS6jNuN0mBwBSnsaGxLljV5d95lOGd7g
EIcigp3hgreoAzEOuVyCsTk2V0ueHIZ2q3rsHRrTjnE3uC8k9I4DryYa+HICBcEfkC6Jn6DAw7xY
6ooAJ29c3H70PfiMMDgyBpZnOVXrWl/chC7Z9x58uqHMq35KFsT7tXNtm8sJ27TLUfG243c3Wxq/
AcExYEMA0zzL3mk85fohu2kejoA44qbz2Dhi4hy9n0181lmUqaO1ggL4LaIpXe+uXGRULRZgrLKb
sPTIEdHJVlWXsfVtkK9DXQevPFYDOVQMaNzDGNooOyR+XeXbEK5U3thpddl5Nm1QHnpHSn9PAct5
DqNR1q+oHBGv8lrrKTvBNV5Mt5nCCebRoySWnpiqsd9NZRn30Hmzark3IpSqaNchmgrWDUmAvoVh
LGuH7rl1jN5NoTJoxmjYND3XS5iQmxZXxvKxhdNd3efWMwB04Cue927IoktEs3F6isc+aL6Sekn1
Pdd0xBxrKqOrH1SnK2aCgWXbeGxFWtsT/rJFHmMDNvQHELKr8nYUtaQXNNFy/TAPBICvI8KR5gdw
mWj5c4VVMjzNx0rGN2NbCwFtMzqwMEdS+CjdVnLy3U0nDYVmmEBDHB7HDtTD3E6+Ia/4zfTNRtW0
fNEwjUdPekaqlhU97BdFESA+lcVSdsurJHyiN2nWodclbhqIVY0d0qDw3Twx7NWtW9BAYpOowIVC
Wj3jdeP4aXFegGTeEIabo7pUwfzemLVtbiHdrVZkRc26fMeuMTYKHqlhGL1cb2poWNCqT9aHNcyY
GRGJV19eUolPD6NZDrrZvUNA7p9AvxiHSzhV2XSzTDwDbR3BoIIngMAwjmM+ZVjlIfzqxDqLoq+d
9y80W3SWg5qW8lPCDOJbrqiTw1M4RWn/dR3GjslcT3aJL57RcHlkmP3VJzkuQNDgj6Rt+aRQDnPv
UoVBvF2JHJZDQ+d4usH+H3QCg0uMPbo1SZxA8jS1Kz7mIOzJOhWYD0nkJ/NsMWb2tpeQhT5JW1d1
wYBzHj+BJE/iz4YkPjU5HMLCpsNIUS1+NPBMDZ/hWs+yry2cV9SXXveK4HwFQ0RaGElkcmOSafTI
36ow5W3eB7PHVqgXbB/I9mAZy4PYJocRJg2th0YvCb7BVd6zIsSmLkHQ7tX7ZMb8PqrQaV7Uy4qa
q0ka9jEm0EUU1KelLHAWZcnR+zaZz0QnMbc5XULTP3ZVX6HlOIJ956nLpG4fqOlcoHOODqyvsu2n
5RRHNbNPURMO8N/FPWv2nqWNq05Wg5Tz3JOKfkpHUF4OIytRCkjrYOKPvunK5BQO0pEn3D/R5p1W
ybjeRbLpWwRMhrUBWTyEaulZwUR1eCgNyO9LkTImnj2UL0Gx8NrYd+PqejREo++VuAI2hqUqkiyq
uyc1osaUV0bo/kg9+mr1CS1q0RFk+qY5DGFJ8CXqSkcPbO4qDY/v8Zr8pJBWVqLIUhuTg5n7MJpz
tS7+o0w1XJPy1aBr8X2H5jb6Jkbe3g/NjIyrqIQMikjCFc4XiO42Txyn00cyw/bgRnDXYb9PlhBp
OkUDbzflnrJgutR4hfBlbpspKUjM+4Py1dyc1YKl/jkOB2dPJFE6AplkgOVZxGqaHqiGPDgfabSe
MmxGbsqHuJTj4wzpVNYUhptE36ux9E+pvwJQ12Gld2OaqvCYgmCzYBtFynEYVjCu35y2gbgo3sTT
+1mXkX3XDHNU4I6kJ1+8Lp0tSlexG6Rr8dErdNEAek/zYZHVTTV1MNZg6KvGZkuLdZ2yLm8BQ+Lg
TofkRiAf+OhMQu8ErJRMzjPZj0UVES7g2dqRvG2Z5LepE/4HQ/ePfCBYOua8ynHNHvqADM+hg8Ur
jkB0uhc8JStyp4gNzzboINudlqTgaCN/wH0OmrW7xFC4kaMN+cEPKfnQukAcFZFc5cYs051VOnsS
Dg76B4VpXMTL7ApSlfUNYyy7n7nwtyJa9BcvrHzNqB6KOuQvOh7Mh1hmTZaLsBshO5m1Un2+hHXm
xlwg2/UnD1Sdv+GWiDcegfQ+SZ9mB0xnXph1XpdTM8j41kO+yD64IE1ehXZQLRzI1CTBTWkS63Re
YuamaJP3Vfijnko/fYhjzn1ua7OkkHJG1vlDffUDuGi/rLBNSYfIdyDr9v1IcI6paSsPgtsouLUR
Qzc22kpdeDtUUZk9jsEyTieLPv/wbeWa8CLzzE53M+ti8QWZq+mP8UQCctPVXc3u5WK1yWfRWJ27
qBvSNzrrLnzq6Uy7I2wafANLgpFXlzawmf4cVGAJyyL2dVwfwlFWUz7HNVLRbJqTuhg0chSXlzSg
VOc+9nP9fUlj2t/bpbXrN0CpHNKhakpjzG6NtRV3uUTDkDzCRack5yHVtXxZIpz9j23DqDlNCeLO
AScakVz6q/zu2CeG0Cc01cj4DvpZGh2ibImzS4S2qeVXDTG2eZrHKe3CwmfCVrdjP4Iun8NQJMX1
6CqJ9i84GicEp2BINte7cdQj4kLVJC566AyW5KvCYdV9VrHKLqzFFRkdjUs+RyNVwReDC1Yck5c2
BnERReiqwOxAspSXs0V0H4d5OVgjhvQjR0//9JY6xPZP49hnRB7ipA+wX5VNHNhX7la5iDwgJKH5
NJWDKbKSavI4runifzG0++sfQ41utmMqgS1853W1ZDAciNvhOZ3xesuxsXB3PWd1QNpnjlWGiBjS
oU8RnqolQbGwatDWfCNpWLkbqioVmgNbB6QAueacC9jAtzh/IOOTfeFtd81FgHGZ3IuchkG4c6aE
Gt70GLT21Mpgyi7jmM0xvtiaueHQE73YLyqL0YvEK5WNXyanenvqRGiCIlNzdFf3ouRFj4vw6d5L
yQQ+SVKjGXBElb0YOtsjKe057GTe5hUuuWiQ7sv7VpD+7MolfddT4idkB/G6dk9ea50PYIPmaAoT
MwVfLJXtybs09oUATnW+rHTEAa3K5iQfJ9cGXT7Nkxtfksgl1S8LtEl6XFUYVgfurvtqLkYwJm5K
pNn3Nay5MOtoZOhtKcFnveuEbz9mKQbhQKeJRToPa0ge3ka9ygBZqg+D87JiXp+RB0TJ7YQtQH51
jtZnHAGi7HMLi/OkKuJMhPW7zsZVBUvoyPB6zjHJYlqkiKoep7kAjXNrUkX1YypduBYDFvwHFcXm
qMuaN1hq5XzbhqhgPKBeQePntFm4unV2yL6hEvMJqcdEOJAqHBLwFowY8q4hovwCPwtZH4RBUKzl
oB6mKURmtsJgxF10klZFt3oAR9DWEd7UyUD1Qz/RUT8M5TzezV3Xyq8JTCd+Br0ax8MyB/iMbEne
1Myulzsqxd6+MPfGkUtMB7H2yNWha5qWXLvEnNCsnPFcdk4gN8BVpQXsLl1Qr0UkHFHfmeSjQ5cJ
CIzptdKDxu/hTSEZy0kMBfoFpfRsvKd92gfPNIGID6KgpBH2YrkQk8ZHmX04oqO7lPVxCWkqk6NM
ef0ierDhjxG6V/pfiyXKFkGFytUXeDWAhjvE6ciOTUU8wdSsyetQ4zxy9o0ccyIRQLvczgModoLM
1fc0NiN5o26ubOHNGOG0kzBtl1zaVAef6zoqv6XX1OQmXdBl/sHz7uek9MSQ7mZ9hGTWMDXfZGCC
pEXGB/OzjbFk8xTIjgJYkJAddcbS/xX/FF0xCD49wt+yZDjKAKp+Wkjikk+dCDL0H9dZicpgkBk4
I40dLAoOSEqMu415237XeqER4hyrZPMGp7ZMFmSoHL2RE/M/cHQW692gSfnTVHrNYvC/vSX3pnKs
/xCUIY9/RkBmxD9wtKxQGZEivs/aQSF2hJUviIh69zxkZdKhrwN3S0xwET7XAeeoZiP1CO9iB0PR
U2YHTg7LtIb0aLkdba7NvLzCEzliH7shsy9BwMaPaZlEH6D9mNZzW6IJ6CZocTBetFnskbMUhr6r
tN1HjLm6ayIFWRuXfKTwOGHtpa2yrC/irjEu74JSfUKn7pL3MZq3uo45fjcsXfCccLc88Gyt0lNb
wnrhqGO/nHtgJc5Rp8MLA5MZMa+h49v/o+7LeiS30Wz/SsPPIw8piYuAcT9IioiM3PfKzBchqyqL
2kVJJCXq198TtqfHLrTbd4zB4F7YgKucGZtCoj6etUwU8zdaDXAPO4e8n5SNtjAPi0XE6xsCRLA5
m/0Sly+AhiORcudxHMKlrrEsJBGNBkwcAv5jScxTuXIMiRGgBKUwZdQsQDys2IJ8ggye7ZhUwE0W
1Kujp0RMW3UINdHPiF+vm/tQDjCBr2hguK/wRtKoclTbDMu2N0s6ARuLbnRTijiLNN7O0zAUy7Cv
x6IuszAWevl80roeh77tuotViK3FazTBfN/QeGlvIiUWDGy+ivZS6mA4g4RSLHeAovsdlom+30+M
1XMelq6lkMuhGHY3LASLCPIxzvFdAI4oNBs0ttsLRMvOe3M/B2Xtsp5Z2p4Hgeu2A+LHtq8BQ21S
2qIa8kJtw4rLp5A4HM1Cdk0S22wczXIeDRQDZ1n1F16X7B7q5REOAeQ7AudAUEMUi+Il2CAn30s4
ZPwTcKbV4UY0E/rVyEmFAh04zQZ4YG6t7o89GIrqrdzGucvwTcHwLpsSkzlWzNZ1WTkWGvnlCC9K
rhCRJkWWLFzb4zrEozwIdICjGrVwXFZpwBB7uF+S6HQRBrVTCu2KI3ZMWHyavN7mZDkamDKSNBxW
0+IyBt/1YXHvLI56MkTlDonaBErMLozp8xBjQsvdkkxlJmLH4fUx3DfPFUdMTU6QN1+9tAA04rTr
bVk+kXXD6qGCgNNzLmjHsi4J2zAfgIa5bOgdoK0UJqhV5TXMheQm1uMk71AIUrnUIwVa76wv2JD6
cIsxwSSami/BhFaFlMHqkdyhy8aJQ+n1Ir5wfKjl04wBlV+ymbYii1vRhLetWghCkzU2BWU1d929
h4G/2Yf1TDqfMpjtHQDMst8UNuoGkANO6hVDITraixHF2slcXJUDqbYjjcnaXyUaOG3KdbQgL12X
0wdhUVVeh1vRQ5dUkKY/s9IF4S18k4LjmpqibQH/03u9R3/jMu2hdNNdBlaF2c/90s0BChI3I49B
CzjlhbTd6Rvi2PjkdEp0DTMqNmDdtQV+2GTwV5jZpshioeEF4SHD5pKZoD+roLNwn5fQJ3NecF6Y
w4L1esknpnWza6NIjnmIRhrTpOPU+XKP3WCbXBQx4tcgvmxP9WBoSxvyuqyS9bwwRMgMPhGVsBxJ
DAQXVFV04LNBhQ7qnLs12jCzGB2fASQYwNaPmO1S4LC0SWEY3ep8xGnQ7uPV0vFDVKxpA+wdaGwi
9N0ixOSbbroWfq4GDJnBzbTDnBhnQTslBx7q0K/HhspIPiMzujOXC7b2q8YHr+I6xgyyRsMNE1W7
fgrwaZIgLamJBrs/pVljQ+rk5uJre9pBXxTB0KwYvqCXRcCUL5S68R2dsVmZbMRxgccNMCuRgWth
2K2SuUv6L5XH7hraPi868jEZF4wYBgTDhmkw8DY6tNUM0/mcDFbeMCweCqOirLevTQk24q2ul6HZ
xyrugwVHV0c9upj5VN3FGPdxLYeJiNleYzQaP0ods0WmhiZIa15EbOUjBT5Xof4F+L/5nEyxbZ51
YIfgdlAgfO7caaOKxAIv2zATbkSuMWxzemqPZQfeCydJrKP9JLDx4Tv0KNrxAg5AxZZsA4c0YKdb
TaISOWHcyItFg0m6xHQt+SXGonh+6Nu6mc6FipbhGFgUs79FhBQk46eZbW+HLrBpK8IluBwI0qnu
AjvbCmscYuizBJNxv/O2k9N1NRsYXTpGhHvcWkgaM0lmkDxV1PaImJlUYL5IPuviMVpmLP49+g1q
t50HG+q7MbIi17A9LlpFHvMUKq4zKlZjz/zQJ9HZBJR9ObQN38gzUEXGzqsGTGCmSQcBwA5+YjLJ
HOfmBmzrhKgF+3EKQ5tFvKuDFNfcFdezj8E1MsRj7AmFtHrcVwEF38N7UDw+bVGxJlM/rprlUylY
fGZWm2xnOl4D0iPSLVxsAkxPoSttsAmtLxmd5vmZzUhV/xAqtt0lBttK7FtW2uRhWUDN5K2StYI7
EYK026rvW35RqLZvHhaJA3PhQ9nM58SiUufK4b2GaDT3G7utrejU+VpPSfOEjV5VuIxYTMtjXg+y
A2wdI6OtIpnFxayDDNkf3OscPKCQyb6BHPAUYSxekWBIZpolCQIwu10HKmi2RwxgEw6sEbWebnGf
7gE8Q4wDKg2zW+IfIhx2mKsSVjbbE9iTYt07XMn7ZNvEJTbRPLgIgyLBYMcJ0uvCE40nwwOpOdeH
phYju9zaAc5rGvrBvC6VTRBa0VhEh+yN0qsvU7pwJsBxhhBdkXGWLuMANua3ziGy/nZA7MIc7k9R
rxSYxspQ7i6nLXF1lnTL0uS+m06Ncmbm12wq4v4Yw8m7nI29tlGunNf9ZTgjpwYQKQHfOvhJ2H0F
EJ+mwUxpsAdHaaq8lSrBtlOPs8aEFHVV9L4KtMhfFJuq13tEMsQG2HtZTNvXqGeR+qybgbRHEsHq
eCRAfccrpAZM5rFFJDVmm57F6yWNg9l/8yOr9aX3KpgB8K2hzLYE40gKfNmCW6nmGWK/0cRXlnTz
khmP4tDjhLdQ53YLwyaDNp6DM4/jk7zWyX0CZfN169AM/ESWRs1Xk9lofy5Qe7edvm1RwOuQGI9m
+FnE9WfAfEGU10wGekZYK/Yz2dzjbO92mKwb3CCxkJ62+cukl5skmFyU+SCgEy4WOU6wS2h2OoKJ
BlyFSWJiyc0sXBsgbqAS1Vd7uj9+FRbxCfCSM3Uch8TTlGC9ax+iaQoNrj3FutGkWs5wVQNiQlGU
KElF8ihkAeQ1kRqL67AUZtljGUUWomv7yn2YetXr5bCJjn2aVstjbF7G2p57L7b1kxSddjenDMfo
bO5skXYIuxlTTKPqBJbr1eGeCwLzVnqfiPO5hNPgGkRJB8M7ZuMN0NbYALViKK6MmXmHcXWUKYxF
4bJbuW6A2k1jeQ+ZBMVE5FDKfF9D2Yj7Ijo2kN2YOFkkz0KTBErznoDPcoe+mMbBpBX8fnE6SOgI
ogzc92Q/ACQpgLcAbIh5B1qxVUHKDcbXOmVYZQ0wxHaA2yNFSD32nfsV9lCUA/VrzMtXOKy9nVK7
oMRmPHTOsKrOlhH54ZhDCV8ZzaeohJQj/7d5MojnDZg8gKmKTEagCJrTQJqxyBCUHD1FeHRw4ZZS
6WNSnrBfhe33qk9rZlzcDOE87YAWbBYi66AIjv9W2JWsfo7bMwR1r2tOeD3YdPMluwFh1ducFzB/
/zUF0/flc9zHfTf0c7sjyUsdP3L318T1P7tUfqN2Y23kQNfgeaPqXgK0qNhftNB8Xzo3IK0xKSoh
9rhNEoBIiSNXM1br+U88vH8QWAXK4PfKK0BhoYEiDcxEgOtvLIfKXHRLMCADcZ40AKfQ1agFEMkY
3q4zoFtssOqAZEOw4nv61xKqk6ron6mNvhOWKVA0axVMYj+gzbTNK5hariAeHDPMa6AfwcXJP0ka
+CMx1Xc6s2mccapBU7xHIMAoHowfCptrhTk3X3BnQjop4h9aTKWr7//kCP+BhPP7dKIa+jDcTUK2
5xKdHAaxM7sRWPOffKA/evbv1GcajX6zKBMG5Uj3uZno8yJ18Sdy8T967tNB/M1ZjTF97LQq2N6j
9iMtJ3+sbBv9xSf/TmFmKDX9YDnbA4PegUit0oICefzXJ9QfvfPv5KHF6irDkorvFQlm3NNdkdIS
d/+/9uynV/3NcQkbHUEdhOMSbh2yeU2ClsltePjXT/4HZyiJfv/kfKLdotcap0spkvDrDExpyQj3
IXqFZNjpVFuosc9gcmL6L9XzRd/HFJVSLQKZLWyPOlT2KR6n+bqmgFf/9Qf6eXH9J1f39yFFovYR
YCEV7zuZlECgk94vIFfwz4enhj/HmLzxf/qY9vxQ6fqx3qpHijONnRVzZUvsVVS5Qzvj19VFqG5O
jcBI9su7+/ffFQfPf/8P/P3LoLHZV6X57q9/fxw6/Psfp8f843d+/4i/Hz6G6/fuY/7+l373GDzv
r6+bv5v33/1lh7nc+Dv7Mfn7j9m25ufnR7Xx6Tf/b3/4t4+fn+XR64+ffnj/2lV9jk3PVH0xP/z6
o+PXn36AuhA0ycmd8u+/fZFff+P0KX76If9oy+qfP+jjfTY//SDEjzChMMq4xGx/+u8Pf1s+fv4J
/xECDCQ3CZqE6BCTWLR7NJ+WP/0Qyh8BQ0SQyNAE+AXwgh/+Ng/21x/FJMSjCI8oxTOGP/znm7v9
5Vz55Uv552XPP5ff/dcphQ8nQxEmcUw5nFUgQr5bzqueQZyWgBapJiDZEK2MIHSdWl5KZ9wNhIKP
NpiC+z4yGIlBeOsLCFygaIA+tcFIWrevXTO5d0xV1bFoEhSCt5yB001sCkjB7CsIxu5WTtZ7PH2J
4W/Rtwog7wf2IJ8XO0PvuCUooauBfPEhHm51shSPYwh+FHvB+VM0xN37IBGMHQBUTueiaW79wO6b
oXUXCIiE1Criy3NUc7Ij9VakCiRNnkBw8TAMyQvgtTijCxSZfTOuOx4Ey4H00BGuYVjl86wxtPnx
gXRReRLqDnBNmORer0GTW2vGh7hDhPasMIurBRXkcjLsDCqW8QC+Y/mEmyskN2HRfgN63l+6SJWf
Je9GwBOz+Wx7OT/WNuyQ2l9AHRFz+HhjF4kqr7s1oOCnCvrW1IDA0XFusb2SyeVCoZjJEBk+YBcA
vuMNDSAVImASFlcppLPkdaAiSUmhFwjIYI8d0smxK2ZQvJF60chnGbTzRTnSDnOG3LSDpXpAKM/P
J/n/9MV+VX2BSHT4Zr6/2n+3QPx/tCTgYjm5+P54Pbh/r3HZl+/9b9eEXx/164IgfwwFF7jmIlzg
P2eA/LIe8ORH0DEi5AxxviAiTl7EX9eDiPxIKVK/ZQKlJK7+04/+cz2IfiRxzJKTxpVISmBl/m+s
B1Be/m6CFDFsJYkgXAqsS4hv+b58ZiA4+fvAzHsCRcgpiWwF0hq2DPItoGr82INjAEW0upkfkrqG
HHBEeFSfd0EDVf0EOirtQiUvQgQnAlldo0s+Jk2VdR5AWAagVW+Au1g/ZrXtQnuZdOveijpyELMK
gLd+igAMI5F7gz2NBUtmq7iA7G2Zprzqen4sE1y1O2vRTX3gvm5et2pdl5xGCCnYSQBpUJEPHRI4
SV+oyxVK1c8YhGF2E8lyWF0ib7cGIBPC/INdh+5bRB83w06j6fHeQQzwxUGC+e4B6ndPqNnmn7vG
9C+hVWrKfAgmN+1YUZZ7Fc/qqyOi/tTKDuDDSEIHneOCS/AgXLc+zIRYNIyzKbwkYrSv3mukeWx+
fY0kVMnp0hN9XUFjRPKup7VLeW82CMjDsCR5awJQdrxWaId0HaoLEApEAQ8o7JtvuolCQOipTV41
SA71ThD3W6fVgNCuHZhyi6UznqZrHlMGDTXkUalZSgokPemD83mOWoMndXbLA8h6owvp/IwEzX4Y
6HGg/ZTFprefsP7VbRoaM+MDNG2sU7JO3X6s+/ozCNLmcqtjfQsPW/y1pHR9AoEPghPMAHbFyzr2
57rZQCaCTFp3BbpLnrsZ0XNukwPELcwKBTPBOID63ix7Lq0yzyPq1FQ+bkmVpCMqt+8pV/W4wztY
n91i2ttej+VdA13ntIfMJTkrKxQ7Qp+nXmq1Cgb8llVC5lVv1yiXwm6fgHq46ZxjVALjU2HR3dsA
iuyzIHb1O5sd6DgoT1V0QYXup5RNBBmonoIe6wghj8iGrKcdIig92m4RN+wyPcymSI0XFqZJL+dn
y7nYMtsu62sN2PYSncTI7a8SMN07Z4oOTpkEXpBsbjgIHTpVfXRY0Nw+HoqlPiliRsiqcgJM+ACN
mL2cuzi8s/Min5oakV9JU+JVgx4USZaAALstahO19yCzhhQkdnRWjTy6peVmLlZHUFzWzj3rUkpl
/9pDR3YhMJgGOR0m/kWDPMhp38lgD4TdnFeF51D9rRGsCKxfdkk/8NdE1VSmHa3omA02UDqH/iFZ
sGdF3goC1aajBOxY74ephK9gINZky4bCRwi8jLqP0WRhsQeukxeyVOMnOJ7kZ+5kfCEWZ3qgN3hy
VGc0WTzIT9ZVss3ApSF/xtD4XbCKkxsVq4HvunaBBB9KTXsz9htIATQnxeeTiyHx24Cu1fto0vaF
DeX8uawVwOQWcsn2MGEdqPdhs9norPEh0CPFYX9IC+Iimxa8EeXFqNXCsqESuC+WyBp0kAUmusxW
oPFkVzWQ5qTYYS5XsGLENAfrMRmI+yhq5YcCGj84CYyXMKsg6ibVOGGhxQyq9wa4TnEWJmX71Y+W
7utERZc9rnBk5pO5/DJxjhZPodlhJWQDM2x5lYZFFH+ZbAfVvRc8vlg3sADXyg7uLdgA69V9PGcU
muhLSWv1hDMKMHiX4Kzsp23Y42biXxvr2+tRSbJkEwJxBXAzFR4Y9ofJjgn3pZ7i9SAUkvV96Tso
FNZmzW1NocUAJuf4pWr59oDFhnWPTSKLd1kH8jpUOCH2XIzgU5RuXiqPdD/IC9AqCyC5Cz6NZLXX
jUvIN7uUALFkjZ1VOiKGRiCtXl0SEg5fTTQmEdb2KiQHSU8DCkD6GiIvzFzBHqkBXhxiyNym3RIz
Mmem36LwahLenAnsqB5lQcEX08X6tLO4UmJEIfW7GYqVi4hVb8rQ7ixqK+xpQm3f29XqB7ug8QSw
MkkZ6IUHALM9UjLiESXbsGmIJlVJG4LD3Nw7SzA+nlVr1N8mDZSDsFl6d6S9YUfRjtuLgeFF7+iw
yB3ViLU9mwoTVw8k7laG3y2q53EG05HaUrb7BLf7Y7OG0Ao0MZxUabiAS7aFFjcDNmNvJwb7NvR0
2Efjap9btcrqtitNhwUlVIynEeiJtxpChTNM0WuU2UVXX7nlZVZW0yDBGY3JCsMUNDCPKrDu2woj
Spezrhvf2BRDJWDmGSxwUSubxUE3GIh3C+agNhRQ/KBqGOYv5yUUe1txCzx0IztRFcrlEoxQg2ZM
yj/NkF3gxg2DItmgxg+7BIqMpICALREr+IQQCk3rSuwDbZlq2Kd2ukCXadEY+wpsaMEIDil+mcaA
u1uoYG0UIBdH9JenfpMbM/J724o1h2nl06AcLkwF5QtE6hLOMVZcVNEEcdw6x1/XsiZHjPMSGlc9
ZsZpn8e+emuwt0uLUXywtfpsVBwcaNUOEPGrzmZ2ruDwZWqNP5kG1N9u0FiJERw8o6YsHOIlOsaw
EwBCj8daH5FTUcJhFkBSmqFJiLlctT4aMyVau+3XSU5rupby6zCMQwn1vKHPpZbBlmqCPNyzpWnl
er3h9PkKchfKs8Vh1InLtjM5ekGHyxiKTtAjpD5rIPXdhQ7xfrbE1sWuRuYCF8Sct1FVH2FqIrsS
kon7htF2z1zR5gUiK790EBJ9k1VhXlsZQSq1+flzMEIV0mw8rvIF2i3wzqzg16C1edonS093KGPa
alABfcMhjxuC4CkuqxYqJ1j5hkw2duxzyALcdj1KwJc7JNzDTtZp7EUQlgmp2s5NakWzUBBdj9Rt
EN2vSGHeDdRGL6Eom/qYQBL3IcciTDvo8XHuSN0eu25OogwrAoozIQaXN9vWgiXc+im5WjadXBIT
ep8ZCkyi03N0zqYpaNLCleazDg0QE+j1/RsJkVQNRsVESWYDuWG1UAXiSnpOuyo1xGIOVbzdDp1n
xZo3OMpXFNpdWAqbSPAUUajnTTcVmQ4HeHcHHs7PGKI2CMQSGn6ZRz+9WPDF523HZJn3oYQMFjel
9VpNCXjYNplIkAnKQENBMF3fWEHLMoXy1uSaQ/KV08ZM/NJhJ3uEr1zWWM5IuF9g+cDdbxNji9sq
weuFbbddsRaXabYmUoJ0bfndkmzDMwK8hMiYrIajDISA1Wu09VlPS/DINeRCiKANJ7+zFZ7yshqE
r24mWqirtYYaNIvCGfMLT8a7UHf8Ht3CqEAt4NCYUuW2SGOtDHGeQI2Bzxy1luzdXOcTKMLcmRJm
FkS9TncM3POFLXB44GeiW5liGWcQymEqxpIBAcehItg372QZy+6TYvXwEU5dWN3D9YDlQi2n6agu
9aYRS2/adwwKxb13q1eXUuuZINrZ+A2XTaK6XdNVogdpW0NPhQXaG9jISvPcIOnC4b5MzI0dfHHR
W+eQHtxOH51l9H6BA2bOqU7auxIluE/hSJLnEM6MQ4gyqw8bOfIEu8lyAf1v8OpJgRqvAo6Ku2Wo
7SvWX4wLMZpu46yTc33o+tj7dOmIPCL7yn8aKt9uIFVp+4nHRJv8pNzqsAjABHQYwBBDVw1J95wp
xI+3mJRJA/1d0GKKmSuQSWcS0z9UNA7yuMGV0bGaQ97uR9JAzcxL3N3SGOVk/lBEparON8ObC2Zj
Px5tTKFbruoWocA2aZNvrnfdl3lCxjwYOPQd7WbspZ7j2iN7hZcLzLAHAm4hyHD2lvE5OOnJYc2q
db1nsAI76BL6IQneh2kWZx6SZDnkCWLa6mPZ16AHss1hu4M+L+RCvozrQuU9GzCXHCBEDSHxbZB9
JyCCs++sX9PZozpyv8BFl5q1hR00jAeIUlGldoxwPeHE3ALZXZbcwF9hI8Aa15tWGFgj+E+hL2SP
BPeb7bwpfHEHtnNsb2Ht2NDl2MCRGl62MQ8KNFYvtkU6lkIeFAFRFmVR5xx2Km3PJg+BUzmO41W5
DRiPNGx/sKBT3cXXpobd5ZzR2ZU3chGW3yAqsVjO6rky+epYfwdp2hhcSoaZ5NG3JNwOyPJk0X5e
t7I6MlpX9UsFbUZ3Bl7a+71ugNm8wWZE3pOqbniqPbSxb2gZ74tUrIoKDEkmKhS+9yWcENI6zxgz
p3WsMrDnCA3IlQ/JG4Da2WSTmRbI0Aod5kXFfHKJ2/e4nDWS2vMYIpdpF0IMdYaMs+ZglMEsERZ8
fSh71MAcfcVrsi8nHUlAulbVV0MMpWa2dXQwO9OE834MSgefoFr4AaklSXEeTcMKt00N7XGGEkdR
nPcjgK0QLZch8SnuDF2zg+KrnV/XBuO2HlffXbUR8M8MTkq2QXyyGKnPe9L75KwAzuxTwxBt/oyb
FJ+P8Wp6jDlkWS7dEknwoFWFOrsn6MRAYVNcw8Md+HIkc3ON7Geo4Sps7SAYvq3HJHmFkJ7FKZSG
GsYjfBwkIEyV386oksJdlEG8tfDYMBGnWyDMXoTTyNNNopa+6prXpA4KTORUq9uy0bgnxoV+C6I1
KdOWbHCaqXtYSYjNp6qZcfIkSwufbeRqWGK4LvOqgNQmNB1uU30ZFN+2CrPekYoaOyNADK5MTVv6
L15NUXScF6owsBI3n4+jsw+QSfEMLo8I93/mu6OLxiAG99reW4i8EWcNi+mFWnHFYmopoPsooDnm
0Ncp93kW0raY3iXMAgMkuiL12Aq3Z9U8KZ7NwPSfZxUpfB9yA37XVorewJ7dhleI5nMqx6Mh84tR
xBfkI+qG+3SAXY1m8Mmsh1X14uuIpR8aZViEn2YaY8fUQCvy3gW8PwaoZIFZToDL1+1sM9NtlKet
YlObbx2LblirovuxGuITZ9Ada1SAbp8jisPBFz5d4Lw0jzjyyRkQX4LHD4IOsLTNRw0I9V3NRD17
Xxm4SJVBMHtNw3MXURjewUbQzEravqrGCfTdT1CvZmKgMAosjmmS9yPSh68Ta0esS5Hskn2AD/Y8
qia5APfuYXtrBmBLvSwWBHFis5/PUwGnE5j1Et6kCg2J+WJlgRV7hCT7fxfd/H+Ry+DhKffij4HL
i/epB4PSvP8WuKS/POofwCVjIZck4f/gK35lMuIf4cNkkFRSQhjo+f9CLqn8MWYIkiSQA1EhxCmy
6VfkktIfYdKnQDVDGuMPiKH9byCXp6TN3xIZnIExgdkt4gmeCa3D37F+Mws0iESzg8gL0kd/A+X8
N6AgewdmISjMnRuab2OMAek3R+lXRuVvve1uh6o3808/SIFP8PtXhu0biUEUFzFj+CwnRPU3ZKYq
WbTxrbU7XiQT2iYF1klYw5BVwHArO4YEdaNQnAD+T0UVbPfrrNf22Lpyu67orL8B3PUr0jYQgAGW
QsqXQfrhog7jEObNCqqhHEBognF+9vI2bkc42yxx5T5iRZghmGU4bNyJ80AZsLXwL24A1gpQBl4h
/4xPN+iG5zmPoi81UX1uGwQtQVeeGdxDoIHs732H7jED4IMHIbmArZOk8TrV99FKwVqsoAzh2g8o
JLu0uRYzVAapXevlGraIR5VIvF7h1/mAjXR359mwa3R9WaMN9arROBRrstEtK1aCeI6qqfDgxVdN
1g2j+xLxIH4yYkY0x2ypuqlEMl2yHopkWvkiDeFn6VIdergcYeiCB7JWz9VCk3ts1AAqbqXGpDYc
6BLaOxh84rzAUP8CgXSksObEAbzUDXZKkQvkzQLd0rdiDdGsiTFpggC6NslXo0Hr7OCWD1KM/uQJ
Q/uMPyLBgOeFjsr7Gb6hFrdh30AYFaoaQvzGL5Chy/IiBFJ9sbAAGjbI/TGLMX69Vl18A1lyVe7C
xrPbMWjgNoxnclnNK7aneu1vV7Vgfw79BGCpbRQG82MHm6DWRX8YYrteuloaNJoVaLiY6mRfo032
ol+dfhp7oJrZqOdA5aAPh+cQMQBwAwLLTgXm9uAAkXMy3KoQlj50FTfgolpvDab+fuyyeNYJoF+E
VJxxQiqdDSVwKJjPkEwIB4wyBnoRCpONbqW/we8tIzCMnn6wQDCyw7a/3zlmktuSLxArEnhAWWZP
pX6MwpYK3WDMoYcfandQjiClZgaXcYiRCa/zQWn2zLwT226rUeuTc4fJqsA2WKYw2KOSdBDaH4tu
Fid3JNNX1pbmbexDnEjNSF4UGcqPwgj9BUemup+bPrlB9C5846Nvfb+rYlu+QJ2E6aOylYKUvEeL
NSfU3fLQ4lW2sKRnyHlPTOZbEb+hbnI+51vN16yIXVuklavLPi8j6neQr4T7em79Qzhs0X1PJSov
FxqaDdzdSYAMjeP6ZewERy2UWvSdK2jyNsuh/DRVOHq7WE7DVdK2DbwOieLPDq0lqbCWrlDTVes7
sJn5CfYlDCphP/H3sarHPtUCxCOlEyhU3tYTyUY60o8AmMZDaXT37Fhd3AEZEi+QcIcO4GWLESZc
IvKo4OwDEEBdA3k+IOCHgY/xbvaWL6kale7SApbWOZ8j20X7qpSIHeBTG9Ccr0igVyXwi11JQnmg
JVxKWak2Che7JGcQ8zl3KJtyuoezeIQRWJH2YmuwYUixY8Mqgj41taRAbIMbj9S5DjFrsnlGlhZ2
n4QM9UmiLIYvBIAEyTmLurNtPIkdaVALmFJdeJoZKnwejhQHXPG1rG8DxCPchkYwWFQSJpps6+ly
Vw0yesZXytJBc0hHuNR8V6AC7AG+vTKPYdHZsYh1dy2t6t2mAWalmq/jCxyN4BpWLEPYFMb8DYs5
vlEJ4ztIaUF7lmGLGyTZ6JC7BCWrhlwSGxxEA+AiN1EG07A/BtqcW8V9j2iFOoFz2/VYFhzSI4a8
Cbb/w96Z7UaOZNn2i5gwGo3TK0mf5ZJrHl4IhRTiPM/8+rs8qqpxq9AD+qWBBjqfEolUhOQizc7Z
Z+91xlsCTtNLTkKdGZfKiX0h4ch6L6Qr35lVjKYfDaZZb4SugdMi1JSeIaMNF+yA9bPDNJmhbzja
ziacSvU2FWv93UQr9VoRIyNCe3Jpb3tS7qtf5/TqXuS0S3TQQ03anm0Y2W1RFiK+VGyiizfwAYxj
RaYt3nW50bvHBUd4RLpR5+1qqyKBIEEd9jmF7Rz6SxRC5CzZmLLtyg742YQ7dasM2FwBigAjdDLw
mvJ5cNoxaPDu01lXWgEsYxJu0IQVWju4mo7/RTfN2EM9G27aDjsrmvF6dAldIcg44Zknqf2wR00/
a1lrvwxpWxyZR2WnNcWyfO0a8r0VL9ygWTksr4DAOPTgVEy3qicZuCkyTmqyOYTUiZY3Dbqpsr+r
0rIe56tfNqHHLbypFlnNK2e3Pwt65X1rGUj8SZmCB2Z4f+sUk77lB6WJjqritayi9hix5y3xU5tr
B30pypjJradCwjvXbMRym1dvY/CdfwLtuEX0DtG5hYnARSH1C59Xfsuq0G7a4BInepEBxE58WZu2
2IfRwlgzo2L9FNFiN95gwSa/qawlJ0JkjfGrQDDjF32NK/vOPDsk03V+tjmMlzfQbtYTx299mVtp
7SL8nu8V9/ONJaMZxAtcnneicAjtercigEXCWiN/TG2M55IGxqWfB/vjW3igP6bB7C/K1sbbcA7l
Rdid+dtYSLY7YbI+m7xIXy7NufJ7YSXbucp3krRW7TtVHzIpyvv2e01GIDtm09kmlnXiWNdfmrxP
VDNgu9CHw0Bnm98042i/m2SOftYsBK+LuEVzoecZcfUhjYG7IC7MbLdhzDIybopC523Ra+uT2yW5
t3Q9njm2MKjMnhxgMQRVX2u98Bo2ON4Bi6kaX42rmomckjX2NaNVtAmDGcxINrwEgF/mTks/Gxyg
t9VYvY5Fi9zXohnGqU7OvehI3FAYNEzweo1OdImV9WitxpV2vqDV+UWo0m0dw/QICj4JvQgXhs8Y
toG2SOerkb1xKmPLMb3Z1hkRh5Xb7Rs67RsEHlz9YfOczYb65WTSzfe24DHbuLIjcapLigRPDXb/
47AKngnyYMPWUgCWHggJRCHDEQOxysmisAvieUh5O40BiAtB4JaHZgTfBqQpzeBPDLNWnYZRAU5A
atGZ35UlhVCuuPQF116bCwLRzsr+eI8LXv9pszCsOKfz6C1h0fvqa4OaUVHQrwIBYm0TJ0tUEPi2
deMmm4vlmDSJ9itMWpIXCWaUzMtamroatsnHFUNMKmNItI9IQ2vwDXY+fQIc4RRwZUEfxxpp/bF0
aqX20Uj6l4tqnZ4nEntcxlAxusMC18z1eASm0M/SdInOiyGMB4GS7WzzieCVl8AgaxGbyubQW9L+
LkIsfbMKfcfN8qBtatc3et1CPFfx64STH2F/pWJrETe9rOgq8t1wUUDBYWREJUEi73Xta9Gj+l2Y
PkOfkjERMYn0us856p1iqxJtwXRE6GdYa/6yOpJ3kDsijgczDgrUR9J8C7ur5nJPJGtOvSV11H1a
a9pmYov4Frd2vrHdUHHljuGF3BzBOXtw1q3TFl/g0/RXnkTjh5xBumlJF/GGVbZ7Yb7c3qTxPGn8
ibn9sOpLUm1E78aPGkviz3KY+Px4KV6ISXNckSRjYyoS5/IaKnxH2MyxESSrOS8B4kWnk1qqhx/i
psOXiscSPcLp4oLha8jQraC7+TGcbmz9VYvjJ1XjsfKqTqrz1CHgJ5Igph9JnkIvS6YyDvRhmX4S
jUFOvTbF47RyqHh1CfE+IPhlM6BhtQBFZd/Pcj9AuCLzk83LUfEgUvTmQPwmzBueyOK4Ije4GDHX
WNnktzh9hyLAOzAKtPW83US6lTzWyHkP1QJMcLWJNK+FvTq+aFp7M0ln8is3ZcxkNsMk0A4t7Zjl
IQCKecH7yUNsuU9ViC5OdHahEuSizJsgasccHUonZActyIoJQLGKqQs0tfDR2qp61pHjtjXBUmsz
ZLVgNjvH4wY8l4sgbHb5K6AAtzuSu4p/Z3bUxh44Saqikv2GzOAtAnSI5LJ6EYORP02dcL5lEVV7
IERzfRgIGb2VdMbQAow2/UxVFYktbax5xyyCiIahlXCKZCT0E9QJykMXYYWBc+k4BnnPUHE44OeZ
uYar5h5xn6xsX/AYem2yUmDj3GO9tGrFRdpJo59y7GvwpVolnuyyNTyYPL/LNZ9ttF82W3mtboeW
NxZaGu1NKyId2hJarXp4iQA2QBwcE3ScI/szeODI6maHPjXbS2cwHSasR67cVOSgvXGu012Ckekw
OZFZ+1qVflt2J1oP7xu5P7c17620POkOk9OpqQ6FhD83x9lzvFoFJEXd2mAK2JVkGnZJpfWovpH0
JmnddbwAd4kWOpsF5dm3c8WQwab8aCuIgRjg+uw62KWxQCIK4iGHIjlOYpsZLHUpG728nxTgpWJp
GRjqVI1GQSIn5K9ZVH5TlXqy0eBJePaCR3CZU+sOb2e3hZ2/H7jY4NlNm6jLpktpteJFEMCF1S9S
0nRt91qGIypZIq2H0XKcDSHRZYuWfmfHGgYlaQ7Wnqyue0CeVSH1iYxGTihXBG7YJCddzxhVtYmz
bkQL7C52Kve4ju2k/Cp0QzyVTvnb6exdQ1rvp17i7BKN0N/6sXQBQozO0Y4l07nGir4dLlDf5gMa
2py4S68G0YCEDGNzw5+YaZf1z/RpNhDvuZK7+qkgV7yXcA9JCaHePRlFrJ3ysBy8kbjK3maW8VyT
hvkIB7HCvxGL9jMOdtl9GBltEAVAQmisDB2x7to0mxxOUjkHfQIBAtN7nX9ret/eLHpMZTnGLhdY
OuuCaqBesmkL9+AqXTouS/SUk27hcA2sKZtGehxRX8eAiV6FtJlUCjhBuDNrp06YNtQOB5UzgUYN
qJG6I1tvOXZ6vrX33lLrCFsiCUUwzxoPxcgcwNybBW0C3BEDKqusOpWBABrwhhilbn30AFt+12Yi
Q4J7brYETue4B3d0Z3cPCaqLfKOMKaInI7d+O4DsggQl59RN3XS7pDMGLiAgFKYDvOwvAJJ95Smo
EffIAtW+HwzjQfVixE7qCI5EnEVTwGgzWkhxdeA2k4I1l7skCWnO07wcJTwAKW6Gtq73AMmuSrVD
jGBLdqT/Yrbm9Lv/Wenzf6uxU2H9x5n9H+uj58/4s/3s4r79J4X071/3N4XUEX+59HJCAJpj0wiT
kX/zesu/LBO7ttCh1f6xdP+bt1PKvwRnISeCga0bGZAv+odCav5l0Sq50C6lxO7tqP+OQqoLvOH/
IlVeXaVUbMTKET7Uv265k8PizLCa5g2DGDnurStz6erkBMIWq58oY+86N4jtGsHsjmuLwfh67eh/
biDN1pKNA8mXrqwzq7cCI7h7O3Ky8H+UnfwyGku/lhzGwZ4V9x9BR+7C/M+9GGppXt+b0BxfNWUm
0aNYYOrds58z7yDIsJXQZ0X4NMLMsEIys/nV7slk2SWAvVqEZBmr0Xy4heQ+/1tJiRsJaa0yy+hS
9pH+o6eVAqFkSZr4bHAPzbVikFmsydshY/YZAGlVJk005sk7bKjTDYvDKEPMa0WC63E69j3iNsn8
agxvwz9FTOlw+T9Qu7+Rf1703aRheeKSl9d4X0gSeYY8xjhiblV6wwxU73xM35RVku64DbiTFHu9
o5SKyoFvtm3/VGUkUbAMMjxP0js4UghrqE3PFkypG00YS7Rdydnme41USXaEN4LPhgoO162Fn7/2
FqAhHbho6kzZ6xlHh1ADZSgFaX8tTUlmyzubpXc3eCJi0FeUtx11rkkONcW5m1UD+dPrVidAZL1H
hMjxXJUnr/xpKMhj1F5CUp/Vwcxrqu71TwVOLaMeMjbeRefyT43OUkxIl8iP1O7lsmrzdqosCnsm
+eZ6VuBHtGNk08z5YlqVtieWmr62zjoNu4FI1HhGdFhc3/zTcTikuy7lPOuTDymiK28c0SMfwgdD
Iq3GWt+jOtLLdEjH7kGojBwCTQlNCNvBB/wC5VTu5ez0PT7gSlabaMW4GvR/GqjOiJNwu2TZSCB4
qbplA3JM6pvYri3J6VzPT11MZm2fXhu1+tqyFaAlfCtq2++qC/X5yFOHhi/+NH9jS00bmHoF57MV
wyHKux7D7WqvrS80ujJ0o9A6pqkwftWuPsz7WIdpuYnnqEM3cZGF/aWNqiOoCtz5CTvgboimIFAk
9sVG1XjuuoEYbh822iFi4eLRmSaE9A6E2atTpvoD5Wb3sbqLdXLNbD9WEvsxKDtHPoZkAfAo5kx9
n8jxowToIqNLHkS9POI8Xb9Zj7KeRxMgmQ/LNdbv2iFCjZirjFStLMkL7FcRFWc3ddt+P6sKlUyk
Y/HeYz67c1NbNAH4CyLsIe7HymcpoXpqlvjKCJOFRfRBc1iRlGWlifmJjeRkAwGjwXfQIv00EM3F
WxAV6tzWOuP8Ka6WHJh5kXzg/JHzhpQ0T7seaVAFajL3QdVQmCtHhC/aClx4tUGGF3NVfpOmB3cA
4GUbhWp+dUdeu6ZLHXunQ9J4X/KI96Z2oa+iJuNpVkV1KjElPHU4GxgcL5jhkhymRqKUcUFjpOLD
65Huh7HCI5noYOyYMspi3+CpfNaLrDsB6ok+zEzG7mbt2Sl5n82JTYNh0NvtoLRMW/rz+Ndca83i
pawnIX0h9KsfO2+e8LYaByoEghwqL6+mN2ti0WVoW/l3bcYtQ/wV9xTd6frCNKT8asZqdEFiGnO0
I6DoIEHQZVD0TuNGkdG5BVeuHUIlESPGqMqnx5qdsX/I21RJAJMxwbdu0VDIy7A+jjCPh928GDpE
OdZspEFmKAthNeRZ9U3RdK8jaOs7qo7KdxlVfcBbtstnJ+00EUwzLwp2ZMpVwB0stLe5Bp2vQlsM
5tarsQP7wOMZvxKcFr/6IQeaKasUPSNrt+4QN0HcoXNwhBcGTRcDXDhPSbNnNoKAhm3M5di/4nkb
0uDlE3YGg+SOIgYwqiZ8KBYNjXvJriKxnOxxU4IQnTa5StN7MYQYB5CcKI8caBDaCRty+mmN8Gz2
USKG7KyMcPWdiCMHRolRbGoJHcFbh3a4hEkWPdGKlHkwRrPe4/hK3CrQzYYnEaAsOXp0+unZXVZk
IhP2Zuh1fPIJ8rKy7vMZsILPAKJofBab1XVgLdc6TZoxoKVGalwAq40aSOELQD6m3peHxGFixEeR
WJuS08yFoJHMp6xPxJ6HedWQw5kcznNVJz4eLiQlqREC2PaN6eINTXGFzm7zWg5tda+NfcK4vEnW
r0yBaaEfMsHKz+lwNQAVSV/445DCySlVlu07M2dMwJrY6844a5XKc0i/X0K84h60giK9dBkZhQ0x
DOPTaeiifKcs8dAgF5wJh0wgubI56+j30KbcwUG0Ge2ouJ2tKnkwnHh8mRYal2yJXGMrNOadKW4r
ZhAO46Fz5q7L07gKh13TKT2+F2XoNvvZGpzf9qSWfWFE+i3oUFSSSpuQ7CHWM4UqicZjiUMa9/Rk
jsM7RbG97NWQ1u5lQT8dPQ1c0BkJ0H23zMW8TyXrWI00mT27Lx6GwqXDwgYVByFNHnu1oShhfNX2
aUL7j372K61ziAz11T4ousz4AHOBOT2Sq/PaJ4Pxg1IMD1vNFT7vFUAVA8zsIGY8JZwx1/4nSh/x
wgxX9xYckaXFqD3OmOW0prSPemMLuRsNhJcisuIgZ7zjEaKLEmxCS4y8xCwIp1oMOaYx0S3tEOBK
s4atJyI6SpWjtH/Eeh/dWGM2+VYVr/u5EHBOahcdMa4nZrpX6OgujbAre8ys+10fR9NJi6cImz/+
nk1pJ4u9wfxk346N1n4hgETfaoJgEHfLk6ZzsUKqi1QCvqattslcK0YPrIqj9LChGrecRfTFxirH
gyp76xdGpFrs9DKXsEPT9KAr2hfZhs69kniKzCzRn3KE9w9Txw57axCh+CF7VE7UBpks7qw+ZroR
p5OGbCcJ48jFqQFf6FOFPUpl868IG/r3xDKT8QUgWZnsrEqvvhvTEO39FErbvm4StN2jKlBbbhJX
52OMIhe7uGL/4rcRYUOjvAE7dgjRQ8GiU84hVupV4R7L0hgfGwGUKMAShIzldpVxqGarWB8gXj6M
HRyRo9k24+IZ7rTcL7bBMMBY4zMqarLH29UJP57bftfGXFl93heoEiqeK59mmteEQhxO+NrGB1xu
zrFMtWQfupNxR6gL53EBTHKDBj4gHNf5xhV5xF1ODfLdopk9m6UdbwZ7koENu9Lj4HVeNK0MsTAu
wukPDj7xkrASBN0dB637tCSp+h7GBgdopNryjohI8zLMCNkpEr9+NLIlv+lkZec+MHj9VQqlv1jU
arddb0Y7Nx8jJLGitYqdWVgKzIOcDWS0GgO2wRqVLy5IjMm25WQ+Q2fjtQ+7T9k2IeGJMcdKGZHt
hiDVNK96YtaapxNYhpnLgqfJ15KlxOIzRE9QmBAaHAtEqqBefJyafDYdnuRGvq049X23gX/21aui
xJSuOI1DTE7U5J86+Qh/WOLHNJP6QZMGJz/+OcM9NnhCrL1YsSvfZMwYlm2RQ1m+TarRYFvDpNmp
pymGr3vJWHDd8m/4sQR3CbvtdGJt26QZ6m3HutX5NNBZP3VARE0/kZF8xBKoJ4HEjQfcPasf2gXP
Gc/+ul9HNFwvc7jmg3IdhksCCssnmVOfWDxtbKVGVZDk6reyrj5bUkYQz1onNQ9dyvThFdpJjBot
a8IlRQ251FsNATOWnTAXNc2oqaDG5mFINo0Vz0dRuNUGpyRgrg5G6kDIZjt0jFf8OLdb1zNi07xt
Zrd/mLRw3UXEXN9qPttDSeo18w2rzEDzaa5mBXDsk2QjrNggjTNq2nvcIxkeU63GjDAYhf08GaOF
VytVOmjxdmSCmzv2jM94jG8jdW3OKvu6FaZz3fkxWeYw31aJm/IrNNd38GvTh+S7sIIUXK0OxLuA
bKiMutspo50/CPkyy0n0TN0lMRNsClxO2JQ1KltgKvExNKr5dxE2y9Za7PyA+3lN9rgb1JmmwQmP
+Pflr7SqjSDXaWcCigzkFxCyTK/XbJ4/Znn1wUiwKZLfYkikiFCPz54WDOV2ZmTphpcZ4+7Ekp1f
vL7WTQdfE04DcZuEsqOM9iT98joY43w7iQaiLvp9cScFxdAmbESiQxqLWSxERyzgGSVaSldFe2P5
NLlYTlUmP8yeC8xf+4H+FTFMXQewOXDpEITp8tyG2Pb2Gk73dJsAEf8em9Y8jPGgvxdz6QRdbLb7
rOaYXyUapmeie+5a4s2btsTYhH89Sj1Q8+x6WRgRVUylrO5DaU14F9mjubP0Nn5BVMwd/Kl1nG3D
FAf62vYV9sZKIo11bmihl0altWHejc9omCIUUJjU1DWA+OY7p8YO6kd94n4nruE8Gl30DCazzT0z
tZjZlMzssRZj+WfeuAMY7hyXjgUDcCnKA/Tf+mKPjQhq8k+shWCslm+WZOgeWvYVeUY72OCpy6T7
SnvsxFtXun27t3s4k7Ts/Xfdr+MdfqSKqZYUduaZVRRdPf5YdVU/kZXk9/CD/Lw+YKnqqewT6wYv
iMUUBmdlEYfTGVL0ifwnI4ocwuQCOnXcZ8r66shdXfD42kw4Srw8MV0SDvNdl+ZUvKNlvK5r/M3j
xgCyQG4ksPWdw9U+dKFRBHni8HmnVMg4pW5VodXHwuz4hsaqvsAS4wLt2+iDmqKoPA4/61Fln0Ka
JptdQ5NCvzQCAqLlRleVecjIgz6GZPR27AUCVeHGQVV1BuEWbJ4DRo19KFrF6pJsv5YOY0BryNKA
LYvlNi1a47HV9eXEVERAe1DlCd1w+kQ3RMcMM8YYAKfEvIdGD0WdQ3L6WgeL+FuZ6Q2eA9M59llD
0YWRNM39cdKaTzOznGWzWlDClsFo95B0SJYgHO/StJ72NfNXHpM6u0A8Xm4ttH8ClFPOagYsYy6i
bL/+XtIOgFJGBembqnCecMaSSJE1GbauVPTEOUJxnYlAUsn/zrW53bXXHYNcJm8NCDTdWytzOHcW
h2gP1yj1azaWhLuicqM9lppdkzvZrsS05ulowWjIVt0/U+42GGiWrvbnPz0Hc7ug6czsxzFil6lS
tT4wfVrf9TyyHsoK6x0EzrTzG6mWziuBLvmJyXGJcrMzK2B3Mqp3MAutu4EVQPxAM4svpAlGbCdZ
G7I1BsTpyO7NmzGnPx1s1bxNrTix5oGBqzBt8wEWb79vina+h8yLcCTiwvGzMntrckO8haKog3wg
tIuUrW9UuchtbV7ls47F0YA9SCnjJosb0yLRlyTHWkivMZZhb8z2LcObySffpk6LKXUKKXdl3GA0
uDl6XMWMFfFhRNpm5DLeWq6gvLOi4oaDKt3wyjivpdYgy0dtw4YrgywM8xZc84SDCYCM8xP4qW47
dRViduMO5p0TERz3otRazlOuERwd2sWrjDLfLn3UHFegh/I062ndb1DTGO3G3buWOuLJtJpeo1dZ
u+eVcBPo38x4beZU7OwiE/xWV7GvLX7/bRn1G7vD8HckqkAZMsVTMJqmSZ2zZvavucw/MTMk/lzp
6AX9WvyGmxvuOB+qh4Y4BOVQqN3mBgkwFU6vfcrFOsBEwDAY19WOYOCIwD4/xFVu39YmCE0skCNw
WDemvSEoZSYnXHHlwRat81v0xgUY8OR3zBEoyMLlYqnF2sxav/g6PmvvKpywk6faxXPaH6wZi7m3
VKv1YsnCfDfZPEEClJskGpKT3fT1bqHfYNZEYYsNw1x+rUluPOOpEj9TO2j0A655GSD4ppa59re1
xpTkHI91TE2txXuidV+NqctuoxndvKf0Xn5iJy0uWWfKPb6LZtOKAo6KYFOyGhZssA70NW9ZuphK
ajUjSTls4ybK0oR5jkPTcg8tj1mvSQbpH3uE/48X8V8jZAR8lf98spCsFZb8f/JdC/3vX/a3wYJr
/KUgQ2Av/idihCtBSUgHVLFtMz0Q17Wv/yDIKL4Crzb/GAJGvAnW6u9TBan/5VJsmq5wHJ2vtaz/
1lSBv+P/tz87pkJ9cw1LwgrWTb7xf7Y/zziOuES4UMsRaKeZlfWOjfQFU0D91mg79wAS853bGzpw
BGaPYuMcmYXxX9iwQWH8O9+HpAAwbVuhW/3r9l7DjTQ6w5CpRtaBwrN1vGvZtlp9a7iJ45Nq9o11
CYsE+izoFHxqbEOKwjMeix70rvE0NPZtJ/dr97Imt4YoT2w/rJGjOUFDspqTZZ9qEijeNCJ+mP39
Miw7PewaWDgUyWJ4nrr0ZjFhE4blJi26CyHrO1aeHaVRI89b27ArXlUR3RHZQlk0s6eBrOuG6fkn
C7UANRNjCkyL4Tkdf1tvZv6iAKPIAqgweeuY0RrLvCVPtU8j40KninZ47df5YDvD6N9QE6+pvVVs
bVpFetibsSy4DNhLs8hzpRHlZtvK6Lxq2fpAhffYMC7tonlPD3UsWSzGcixP2M3jPF+pEWS4lzm7
BWOCqzTCuYgW7OyJXL+SkLxFyD+CNfzNGsO9Iz60Tjzb2OWi3j63ZvsA2GYnqVH1WQsmKXER23wb
xAr8Zcg2/ZL/At/znTRkr4eVdRuo3j9cWuGB04tOecUhygynCWZ7PfX6dNYQjwL7uihsYomvQSVV
5NGhFQ9dibsat1SwqumxmaOLLriNJy/l03IzrCDLBpcjrky6BeO5IFznCdI7VvfYlPMPbOPD3In3
tQNAUAsE/al+i6aEvSzJSbIbbQtRMyhCWnTbfebx8jJzS0pNYV+yi2Dux80ixttIC9/Cej1RLz60
NiGd2R6emUPg5P2uCqgogrzvyMJn2segmlfsUL1pbFpZ+hkxX3fuP1JIkFIBmRRz/mbzaDax9ZzA
oIBbUH5XDQCQJS6CqksL5CnAJWn/JXpug1CEXDTLkezsxmZ8YuIkTAv9SRWvdtuud4zis9dxLU5d
pu6huo07Z5lcr7Wi6QCZNkBOP9mlG1hNue/j7M0awt+ZVkE+uKvN544Mt6c37BGVtWDaZFPHTuuB
uuFV6eV0lcoDTNOXNbTZx4KlBhrdSLJILdhR6jPGDJ88Ok4itZCFRsbEAB3hR4ovPc3iBgv+3lA6
HTwtPD0A0wwnvrCq8YaWAun60JVG6ZsWiFvHvSTJgF4Yzq/12u/XzPpFP7hJp5KQuaZfF/XpV60s
y/3EMjZgD9lwlfwyc2fbZBelC+pM/Z6oAywMtSU29iKcYj9KNn/0CDHrar2y+pfUfL7j0QDCHEvW
omKV90ad8FM4WrfVoB9jiUAu12fcDmaAY+89gf/hZwl932r6Czs7hwLHh+x2Us5+uTr2aQStETXx
lzWqix6m19dJ3rmC4rvpzbvERejN3A9ytvgkzO8q0w9ps96DGsVfK6tim+Xl3izFdENUFO6GjW9A
J55xxbOh3cPLoO3alPqltVaKDMEn3/A5Ce2AQ+IM+mwCAGpMft2OW+Lzf1YdXQg93kP5bjx2aj0l
TrmDnauoeWMCz139qzIhVS3WS6GTC+Q/BDLNgLWaAH3n6lTF7TPTrruw7N9ZIllfB1xs/LCdFzgd
j/Y0RYyPz7Pdn7Dz4Sdqn4Tm3q1G897n5ofsJazq8EYsw3uzZK8ZKO9dz4agiOnAotHYjnQdJKYf
FqU9EE49zIVOBtkuj/2AMsluLCATqpJebLfp3namwyScvSRpsLb1j5EVO2SfTycifj2xNY4VnPKM
sQURucHuojfObyntl/lq1qsytWmmZdsYbu3HKu82hUHhBjV170D1kMN19wORGs+lLcutGDdtSga5
Mm5mUAcb3rDbftFfG7f8tdh2s1HFAH666D7TzObFoKjEN/U+uuGl1JwnbXJuxNjfrlJAMsP6vuva
7CyriIUk6vd1ewSR/SgP9KS7WflY2VZwzsZp22ZwQlQ1rViVEJVZcgECHlqtj20bLSg78eodyNSX
m0FpFyQkdIo4ytB5tbMSmBqTKPluq3rXrfmD6BkeM4y77xgGsTPnupqHTzLbtJZ9ZqnaoVrVETfL
JoebE/d+ZjuATCmMxRIeLfN9MLJnQhqsgm93ZJbYWFb6DXs2PFExn4jDHW1+UFcfcVfeFq79Crfo
wLq9oM/ViXHzfhrrLUbyQIcH7zuOBZ15DrH+9KQIHptwCpoedH1yC6aXFR1E0olLujzpTq6/QQO8
kxOtOxFiz3Z3bLsCQteFe0yLK0aG9gnA/mebwRpGqM/wr706bhuYuMCuo7bSlfspH27I8s6rERQK
mIBWtvfaapzx3m/ZVGR5bsorr5n2xZzj3/VyikZ7g8OMtZ8/BbwEYVrsqV/Zl2H89GHFlrgBDjQ0
e+o32ubkByHhO47UnWH1t4bV7q/TJdZxbsSAw85s3TcnnYN0+OlNHYsxRyects5sb81m5iWs3nhF
XrAeH+38Y3Sy93Qs8dSmAW30zSCGOzvFXVuZHC9hfDY5tNA779uuOtrTfDu4KesYizs4Lh9FBIV1
0dQv125wabCmcl7ONsACTAKGn7o6oxZWJevD57AObwB72GHC4lU9/Vrb8heNAKncMyRUCMdw70xc
VlZc04hjFs2xOWADmZJHWRwNDgV6MyawwF8CYCbQowYk7WI3Gec1deid8zvhJr9HSCGsMEzQI7g/
q35nzSglQCniTJyriKR97jY3kcru8YDAFIITUozEUBiRF/07+4lyUOHPqcoCArhb1j3c1mm312lL
PWNMXuzENj1tldBt+LHSi70G5WDvWHu4r4ruW7nzKU6y/dzwAYLkUgWqrUUOz20SHH35Sc1pYNnW
Szu3v1w2tGx6JsYe3q4Xs9E6H5vz6s9p8YzUo+5hFuq+xUCT+bqgsKmqZIfM7E9ae8zQT7IeU2ep
zEsdW+9RunzJcHjtRnBqpGM8W7UvbVbvqyl9SW0kMTYAWJLM1HUx3fo09vLaqnoZS02Isjw0LKPx
w2636ObGHtEdovM4ma4/sa3UdXnUMXK70w+r8nDJ3feNe5wK9xL2yV3aHZGdAoutG/MDwXfowNvY
Ku/IamBzJbwe4L7l/sD0KIYHdgAxtoImkk671X2ObPkaTeIhGQTngbNLoqcsIa4OVBQkGxA1h/XU
ww0rH+9H/UIKfQMmAVTIh4arb25YN1ENIAn/H3vnsRw5kmbrV5kXQBk0HMsbWgdFUG5gJDMTwqEd
+unvB071TFbfHtGbsbuYTVmZVZERjADgvzjnO8ln3zc7tzdPKB0IJquGw+CjTuwr95efP0fcmyPB
FZiuF0ldsBuhkSjh/bPLMUa83OJGBBmI2+YjJuBNB1u+cgJM0YL6odW8F0m8BFSJ52qWBqOYaM2j
z3AmTnhk2ZSkA1qMKnMfjezWOeuwQHcEJEZiiWCL4fOwzp5CGuElYe3xwfeYinicyLWupoMX5PJc
Cjf70hw2/jkryH0QsBfiMe03r04vi+eK6SR2ZFxKXdqMv/KmEXd+ootzLa3uR8eiY81+V986QOaR
LbvEAwQtRBvhDGu26PqXm6fRvbAy96hXIUYKHvbZjnWAfEYGLtaEJPsPU2fxSWpN9J5RDe/SmBzM
RaI5xrqBFHJIcNi2hFzLaJ1aM5I8jTG3j+HOQ+r7k5cUX146TZ8okPRd5ozNNtATA4NYbW2Ie2+u
Ihrrg54n2VHXvPqRfo/6mMIMKW+dq/sqk9ZN8I6Xml9xtiRRv9dxrh6Lzg73rcasyqtDzjhUQKtg
NMQ+ZCdOfGKXkstblNUZS2AIaahmHuf4017zS3U2cygFad2qA6lq6OjZqqrnofb53Au3PDfo2Ja5
OZ4LVBTUM3ilHgswRc96rY9fZZFXx6Rxg02IJOlqD1PxRvKJf0HVWSGlsrh/BDqTT5G47asGCRdx
chclV7trnJvjJ9GDb+njveoJ4Tb62nno7GS41oUfATh97pj1osGqt/7UDA9BYdhPmm3DH83j0XyD
1N9vBiZmpN4N6X3dee2lj4lcGDkw3yMYdLusaAX75oG1cj3ld+DhmjvHaNQVCEayz7DT0EOyiPfD
eXdbiHbDpDDchtT1C9al7kJ2EzyowDTQxSXZ1ocGvyVzYeaYjjFJdCHgHZn2hO2y8Xmx2pCZKY+n
98Qh669EPLGzE884atMEXXTGbpDwfFewE4lIiosjZ9k16Xg1yaUJF2U2do/4zpYjOy41ZuR4GxiF
q+nLSRN4jr3CUlMG3S3Q3CeRT1e3km9unO5sJ9tHhbm0JygHdhPvNHc44mRcw06b55TOUtNFuLI1
MGTIRHLde2WwvO9GxB+tYf9w2UtaKDXsWq4ZJi+7UG5gdSG+WfQcDLZD9DS7B/ciQluf2f0vg1nc
WOjsY11cUrtdYSNZRonFO263nbyYev1sGI2/LjX1yugeRXiIbaLO3Ftnd0+BZlzL0U0XCOMXcSRP
44DECquriMNuXxo4iIlzT3dZ3kkcCOZ1FADPkGosiyRf+1V0ruJeIR2mKFcxJCfT3iAHw0Wmmaty
rdqXNoKXUqijH+GS8cWGAJFfZa6eflOe/gPPOZ72vww7hO1idMdqT6/p2EA//b8buri4fpLGcfud
m77Q5sfHaWgHwpZLc6EZ6XjQ3by6DEU43fN8ih762HVuRqKSax1UqPmVm3evQnbZJ9vO+aiZ7xrW
+v7Fme+kaL6n5Hx3VfN9ZnzfcfO9V0yhfOytnAFKwa3ZzvcoPMfyPM73bTrfwcH3zTyEljoQeIoG
kFis8zjf9WK+/+ErhWsSoKtz5it/27eQxlg+BWKfBKitSVwP7kygx5tyfrYY81Nmmp83YcCTR28C
9OowvG4ei/f7ylDU52EUNY9QsNSjXqjsiMy3PpQsuK7hRDfmz086M3B45s1PP6BR06czPxG1sDB+
mvNTEipJvGcoTIJGFREgNj9MGY0XnJ0haKzvh20LU2Q3ShG95yV1RqmP/oOdSH8dWaZ8BqpNw9D3
sw8u6t1jNfbRve0XxlfgI7bNKoxJZcIh/30IFK1ESTqfDMhMuh/BfFoU87kBOnL8pc9nCUpNdE7z
+WLMJ432fejwbRZgrziJqvlMEvPppOZzKvDSaBYLnYr5DIvm08zgWENEzpZIEEf6gyHhcSa+1ux3
DPXc15n+KvCFIyaNU/NldDyGWiCjMMf6Q8hdg7efuE0GUJJrc926XYHlhgLOjH1zYQ05HIDZohAx
TDZLM7qUHVeelVabkqZtByILh4yNAPjDBvVZ7ApsATQ3RWNsFLFDkFyb71cEW5MtPchMHue05uVc
TDm4I1UU6V2RJy4KJNM8ZgkPia3bC/pVov6oFDKitZDdubb8tHTM11bqw1ZltVZtosCiLqFbWJJ4
A+ety5C3JtjGWcOUw7qrqges1Pqu1+w3Avpm3VhHJzFRV05cvmM6ez8RQPlacEuS6pY2UbbWSAdf
TRpxXz25QWtBw/6TJuZFE7pztlrfX6vSfiLBmwoITcJax83KE5bY47gK0wcBX+Ak4kGuOejJAdNl
fPMILWdxoQhod90b0LqbqOLoCC1H7nKPMrvN9ENoGYh2umiINgT/UfQ0qVyRPvQeo+vcCSP+NcJ8
RcoxRVTFEoqSMZ5q6g8QV/zvPRcGbtbu1WmN4pA75M3lLmFesi7MLa75emV0foYY0N6KqEC5lGM3
i/QKjj3dA5rS+gN02D11IdFB7lAtqD6eymJ4Lswsf+yxQ19NIpq3dtt2GObg6J4Q1SJukmGxbQDe
rnvNMLbAucuN8KaJjXCnNp3JvQbjwl4ExNUvNOywGK7Ve5933n40ZPxKsAqCoZQKwikhmnq4HDLf
qrcBlA0uq1gtqiwblrWhMJCWqNeBzlZLvWS+iCOJ/O7QzygtSp12/s6pRnbfFhXTyG5mEZFyh5Ko
4Rse6VphhQHi8bsbP+fsQwvP58ICwPyEWDE/Fo0T7M3SZyvFsXsuAu+HUSogmSZrIDHwQNEylKhd
+iux3FuUucZyMFC7mlpoX8qCNSfrVpPGJvqhfGoKLOEc7ZXKiNHOjYU/xp/jaL72Kf7D5IzZnivC
jJdj7t1NRmFimct/uWp6gBkJuUcARtTSJrXQMHnmmqYjhLhsditkVTh/9Xlxm89A1cKuHzvD1J+Q
OSu6V+NrKMjMdKrkyavTnVHz4NIs0dMZA0DH6RWdQs86jl6PGd7i/hpqDgmYH/GKgfSlCxxzdjoX
1S5uumIf4QbcwbCYXhNg46uRILDNNMiOn0M9My2TppvekVVmK8u3ySRkeb202ThdofqVHzAGrT02
Uf0Y9X6yJ9BUXYPCa+5Q+Od3TqANnwTjUD2ZlYcwkIqqm2uraq6yrLne6r8rr7kGM7XG26MS1FbB
d3XGE9d+EnPJNq/Qty2f+P+6Y/47SQiWyb7otxplzlr4SwzC7SOL03+5fPxof19j/flj/2aOsWCU
e8JEquwL22Ij9W9BCKaBb8alpvnbguvPNZbB4sunvOGA8l1WXQ6Olj/XWOIPdj0mP4WjxUPgpf9T
a6y/FlSejafFFD7/cHg1UzfnLddvEJ8a9VjrQstZA4VjSosvRGrVe2ZDkqmRC2mNPNhqmHa0jtF/
sbrCyPOXas6jn9I99nEmnwnia/7Qv744WGo96YF0rQ1KqF3QuOGSZm9kvqeGBTHo2HPShAYa3N22
LfX41IDS+gLUhpe8HDifIm4ifDHTNFw6R2AOmQbnCB94WNRObB2qmqVEzC7ubMVKrNjWd3TaFHkj
mhKU/HXp3QPtdOh2wY0uKw4kCy4yKcImv9CbCGWdAAZe7cJAF9O66swciRzdWDYYcJppM0s8G5w0
yrp4yJdvhl5hCC/JQr+HT2GeTKG0m4dTf+niarz2VggSGVbUOZQzcFvTxqckBleCfTZd0DZNRE24
7dYcdefoQxjezhKc/QRVyVoOtTbvIzBVyp3tVebJc9hkrWotbvu9hobFOlZQIBEKEPK1DWMYJDUi
NAxG0SjeBX5+C8h6aT4AfgZiQKokBzEEHcWjb9yNXaJOTVhrsF2rKLtHj9whQhv1NzjMCg8IuJ9x
qdNRoSQz+/61D8OIZE3RZ4/E/b5QdDhrst9m43tzFLl99BG/7AAHqV1XC/b5lfbutrp/1jHcu2g+
OFbTVrW0czJBHOAm4LV3UzYwzgMtzZclGfAK5mlp5MqtiYqUDq4SxSlnN7yP0gH+cRf1txDkzxZO
b7jCoz9tlIJvP7V83cqQ+gemaABPeakCpP3ZsJVM5DMMCyfY/OFGIjw8WxrIS9NjyuIghFp4mhI7
WtYEXoEgbXRoWuM0xn1ULjPAgMSm9UG5KbWUr7/OJjT+pb1HGAJfSTOxLSAAXrlNq144X8QLQYf6
mdRUrumQ5FyDA0vN13kTxumygi52tughbh0q8kWUtc2KuZ5iuD2olZP5JaSTCo0P36C6eeaELdpB
n/MoQuUbq87Be1csR19T0Qq7i9GyxIj790S0lrEpXWFiCm/1vFpJhXhrHRk9UbP2NGcPWb1pd5ss
jqeLyD3rM7eD5kG3ctpyL2lSwrvFSMcTeD+n0KxZbij/qWkUK80xarX3JDaHE5Qq+2ZJHHeroRhY
I9sR/qo1xKaiBuLrBP3G0LRqi2swwTeGUpyTUlZhsW9k2H+W4xBjs01M85TURm28C6FGjC6Ez/v4
8lEvT27yqYY6veuzRK5Q0KY3FZvOLi8qVmRwiJFv/JpmVif6oh41omX9Avlc/ogHlezG0InPFIfR
nq4IvBCrypyP0+ouro+PSndigHztYDRPTOn8rySwgr1WuKQDOBzcuep7xH8qc3ZSr5JqBbNMnSdk
hevRyusXK0irddr2xkUvJucjmLp80/ZF/MuE37HuMWY95JiTH4veNz5IY3TvDAbO2yAK+AgHoZ6g
wBbbtIOQ1QxhxiTaqZ4x51pPBGTa+4gJzaIsRxBWjpyF720r+21JUhxBlXk6qCVtjlF/QQDPw2Nk
1SGNTJIKmy1NXAAD4idf6ynYBoBUfzG9c72dPerttDbwGEw7sycfddHEybjGvkYUdIQExoeHKRjS
14O+DPE3MrgfRpe1kMY2YUi6+IMrbRgXOWwWHkieT1KiRpW8RmGJ5T6SBMdvvJI0wJVltRmCocrz
T005ZofJGg34nbakyhKaKfZBJYx3R3P8O2AO3b7SveBFWUjoV4mGDG+V5H2srYOg47bpcL5/QNxk
Nx80PnHbyA3A5+RUQaAw4gBGpJzuDYg9IOPxJK0DnIUfOTqGS1NHyjygOfPXnTa+gXvJKS9DPpic
qMjHvLXKnxgRuj05XNG690xQJHpLhM1i7MamwtSS5a9c/ExZswmz9hJEgW9tZdAgAmypsaGyIJjs
lxnqJpqXpiLR2Gbl+jawj1rRC0ljk0U6EaZuWzVv9G/KXntIyl+wY+uvFTsqeA6T+RW3DSt+e/JX
fjPVGxTx6toPrv9DWVNx0dE2J1vLaXRcp+6EqyedgmI7hgMSBf63+Ah/HhB3WHrWDS6dywbJ5qZn
Bd1UYHFr3kAmJ6QOWTTBKu+NhC44lEmmkb0py5Jnps3zgrSiON0WEm094wmnxdLpUn1uxDdlLYOh
qy2w2quVmDFsHD0Bs3Pw3e2ymEFtcka2yRp4G18ZVJEEoJst0+FUzZC3GLI+GT4z+g2LF2CWNLK0
BiZelt8B9GzRSnI7lDM6Dn+nc6dwiERrP/Osa9KxiAb0WS9DzLMnQAY9T9MpOmZ+1QPpghe9QJyX
0Eq7NlYIf4bYacbMs+u/2XZ21+vzjY4Mb2pqcx3qvviRkNMaIqsnYpqdqK9+1dgLgHfP9Dy9GbQN
rE8qIX/G62V2Z68Evfy9Jout1bjDXTQz+fDphM8IG75HQ94ywBsJyiuicwDK5iyjme2nojAinHQG
/pkz+y+dKYDdzAOMvtGAJmwklJyz44RMYktfWLZTn8UUnRDKsZHsOJDbCv24XoAd9Mzohqyiv3Sw
WTxWfhUTwG9SIVq6i/2NL+xxLT8MOHsX4MRpOQJ2yzPvsCvgt84ERK2YjCU12Sae6YgUsF9o4R3k
PvVVzgTFbNaQ20nJ6/GD7qYLMu/QFD3URemay6wso41dWv0cf5CLOwyNSKhdhclsJc0Z4ch4jJW5
hOvIKdfDXeGiog6iEGKhCAMSlSprKDGTIV0zARKJMQGzKaR2HXhklIHBMiWYi1i19U/YFjTDpG03
X+03CCD7hgJ0Mx/Am0kBiAWABlRQpAAIfMMEUnDIauFDLur3eeyWs51tolqT7KofaZuqoxqbad5f
2EpQ8jmch2Ubty+No8wXQkzh14QCM89cqrgLPAJOBuBZ2IgvKt39mkrp3dtouZ8NMJghPIlYHkJh
lUDTGBfF61rpxVMVZmpYG33H/ZSNvn9XqXK6MGHodnXu2f/KmdVNM7laoSteByWh3w1k2EFWE+5Q
7oMhtmEO4Vnjy+MBXi5neB6ZWI6sf/rSjKMNTgx0ZVafjI8w4DDCUrED/s4ZNzs7fSjqU6v5kVqP
YcGgIsnKXw3mdB7xiTF08/di81xVGJKW7Ph4iMWs2dSprvq0v+aZzdyYaGwW/LjGu2lth9qIyB6M
Q75KQoNvvcQh6C6YCsYpc7OycTbOGJmPXR3ghcajCGIz6UyzO/huRU6wYUiKjiL1D23npSzhM32g
AnYDfWGMtjyUEP0U1ZopbuXUmy8k8rov3NRJdzDs2jpm4LFOEw8dySNdek/kC3X5cXBBouFG6ytw
Y4PvEIRDGA0lK0rxIyZH7UNoVcyeRpvAsXs6ZdS6N3MFqIzOodsA/cI/wXfi14doDIKXNO2SZ7ID
ERFPOETE3mn6cJ8WdQujutJ+6kYSgPk28KfrnCr7EeEa4SoiSl6tHvgUXYLWvPBtl2em9cwopsxq
9jBTaUFUah4nG2yW7wTNKSuSNMYrNIN/+dPXjEHgEQyuPTBfdNJohYgsULD31Niu8Ao5t0Y3K9Zq
v3Wu/2C6bszD899RsnSZvm648PLoVA3bpvP9vRfECol9NSbOOTD0dF804Wce54/gp18tP3s0nZyD
1YsgEqv4XQEGuP/PX//vebLzy7u6LmyqO93W9fm//9aKykCZmew1tNOzulCbyvzEh58e//NX+e5o
//6v9M2540Qfqjv+3zWdo5pwCEw2KUWQrlZtx8h76WmWJnZ2NIluKbsyA07p40nJOZ7MlYlLC6oR
6SOvBqnM+1HL25NbZs2DBNx6nj8ySKe6edH6cnwlxgr15MxPX7aci80dpiUUIt9/xP/Kiv8rWbFr
CEYVs8b1PyaW3H6mH3n4kX/8PpIx/v0n/xzLGH98w0WQBPP7/lVD/OdYxvuDTQvTCWi3cEtck/vg
b2MZ/w8qBhYGDEVNAewWgfOfYxnD+YOSx/d9W0A0QQ7zz41l/p+AStdxLOiJwjNIp7Rg7vz1boil
iJWVIAFQevPgYl3dZSDFYAU67cbXsv5nIuBxaq7vQ2jKxqU3pIyYI9facVKw/2Fzp687rssEz2fv
3Ct8sBtjCvJ9w/KBOQOpH14QumcLV8Me2nmxaSDR/6jNoNgAx0o8fmXZfCowQuqc6CgJF/UQu6/0
nNFzw3LvXBU1jV5rNjjD61YXR2+YxD5G90B4DOhmyBIJ/CV6Peh1SLRgjuT9F7DFmkecOFJSdq/Y
BLol3iQT4Ci8s4kzzrN3tStiYP8csfjv7HpPU5w85ZlnE2jOHo9ojXRgqYMgTMuXOSkbVznYdgGm
yigh2Wq+c24DEecETnnOU17r3RuqcHI+CQ5q9qWfBDe9iQdi3nQpwbxhMbyMsu7JFtMG0LZNZMXX
hhPguc6dWK5lHUNBY/qx6PrxYhCUtqMd7L8KZBQA+YlzX6hUqWsjBy1aIc1kp5waznOg99apsSzt
FklPf9WKnCkaTqJuP1ZdDzw3zNe1FQKuGlM+8BBpMW88ZZMjee9txEiiEDiQWrM46dAtaM6HNP90
2xIbZaRTIlEtmbxJ4WPptGgoJXu/K9lFFN/SG0fI0EmY0nGhsw0dN96a1F+kkRj13o4CsepUf8DL
qK+R/GH4D/vooSVQe9EnYWfMhhVKbQ34Lhb/qf8Ioyo59IzLz1xQbRIswNBqW5f9/DpMPW8V1f6q
GxSli250hHDU7s7Tsvi5xEKzIsWElapG/alpXkYsyVBdUXqE2yIrRuZ+eIMjX+rrFAfZzmULdOQb
ZQuhqWqTTVJ/r6ZpOkQ2ggssN8l5TLhQ66L3PhuZDxswomovCxOPSC5uVdUve78uiIRqozvsJaC7
/Lp8IssK6UQr7I8Ykt8xxlm2BEKHRpwqx/KAmel6+ZYBgVwYHsURX9MzWxLsr3nbYNzCSxc/Zmir
6iG5K1EptJFzYMsTeqib6cv7RTsQyYahtkW72pTlktpOeotShfGN+8A7K4PcGl86br6jw0gOKVTn
V+Xp4mY3SSFXhWVYsIgzkJSLcrAyFvb1jGOu9GonuaYusAUgRVPaAwoXfrxnQ4TfOCtc+zlPhH1x
MmGx6pjDyMaswOHooc7Tu7Tc1JAZ2RkNgfokx4zqowXjBxLPoGQGwcDX78JHWXCdjHeRDZmFxgKl
dBLoRHpNIrwrh4ogcrxOtBZCjCXNMENYJtjdWxknpDrGdn8Y9dy5EC1IQ4aPduI3wRxMu9Z48OfN
hpgQnc4Uve4mfPA/beaxze+H8dNP4+w2oiCrd6ab2J9c3/GvyO0sCx0e8lXw7mb0YQQpuoQKlCUR
WpHnXRPclsjRM9gP8FSsaiOLpNr2YQVCZ46s3JatzK9EN1m3joROMH6O+QgV0zrVWmXyJgnXvIti
lGcr060gi9Zka21bvQ2vU58Y9yRCudukR5jVRGX2lXAJ860GlvnMpK45pVJZFExTtRMWXbjBDOaS
5xmhQmkNHANGSqAf3QCUD41qeHSMLjlB1cYiLxzHGJnRGsYNgnqPrNZNNcJ8De/iySa7F3WoPwCT
M0nuJsY4Yrvfe09hmukkpJVj/dVPuDz0DI6lB9WkWtYO7r9WHBJ0lNzzSVFh6xo6IvO0Qm4hQlZq
LWMRHSw9jXa9n1/0pMaXZmiOtiqteUnoN8ZuEEYGp7BBVM+Nu1Z6Fm8xVcULo5/yRwVbaNGomElL
7F9ZvIdniETiS1p+fO7DQG4M0OGM3pvuGLqZucMdqH/KqZLnrkNKleRBQ/6N4x3p7vkOzdA9BX4l
mQjDkOBZlB/zEY8iA/a2X3tZ9onPrEAPptVo5nPU6lG1cUX7krhpueXWh58JpzKqzGilJbL7YRfx
z0SV3tpV2og73AAlUjA5xxN3iDW72jqtY++BYVxNzfYQ1bnaPVhqsoOmMGdBFxywoThzbsmgr5tU
G1/Hch6LBmBu783AtjA8h1q5rm1zRV9xA8k5bDKHxqaIytdUH819Wjbgxev4cx5lpQfaYSzUJXmr
K4gUzPUYww2bBvj6g4H86jx0GntiWTaXmq2/J5z3dih3TA/KRY7FfcHYoCVHdjDomsyTgV0CA3qE
tGDh1tj2ABcWwAu8NoHMDyNzQc8xIkV0ZrxjpPOvLWHSW6AgB+i3bbIMHCgoqymiBF8ZohkzIlT7
kjF9+pGNKbFO7CDerLRUPvFYrH+Tsem2eWRU+jK3tOqhatJ6O1W9oDG0BXVCN7THDOV1tjGZpyCl
gjg6tZr1M8NbiFIi6xzkgGUTUcxoYbos+zYm3LNUnAOxqYphMZqwt5dse9yvvFDIfd2mv8YyUlA/
sXB7ZDksfL8dl0T3nItCXPmz8JKHzpjcLKVj8Al8kBJLI+iH5yCIfvhc7m+TQwBE35ydCKGZVFUC
fj6oHmKX/pkVd2Z9b5r4o4pqoSehec+Ic3rTwgo0mZcOh8Sq/Z7Mx3nJ3uN4tPy6P3tCOp/KlMF7
yAsvQoAYa4FPbJFlmreprbJ+KrwOLK6bogz1QO3XWXtXJkH4LB2yezMoAb8s3UtfSQMrN6Y3sXkQ
KWKmXcoCZtfnPrS2js0EYAgScICL2vkdZ0C/RVjUXYSDB8mkIHtmPSwPg9KGQ8V6BCFEpe/LzCFX
Aa3OiYE0EjVhxmIf1XxWDmPFL7Ny9J0IG7WyiELcqKwibScznK2MnO3UyKfRldOCsJmV5+DeL616
ZaqZeQSdWAxkKy1E1q7bvv5p2VDrmCSDxRvctUmTA8WFOOSmz1a2q63IyrrXrAoQe9Hbe1mOBIjj
KPpweJ4twcMBtVQZET4i1zdlExecMGaDFFaIexdo8gnhU7/J2Nucc2aVC5zjaKPSHCsppCeWe+Yl
7NojQr5fiKUi2JocUwMDRNfBNK7W9uSMcoHFq7uA67I3edhXx4bsia020bCrnlPFr43u1gR18zTa
CPmGeOg2vTFc9Bml6flKYYZxEzYZyPFUH1priRCQeVrpbyweZdHSsoY3fqg7xWB5P/GGEc6R6MnG
jsL8pJd4fPm8AX7YbptD2yxjbwOKwF47uFR2eWxHSG09777sOMsDFpzElwfyajpeekHZEdzrhiFO
GVF0p46tH8aPUjp33KFMKxm/1Sf6kOw+D03n56QzmrabICe63jQuTmu6Bxiozk8wDf7ZbUFWsMGK
HxHxVkfkdTBryV2I3zQja848NtN9xRxzpSrvC9y6v/NycCehnbSXBhLkm2036HGSPGf4zEFPXWQl
5bkcKyI8a9jN+yILlSJtshx5ehBTGU5DjnGmaHd+7bl7fAXjA7gtNa1k3R5IoA1WuebnB2uQ43Nv
qfw6ZNFrQWjTHRHv8g1nS7WzPKSmo7S2ACAQSpKJvPFi11iz7GHoHBnFpfbQfS7KIFyX1E0wpXg4
t74bAymXzotOK8PHLDAGtDzwqB+L14i10bufp/IAaYwLuFY2AbNN6S2msG1LUs7C6D40WQBlrYuu
qJyGr2BM5dKNOfcC+AMrvMTdRnmc44PnhcfCQ3jbdOGL0AKqTNR2bIq7t7oOsbdIBDxNuTey9IOt
WHfHiUrMjEXJu9KdVs34upWuQ5WjzWoWouy/4rhvb9Ivs0NS9yOXddftLRCbB28gMs5UMAOGjJDS
HpGVr5c8IKs0IbT1R9/p/o9QlNY+AX0rKGF1BlNp/TWS/HxMO1CKCztO5cZEOIIqsNfX7KSLDSHD
fHx2b181R7B/i2R9Rw5fvozcovzUuWDgSBodMVlNDy4igRlhKMqJytd2DXG1CBp1RLhhPD4GQayo
F5L0Qxr+xJ/Caj/Lp+iLZszcd05trIgew1lGLt4TiKz+AbkvCrUqt4w3kjK0dxic7aaK9XLH5gkj
Y+yn0M2nIaPpaYRxV4uswZNGnIcg7JzETV9uRDmSlOODYZzo5Lp4WSq+L4dg11fizHuurN7dFrNw
Lg9atr3EClYcKYUDZLZ1iyVhzL98Cv6u8U9DTkoKMApADPm08omvpDzVD0QuoKnysp9VP+ygot0E
U+ila3TxHXRBNigYLndKeOGG9AaEvlbR7FnfN2+VXnQfU0fwnQ9j+lljBHYqxiL40qiZUogoOQPo
2vG3fD02m47OO1tTWp5cEEBvnghaaiPH2Rc6JW1raYjTyEzS0EuYINN8KOf1Ijc01it5ziO+ijN/
ayKMxtBZkLiKaU1sgjoRXzrUxFl35oyLMQ28d4IOXG+BSlk+l5RI69If/UvTT9An0NttxyiId65p
DR9uHmWcHRKfXdqOUDjtfLoPSfQ9SGca7jUFAZi9uQTlw8R2DZp02k9MKh58spo/wjEAXFXjLsXL
gXhhUkBSRztbu7Jnv9GYOlRRlGzrtgGhagZVcd84DX64tujqn/oUdjctd3tvoTpbnV2HfOy+HTE+
kHAt3pBdVFtPmb9iMnEO5E2SUjiOsXUnwtn2SL4sBBikGpga2mhVak6LOW8yD3VgmhttHLPX1pFU
rpNHxDq3O6a1tLjMLMlLiocUBKiaxlUR5X22wDej7qTXlFeKa8hEZGeMuzoBiIomr+oeQryqPtpq
J92Xbia20pjqx6SkhkVmKLNdZvr2yqeLOZmhwbIgRRzt6hprkjkOdVQyfLYTZBJBHViCzXeX7Psc
TKej+ulAkkB5qMA7vMJy724+Veh9Cw1wU06J9ZyZAw6Ozkg+Q6/lLAr66eJMTkmYX6mHJxCtxjlX
0MAiAwqbk6TOXi+xzoGjnyAeFonrfHQ2UCcoh5b+gZhPgkfwpuHFlohgAKP5IMa9xtardegXLeJ6
ZaytguX7AsXJtBlZZ545x8u3aAjK5w6Q28wIpDEQDZ47cIhXS9jiyfWkdxC1w6ar7Vg1aWaG/Wuk
xEoanCkID+Lu1fAa7OB6El0DezC3tTImdIW9dN8m4l4oGvAGN6VIj5p0qDrjZPbmtna19qoguUNn
GPLVio+yZwISJRreyCHe6CM9OH8HGy82FZ1pLd1A8HRl3CxB186zBziX2Q4JvYGiJs2erFSvDoVU
QFbzCeCbBkmNEOKEcsmXLr5EGBJZw8yqDHR8hqTheBXlLUaAxxjU0Dm2Hd6sCc/UGWzCDf5n57//
Pwb1ObPY/z+e6v4f7IP1x7/c1R8/fqroL6Pd75/8c6pr/zEryjzHB/gC9PkvYjsPpJrlGqCagD84
jG7/faprsHf0KKc8Q3iMe/8204VebVrMdPl1Lttv/58CRvz9emV+CQMINsF/LkCLWVj4+37DBZfS
GW3SbEDP9uoxaoW4TZ5GSesUvnu1vUjgTjOKapOztNvYepOs6Qic1W8f2z9Y85g0l7zS7ysQ3gYi
Et9Dl2i7Fj6Kv74T3enc/8vamfXYqaxb9g8VJQIImtLVfViw+pV947RfkJs0EPRd0Pz6O8h9dKXz
UKoqqR59tp0+zmQR8X1zzjHp9wiw0uJpeacBdoxiN4jPOimt1zHPOAfpj1qppebGPocN1zi/CDh2
1CxP/E/ZwRBo4HWelj/AfZq0iwLW3BXsrKKSOqBHcyCAvFp0qiB5jvcpyRvQD0iWe4eE1FPad5RO
oOOf/bTsKGI1Vk7cpIj3RsctlOX8Quos4ANMWvxDWI5nQUECGMXOO7jCf+IYCyys5orfDxMQE8+Z
lsz5J6e8hezi3JeZbZywA3A7XPvB/kmkpLiTtIbByG+pOIdD1CIZ0hPvLvMvMBLrH5F3klerGRzr
xdZgoab+kesSNg+FSE9XxVT/Gjy/P3O76x5SZxAXsxZW5G7DpRs4w2Pi2lCnyG6xxLEvRQ3fEzIa
+QI3YcIISPYoMEsh72P3Q4xxgEnatN5wAxuHkWHhTHFbvCPzZt3aNDEO/BbzCA/Tjeop7U69Ywa3
xLCns2YdFqFMHqol4VrrtON1GYwN8OFwk5vaZu+NrQWOiXsVL+dJ7uPBoeBcusOrbDE+Blltg5Vo
0xec7/IDeFa8h+zX7e3OxPKN4YR/WkvUcVl2pWtMd0mZq9dxmo1v09TqgyJGf7IcxHkM9QD6NsO3
vXb6T1sqf0/lbvUE9Iq3HruV8W5qyu6SJTbLBtc69PN056Rsyyrj6rcp4O0ZRog2vQfPxiJNMUoi
wtVkU13SLGvIjvAnx/sxtxcQtb0LSS9dtp4sI6LJJg8hQ+xJ53I7ybCKb+4qGquqaGK2xB/ocO4P
XXvf5PnwkalkoFxjqOkgTOjfqQzjl7e2jO+6Wu5LGbCznjY5gMfq4OB43Td2TxfO2Lt/km4gtQNP
69tqGRbCi9DLHcuczcNSiydztsUjud35wWzgYbacrxHF79muDKqHrIBOi7lvPTbJMDwVhXSPReGs
Twxsat+uRhaW9nYRddfsEb89Q5ywkj1AKrkn0u+eWW45IOnaJKJIzuKoGbYQbdO8Fzje+Gl6ZPwL
UpBVUP61pzTBbxCUr7GzIZqXzov4GjWb6tY9aWopb3M6O2f8q/6xYngEBrgE3EMoswhpggv2rB19
QnVxE3VscU9sCP19Tg5xPnqyhhmfc4QfRltqZibX5bPWsyU2mpkdV1Uu5UmNhX1ZUoLNoz27D1lv
2M+aBbxZ9fdzs4IH1LW882FjHLeqh8jRrrhL/PQh4CWzt3znAQdNWFD9jQmtGq9a2Nnvpe7SvyV1
w2EAGx1K3BpTqjGZD6tntx8Jb/2TPRbupdO6YWPgDOe10vJAw7z7ALWfRkFqrZ+TyrF/Wo2fXdhv
ytMwjePvjv30M29mnzatuvthUUcfCpbeIfWFdHc1GW4wdjCJm599BxwMD3/LUn0EgyPXtpyiNFEl
JOeG5o44pdND9oHf3LO5mQgTdom6GyHTo40AsUBVsUNij1if4pjoIvh9j5aX1rRhAlB7NUBzm9xI
Z/G77RjQfsuMFa8lQYRjKSr4OTOSDPJ7KfzxybBqRAvL7Lv3vm3WMBdxAliWUjkOPzjzdroceKdB
W2DMQLYp0++NqLQO/QRsWUmT9rCbocUc1maqkpDG2tm+bSuGi+eQVd/bTfC55G6enJuqarl4D9XF
B4bx4WQBTl1Vl0xyA9AZyjndI4U+2JfhlTR/M5w+DTWl3fDX6/EX00A0fJQiGGGc1Q80UX+Dbdaf
KgNdAbmVHpMqg7fSbDjL3eIyga10x34vvBzKopsm9YdTdiTWFQCMwJww/U2ZHy5lWRHJiKciMqi2
6sOBxtJHyg60OOL5ceazqxYd3JoyFvmna8h+fBaqdF4SdgWsXxuj+dnzUfgZx1b1XqPD3LUJ484u
xuLBR6jjbyuDdXprlNMZHFKx855o/ZGXgXFdSAXHV4B2HY6maXVDiYASmpk9cbXcnv+k6ajPRAvC
T1mx2pzBIP4ViyWfOQp7/zx5qlBPQ99jhvVE9jJ2LVcCMWKNtkVryXuNse0v5iHbpJLMc79V7Wz/
XiZ/OaMqyeOSafcKcdv/xB4HSSa2TEVzgpC3WDlzSt58al+sVLp31cx3Nc8L76gJeuINMlr3OY/d
9jvWnvbZ4W39spRte1L4VQ9JzzoJ+TEFdIfUPTOOxmRqqa7Yez13lwluOzUzk/eO/lj4D72IPXXR
+bMRaJ/yXrofoTOBWsQLiqwUmK35rQ667PskFV7vrslWjKpFMtj7jJz8D9dM2+oBbqECNpRVW1FD
4SMCsu6nLwuF/kmwnuV1C7kjneT0QbxJvNnGZL+QqisvgejlgUG1fogLI3mrsPaeudXQgOhqvgR3
rUlF+HV1VMzZdAT9OVyFB0iEW5rxJBeLGt12ZAZATPkERm4dfJCwC7CBWL91s6igxbMpI5VYIZgv
eWkNe7LFFgvuVGPvS8p6Pikxjaz2kzPBrvkX4N8pqrsl/ZZYZX/n2UkZUi5GqptYRaj5BoewXk9W
iWRjBDPrWeo2H8aBtuIO9mMTstUzuIv5R5LNRcpLFbWqB5lUD/MVG6Wx8RkmyBb4CdfpgjSeXrjO
1NFiCRo3uDa4rw4T7xz6LEynY0Ag+jFvgRRPC/2Q+VqTslOd3T3zpw5SLcg74zzBRZcVzATTu07J
VhZRU4QXVX3XfzRkJqhRlctZsAU6xDmmSUlQ4lC10tjVwiuOMRHZB7pC5GFweEYdUL8312hxQSXQ
WzOa3p3P1DzPXfXhmuNPKu93ys4vlvfR6ckGJK9jAEHUavzifokVQchmjqp50eg9S/tYdKSrbahR
6ESO69/T++SuR+xw7Gf7PDj6BkzQJA+Ko4qlAykMzU6aGcSgytXtPYmxNPRJAzJ5liDGUDSXRzZx
Vs16epV3LpuXx1SmBoI6bctXkNL5qx5BE1uFCcRA98VZ9VI96jS1+71q6uVTWyV8CZjj6ps/EMOs
0MmzKFC9B2YENBfqKCyscl+XPv0OM6RcBHOpO45aLb307Pc0WCoS430YxyXNYzN7coh5DbyyrrpV
3mjek45pKQAb8/e5Tm1q5hONM3qir+wUxHGLwQLz5c23fDaXYqt4wv8WuloYJ21r8WvsIaY500ZL
7PrFfOFtw25oTVl0RumMb7oboAPrmGVOEtw6yBa2lxd7Lj3NMaHI7jZJ2e+sEfMcnuGhZ0s1GBdf
0Sxpk6NobcIou2W1is+x8khO81bk9B/QrLvZYXoYl3iJ8HBWdx7mhV1vaPOdGE/wyAHXXmtzIiUS
GMPBdKzxwLTPMzHX8V+yiMU+F7b3MFNIxQXaG7MQoZ+QYdYY74ZLYHWTsQlFB01lHvMGLo9XyPZ5
nVwaxubBsu87ejrCLFjnn2w84qeFt/gRtC/GVtSNrSeyCNEJPjuHnlYXszuCh2g4OSE3GXIVkRQT
qyAuBdlkX21+QnvFEgFHDabOxvKcvctBsyuaVhGVjr27JS3SdzF2960FzBc6dH8saoscU89wc+tk
kl9dWl+3GodiPNXMGFGQpNbZdOTy5MwSkEBRXYu6eHOt8pOmt4dBg9nNRZqjducmPYrVdDYyn5MJ
YmvtYQJwxbA+FG1b4iXuxgdsQBSacwu4pWuenlw/mS6e+AUJDdDY4FAGl4dmQn2AbTgps9Q6sUVf
yoPgQEpo0ljoOiSjcXIzhLbYIgmZnudMYod0b4BJr/mauXeJR58J/UCU1Crax8K1kRBcBXyWeS7/
+BN0dbZ102vDh+kASrom+oRTwGzzLEp9nT8lCzfauEucqz+MzpMjSv+iWUjtB0GfnGd8LcEydR0X
D93FrjtaPIfK3B5DGXpQDPbQcqlElfMpLlz3iDfn4ufDkQQ6amYKClXzTC/hVElqZUWQXYCcKtg3
ar52xOAiJC5sESvoBGghkAKVoWyo8bLrwjKnSZU02cmhoaM1uUOsjvbZ47h0c7uqOMfsNg8xPRfv
xElqI0zp59jXPZ1xadIGH0StnSO6tvjW+VzZA0LQl2Zex0gYIrkrDIn2M0F6Yb1n/fDxKH5zvbV5
5gaszpTM6ve8iuuzXTUGyvAonzfZnHelhBfvVF166waV3qVlS1Uel7bfQghGaNHQg0Lh2h8bTC6e
qOEG7Ofal7GMFjP+Zc6cffZCwWVOaXlmvLZqNK7WommIhqZ4MohVnGdrDO4mdwpe/FgNUZW0RHgF
F1jtVTasRuFH0mtuZlpB3sjqyDXh79gOU6RZPis959wTqu6ncKl3Lg0bnhwj/pk8x2nOV+NiwpwH
1TYN9wNMqwur+WdJNYj0WUhaTndfW99ac74bsf+sNuWhg/s9TzEfT6Y45en84kMJT4zyGbv+Kc5x
alTs+VDkax1yNfzWJcFHWQaRRUKlY7ERFh31PQmtLM9qHsHKDDTTccxUNyefLJ7jrj4Hfn71ZVpe
ktlZry41BntgojAwcv/oLDT85CotiAlW2XkaiuRo6/Fly0ftsN3p0KK4L1q10SI0cA0/m5LhamVV
/pvIfn3LRw8HA4WhMOBH3pEWel9KuCeSQ2EeSWnHhzr34utcSEL2QdKfAsGkD6lNeTfoC/HOB8W3
9r4+d0WOjO+dQc1dBXYKGJHtvhGZfGsab7iZjme/UX6wlVQgYOylRVfVEfA1GS+YmWTmfDVKmrWy
5t2YgoLcBiPK6hrcwtaguVL4pF8aD4CuNHdqgcHga9wUlroMZftZzcQQynwxYAP4JjYbX17Mxo/a
TpQHVkzNWfkg+FtkvMjKu+WOTgANTsoyf9v8+8ByjuzfvWp2PkbDRxhRvv84j5U8xKYGf+lR0JwU
DXSC2Ty4eghH3DK88+oPG8rxs46pood4HixPpSk9eFyG2x0G6VvHKavq3TSZfOtzStI9PQWE7g0S
Zk0nbyXs+8ht3OnmLbF/Q48huWmS/BCfMFQJe6/eJQheZjOPstR+JPJyLofs1wSodUk6sghmU3MR
t1osgtJN2lMv8IhxbBrhJAs4ZpZh7mtcmEhjGuI7YYsTJxcYMXkSXh8RvSF24m/WjPLk00dTJV65
57T9dCd8whWCT++tJ2mIq/Q1qc8aFp/W31nqY8uabTs/txwHL50wl3s7TqHPWWvY1cY7HT3yoVTz
8JMGqubEf4eMw7XFY4A4I7dPO64oxguV2He13UaNIsrl0Rl/w+pEyYC0PniBw1AHdvBu26WIDHJV
kb+I9xIsVKRcnxKBDmIWrLMO++VSD5+j2VsIkTOkEHhHW5k3XSil+zcnh+mmONDyOUyn8rV1M66X
QL1Q4SB5coAfypg4RGkf0cc+jMandQduwz6bNpIVPq7hhSG7PxQOJpMY3SkQw+PUFVz1aFF4THv7
TdXB5m21dUQEl/siGZmDJyjtsXs6utssC53MKljlCed+nrdcUqErRGZFbg6yv4W10e3qGsuA0Bcn
v1FDdKUtKuPjWL2MqtyNurrEIFlO5Ezu3TWYu6gfxyAaa1G+Jm09fwTVcFFrD1WVgQPg/3xyqe04
Dg3Ru30xL/U5G/rxYOQuxRwitU55L/Rju+rkR5ILGrg8+ycj/6tNwGJ6xM01ivaPx57rdcoY/wRX
XzAscL8JTt4MF1WFRvf1YM4elnSrUMwm40OCNLgbx7p5t6nzOeVqwZOY0Tm2Fw3RlmrQXdRST3az
PDZmjA3xAe3GfVnTKQtjc53v4Bvi8FJ43M6uq0ZkjjmLqmC+4cakYndSMz8oMzk2Fp0jnuUtwa5t
7OwNp4Nzz3OGRXSB9BT3N0VV065WJluv86osf8+f7SH1OsbZYlKkw9bEeGqu3u9mjYn/BtNLEKuX
0qrTo1er5tgFYL4M8sFRS48uxdb8/8rMbJ/TGx4ZsTHuk41WVGttsHx1HG7hzbNrUna0ck9YVg9E
qEm90BmDcBO20/Rd1hoTEW/xs5slzl1BDXuUbKYJYOd5A1Ip4Wd2mmbbv3lJs1VRe5hkIqn4fQBN
dJRWKRuqVv7xWHXtevTFx8pV85Pqk1ZEWFwYh01vYpMKi9iykm/5KvNbj5n2UtnkdPZ9pii6MCjx
A65Bg+5xytP8B2Fh2ohyiLo1N00uVPkIf5ETOVvNTu06r7EM3guYhe8CYDTJTbvLlU534z3GegDO
l9Fj328WQWRg3ILWl3OwqEvMBz1XMm8zFupJ4E72EtyG5ZfzkNAmHsLNjhgnPbbRzaJoWjgYmeWt
dzR1eRaD2/6FzM7VMXb627SZHCvDNp+sSoJqdmv72KadOlIFwwVIbMbI5MsjSTpCbjTPqOPyZ4sA
ByXQZ/tGubH1Mm4Gy2KxrFde/LTw4Fo86i8n5uYjOFpf/kzIeXg1iw1KyvDfcPTRCrk4LWZA2Y5s
wurN5+m7vC9oXJ/yN0v4EDpxSXnLVD2qlqJ1MTufcWDav0xb1GkEKzz+E2/+Ua4h3xX1gLs2x603
9q8WOfpIbwsvHMynYV2aQ87d+TrPkGLJtCQEBit9gm9f/Ww2hJnf0F1JUyPu+ZrYcLLZV5MlXx/N
UWMwMgGR0LfsszbLLbwCpsOCzh0ZKWqPFhjV3Pu5PYZNO3vUUA1vesEia1rdt0zQMtBlZXXMLene
r5uLdsHc/MNJfIM+IHy6R1uOlACNjk2Dn2SwSeLXlMaRMywwrjsjTZj+eJ0zpXjh4R1eLO9vxvV/
M74O0Vajxptgpnlab8Zeivw4TFCf5wh5vbqRGn0cvfXRTdzgKSWwHpJpaQ71YP2uYOh/IRPu5s0y
3KnVvlKpbvzElkDjSx38wBjqn1wqe3bckpxw0bSUVP84j2P8J7O2AGtikKab5kJioHpTm1fZEjx+
lWckF2zRxonBDkx4VzwNGRo/PlOY3e1wE1zUex+Pob2yldxrbALnvK+Me73MAUsM5zVFUweWXSKv
dPRqpIaryR0A/aw6/vFFEw7CfqCo0YRxii2SHIO6CD9hKM7zgM2Qm1+Han4WVseHk4wX9FZKoaw4
eFnmwbmmVfVi8iGCcgB1VnvBfh6K17pQ9yQE6blyaXmcLZXRypEL5Ho50tfgVhDQLG44vAu/vOHD
l098gml+DWp7gEC0uctrqhPZV7u8kMXmQCet7/6psXhFRp2CiRYdhDC6ts81j2G0+E2dMlLnEAY2
k/uQ9vFjtxnfFyJod34wANls1JtM3Ce3J2Y7OsFPV9FxPic3n2330ZFQtLvFfgq4F10zsHddm0VZ
2b0vo/qQumbR2jcp7Fr8H/lT3Os0WhFYXjppE/bd/Pm2WXfXdvPsa7Bb75J05olwBFeazds/dGCF
VuFFbdpgiN8SAOUQQEF6mrdkABECdVFbWqCcY8DShUeOyxk6di/EpdswoSBTfIUNWqrL9n4zXBLt
+NFMJEF8hRMcSf2DvyAJjhm3hR3AYI6TklLu0JSOycrRrY52C2SXxG9pvZttShDC2zIR/paOEF9B
iWbLTPBF1QWSwdvgs6IqDOtQ8367C77SFoaejd+UauBGcdX0lE3E0JNmS2hQAWp+yKwzXpn77dvK
o/xO84YOZ3bsoBboIX3gvUDqIxmd4gedhPp36g3MdSwNAo0olOOOudKihW8tzZzxXeKYftBf2ZIl
54eAxjSl9zEG82W3fiVRisYOXmla6c+UqJFUKbfQymR68m1MRVpBg2JPVSV0r7DJ3LIuSG/FQwKT
sQrtrzTMmpQkY8AWk5LBcZy9QV/szshRXOOq0coOTNTOyRtLUjZYu0jceDhzw2CL4Siv+p2WthEO
C/3a45bVabNaRWZr/S648CG4rSysdgYGzXO/ZX30P7GffyJAWxpooZqPK6UpPypKwzBpfAWHDNvt
f9nYlbyw35JFzajlH8WF/LBqxz37WwIJlRXox5ZKkhpNGAbTcGiyQj6NX/GllJpFk4AoP71xyzcZ
RtyhP8GJUT6yD5uuasdVUX/y3RkP1ZaS8ra8lDkD5P8yXxSxAPO/OTLU5s0YNpcGm7UUzF9JvzwI
mJBwKHaO+MvasXzZPDx3JnkpYvmrxkhP8+jmCOk3b4i1uUTIKpYn0jj2Q/FlIvG+DCUT1hIbi8mo
qa4x7YRUzuY/QVE8tpsjJVn9n1VqAnbd3Co8+O1+NYLxTHev9WDq9GfQs9GjpxI++zjp75imR9yy
SbvPnfVxTHURWU1JTZm5jsQfLCCXQ7lG7fKBVTLv8SPbVn2PIkiD5NiKt6RpI73kAD0zf32HqIZ7
MKm7PV77iXJ4QfAX3rVdURSLNYrGLWniYrGN+Bk7Ku/60f0xxyB59mS8270Z6O5O+Sy/ZlZgz04e
58VOVdJ5RWxaD2mq4ifIF9mB6Pz8PR7EZ7GydMiD2Hmouq58x4zJG5HSOOy1QfY0TqAUtHSLDXrf
YuJFRQHmrtY4uGasJZk6cqVe05EInGch+GAlh1gZ0oeVXWVAhRRjqSOgnHEmS6gB8WrPL/OSixM0
QX105oABDTckCuJ5AZ0e8rB4++2k9hg8SPMAoW4wBBCwaM33eYQKNo8QfJxBF5swi18xo3S2ls0r
kxm3lMHpjn7d2HdqUuBTlmIzqFo/0N/iKxcRdSu4TYZly0CzZLBtJT7dkJYamr/Q/u4KBbTUg6FW
JuZ0UFhKT/0weBSdNd21WUV2yMfefE4nSx8RGVhzDg2h0pBbS3scqil+SfXs3rOu5J+iEAW9FtIO
0rR45LsKJZV2nuZOxKMMUdcqoAarR9tC2vjrrVpnD2xeVRZH1BdmQFS3+TJ1QRb6zsrTwy71NVmd
8cEem0cjgSPNNu+unQf37BSeIraAAe+aVAnLuNaUK7+h0+NBNSKnXK7+206uqHaTi6Ti1fb4p8A6
cBiMIj5RRsnfV/eNdRRcFK6OSSNXuQw/c42NZx9oA4tfIqvsnZ/vj8Vq1XFmicDRha6+S0rB2DbH
kav6D9OhmopwEhSmCZIJ1cWs6VjuoN+ZEZgkupFXe8QmCE4YWrnQ12Wd3dBvq/H7sNjLo6LBEM8s
pYjEedpdZ9f0QEjMy40rOWzQzLn/AyjPnofWb1kXq94mm88iYKjNR7SGQzbx/IITfhOFzP+sBNxe
e1zOf1DggpukK4G+Bpv+PWyGbIusqat4F4qCrIFRfxgIsg+1aKkMqyrBUyEwABOa/zEFaiCfGGt8
3sQsWQVzZ/jNDpTJw2rth4QIKwbnmao7vyofEP7nM9ZEGP09rfPXpITFQgUTApMhKcAajO8xSO8f
Qcp9A1C3NsFyeJw2Wkn1O2ZZSUIELMPRxl1P+a6Eh1uP7TcWQ9+zdP01zUHBMe52b7aVFueslQRR
OE6zD8H8+W1YTGSdEevyaeq4pzNrACxSJvBEn5klSoJMU4Y9V0/+Uq5hXPnuw1CWlJY2xUSPG77f
kE0fidQ+2dz5zYQnAx9gDM1rGgzSk/BltgEnZy1xWL3uCcVL4DWvKXNSCdVPQGToBkwN/2i0s/VU
O6a+eQCPLwPvo2dMHgbdg+QYuLTPj4VMnJM1DMlHOlT2W5sPBEsNXCuoPQBVaBbQx37c9uNG3ol7
ZU3snUyKcBG8ACJMHbm8TGImghqt9xkBJWAMgP6IRCXRYAjrZo4F1eWVhcmnWl2riWrfA6zeUk/i
e/1fJTJq2QmfgGhS2Bm6vFj3li1ePXb7YWaK4OjyNt2j75Y3o7AeJf7jQ++Cn7fk6t0vXVsz78/z
L2qxW1oU/Ml/chC/O0Yk8LVUAZbPiLTBC6Gm+REB2/1l+Wl1NRYXXa0yNXZyb1nDJAElaZMeenEW
VMaFAp2ePXROgLdbwaTN9F3AUjlylOJ3yZbxYbTKZ1LS+W3mznXCC2pHzuS/U+mWRr2C3Rm2/qze
Wvw6j5OecXeao6PeyY6iERj+irkp0w1RkhU2OH7IKo8paigXjwRrThJsSi+yBG1Zxj7RNSnvG3r7
otEufThPS3Vml6HDNWtKPhHzdBENxplVdew3O4/8UOwv1MhVcLz4SNjfDLpo/C5+C+ZmegRKVEVe
zBSX0wMXlZNMo3JWTyk6YYYb6kR6ic9PECzXRTVsXou5us+xHodVl59trrNPNAezN2CIugVLSaKE
4cm+a7ygPrH3++33zatjUpaQIBj5hrxUbYloY/rJeFLxbH5AivAOPYmNo3Sc8k2MHi+uAU36TJri
At1ypFUkxxMC8xnClNW+FznfKL+PKZ4oLUKPHUK1ifjQb690esuIPxeHpE3UyTIybB31iG3HbJvD
lIOQ5vhaoPg0Cbps6pjFE69pTb+yk897To76gCZpXkdLfzadYNfTJ/IUZxOrPcq1GyjijcQ+by8X
/AQO6nQyv+ohmWGExdMpGP31GYtlsV+zmJVUIKpnmky6Z7JRAHXSsvkOLoOO+XSc9XXegolpIPy/
7mzH77rP4ZitDKVspOOWmGC/tg/IS8G3KiuWqMlqtgYpTMu8svK9rGR6VhMtemXqWU8icymnqnoW
5WsKBIgm4eGR3UD6u5jQk3cZXYGhzSISu4Nwr4vbOx8in2beZ2vP1hAs4LguQRcu+Vzg28rQE6QT
/G7jwLlwUUl+syTcej23VZTdqqeMIbxkEBjlxR8+tlXQNzPGlbULanP4vsau9c52I/uOP219YLdh
Y42OAc8Bof1MDUc8g2BCOYjr4jVWcbpHFmC8r4ytT7nxXqQpzGM6thIivps+02IPQaYhhXQZUpX/
rYWtXyqOV4QZYCtt0EqJd6LARz4oZ2+oOL6MpW0f2p6zhuG5Mh8LEmLfWbO4d0hWBdkOn7xhOUEZ
RTFwXsqRAdyol/wlr41fqu/8g9txfo5FfEnB0CLnyO4haWfxE9AHa8Wcz8yuqiEIOV5mYAzqSiw2
q3WmksOgw9jQzysBNPbz09hFReU1h7VjkdGogNKdwBJ/LeXHVxw6DTRzg2ZbcLWEsV0uBwfEuBhb
O5/DqYNpu5sZ9XeTx7YANcp6nuo+flYBlb8JRoDXKs5eOF2580hmaY5f+9SVNGDD68speCrmN3ei
FnwZmq8iI0znFtfaiDty/i1QDXUKrRGnH9qhOGcXFGpi7cB+e8VXwysqM/KDZ9rOtbfc9WdFXT1U
YNS7fiAgCB0SHY9iohB1Z3lhGzacpPQ2d9+2e2/Msf+LuWaB4JzIl7UVK5j3LUxmUajJ0BVcmhwm
vEaiD/moghJ2yon1Se+xV1hcg6Yc1uY8lijYJdDJbHgqVzHgjBv0YQxi/4CbjDtnkhnHCunmpaco
jYm5h+zjtBZTlQ/dYbegvf9dDVdyUqzVW57yPXAdapizwq3PtZ7i+06N3YMT9/klJdrOCI9RkO4Z
x+dbLj554Rh3Ol76YU8K2TeAWha8g/4HXjGllFUshxQqEE3rfv0p6b3Zb/HS71Q/JEgoWIbf3AL9
Q+K+etRVrH4A09L30kZ0YU+LGTbXZFdSR1X/QGP+f5NQjp/1/c/ys/+Pf3O+/+e//7L/59fJZ71x
Xv/tF1yYMlojx89uef7s6dv5z//4Pf+vf/3O/9v/+C9y7P+JcWKKzbINluZ/b4a/+1llzdj9mwv+
v//YP074ACe8Aysfszt3aKzw4HT+4ZvQnhgEQExwoDsQd74M7/9ywlvyf7qssbFVOQIGii2t//bC
WzZ8Ewz0fEUbw71t/z/xTSAR/LsH3WdY4K/xLKz1vOzYGf67B12yWG4MMw9Oip3oaUlNWmf5tBBu
Jio9JBYOIw6fnGn46GiU/yRd57eyH2D2iWxTfNs7o+U8SuJyvnrWpJ/JCGEWKwGOrHSjismh8Rz+
80GW7PB3aRe/O5Zf3g05wnSH+9oZWaYS33826HHkVjmnv5gAVpYQUOQsXTxiriFNXSjMzzQHYD/G
ae1gKcVVEjVYLF+DZcEpG5PeXCfmrm5z3kUkWsywTGvI8WasjlmTeyejChx5QmWaX+Cspx9Z03yi
i1dexCjWMntn6gdOl19TYJmnzHHuVUWeNgfScp1IvEW97fRR5Sx/TVjskTNuJQcSplpvxMjvSdHe
QZQ4LSPgu6lkHOsykvZrN4lQE6bjC2UfAONgdA2kBel+GvgH9RMN4NI+m+zIqOMJ0LZgHhw6qxRh
zyOCeDmUzbM5qT/gwBx0mTgO2bpsjEUT05Lfmz9KMZd8qbjSR5x0rNIDJ3nRGHexhRovevSKJ124
xrGYZFxFjRObT3JiZYgeM6UQsSqhzRCnJV/TmkzM+XmXE1tilqtAbvOBjC0gfAObQii7m4lvNArX
OhUN/vgzCa3iCkNuUId4tXKUQOhpMbUJMa/O1DeCqyZK/m1gEOvOfev26THANnlpB4mpKg2AloFQ
XVyaLD1Tx6HqmwJ/ZOlQToOi/U5zPL4/P8DQxRHYtgtMfTad+wWHweMA2JXId7tBvAR5FI0YvQbm
zmfz9DH0bne3Yrlp9gL+ShYmgg0IoWD01gE0/K7DBsCdpaOPPaj0g3TsXjwt+eDTaKR6g74fxyu8
/eSIeN5iytP0zPU9Tk8eZefthScMKmHhJwzpPQ6xe8OYqr91k5VXj6t/sh8W4uO4tVqw6/j7APd9
Nf9Motsql6bgqdfJ2c9NRks5IdMTzBjMoYw0ieIdgbRk79j3vul8EGB/xIRItzecmbDPuhPIZbp4
O/OuaFZGRrt+ZqfyK26c/yLvzHYbR9Yt/UQsMILB6aYvNFuS5Sk95Q3hTDs5D0EyOD19f8pd3ad2
ndMb2ECjgYMG6qKAKqfTssSIf/1rfevJsG+dhZovlKUf3DK/LUejz1kcbZy8ZlF8CygGogHmj02D
lgKGiF+ZHN1Nj2/pJmYKvk9nx/ri7cz0xEpysO8RGS1sgMGDfb3i1uO0wghg78KSCYsf9RegZUiA
XID4GgGorLRk9kBEjBBekm7GljlrlfhqLbuMGEVufV4TsE9hY8Gusbr7gN13R54XhifcAhDS8YE2
MKQzJ/lWOlCn8xyhgCRhfNDXnk/Pw+kdzoQ6RFl363lZ7C2d9NaHUnQPan8/VVBEFweQ29D48aHC
NLHS17CFytC+s5ByTLTI+tZOM+97OMdPsihR5wNp9mNUNHxksl2uIB6wPEf/Bp73c1FLt23FvBXB
1J0lNyf6cTCNVgWBHdd/4tF3G2dUcDh6lkf4Hru+dBEWimKnZuntddjuyyYwe+XZn4VPCnjy5q84
j+4cUqI0Vylvpzpa+oipfo19kP8wS/zrL6fTf5U58oCc/yVyFCg2VILyXYFK4Qc+tb3//Livmmmw
hhS51orJCyVlJgk5FhXa3dS4dwl1AenaWozbbF2dd7d2PaVvcVbjBiFf7w2rkhsez8ne41MHTy28
z2Rjwm084TrhfZkGDmIPo9sqHUiU120l8MSBilmJdoRdAGTcJ6BUgiS6Vn21aCxNi+1RJAY5Kfas
9qYVLg+LCiGPnp5h2Lm/nyY0q/FkwQfCU4YaQZwG5ZTQttXPvjzwuWRz3LZQdYytrF0AZeaxzyyK
HQpt+zfMBTymRi+mB43uB9nH5P+p5S2ibjeyvWQyTvltZgM2nmQkl1+dKJxMsBtm2TaTVD3kMmRk
LeNwLauQ5KJxHpdSwEngcXb2qsjda2JUm3Do3bWo0WBYujBmVPLoGL//Euynn1umi612koL3aqfZ
P3Y5PvN9NtRQBomcEBCIFj4tHjQY3t3wzeq1akSWP6VzJ8bTrDPiGMxi5PsnuZ1Cr2VTbpWbMIwp
MtMhK8WIdHFnl5e0brPTHAt1bwgKT2zi4uqdh0JHV4e/7Fz4oSSvF7Sj0tPZ3dCY4DPuXYOmkj20
GCaPnp1WmzouM3ELcyynSzH1AXKxkcnWBVp3esZP652SyaKQNCitvT8kilKYwdoLSiLuI8IAqxqP
y8+IODSKWqrN99m9xmaCQd5FrqHYY/AwEArxQ7EZYE/QESGqXR2vZNneF6iLiCpyX8ClwhxOzGvs
rvslazgFMclxb2pJQ5BhY6MBc1wERJjnc9O7bwnYA7xZ2WsBaXOlchy2dRzOWytgbyob8Q0YAMYy
Mx1aRa4sB2BD5uIztsWI6df6CaKF/AGt9/sm6Y8OAlIikJRRTHHzvUYxTEuNvX0Yf6SCHvoa3Wdg
up8NDi9chp9lAiMm185XreLwNjcNkSvfbnfBBN2wFv0HpMvumARiWHfgMj8J543HwQu6h5Jao5uu
c6+WgzQAZYILbhi6n1wW0R1c53NQRbizytZb6zwO8FWm6Ull1jtTUbwvZ1tcKh3eUvoFJSU3tBEy
6m4cX9Q75zqVYbGHnea2tFI3xmxgLwPV5WmlxmzbB0A9Cm9XN11/uzSi3czLPO+BvdG5OMknKtam
20KI9EaWoH8tMaPnsgS8xJMvHnIor/es8cFQDemNxaJvHY82+4AI6eYIehwfq7QKxYRTDHhYRPOL
xg6oJTlqiDJLvSk7SABOKfmvqRtvsKVjexinjBPW0Aw0/S4J8qYZEulsgCYP1xah1E17SvAA8tKN
lmW/CMwjDpTXUE9m4p6ctZy6Zm+11F9uyYaXp+h6RrfX0zr/fXA3vw9x4occ6I5PQeQh+H3Qszni
0F9+XwCwIXAZmH5fDBC3uSR41/sCs3j//zhRzDT0s27mFiN9/z/+G01bknnnX9Ik702Vffz466T1
55f8Y8zyvT9C2lwcWzpeINhHEiv+x5jlMzAFrhMGgad8ztaQCefPMcuRf7hkjf0QltOfgMk/E8cy
/IOhTFAH4ri+55H//HcixyiB/3Ts+oqPJ3OWI+nYcPlH/e3YjeOYDt1KVntjhu7ACWmYLD3A3xhm
7p3C6k6jxqxVWKo+YfThZldW8U07BdkptPH6GrzHL0E1u59ha1N4q3wL+x3cKInniwh+xW1HAcVp
XTc6klaLaTRaPjyj7mvCEA6fn5U3lSfAFWozhgEb+5qcBzuni0PelMsHK59afUYKUXpwy2NOjI7k
ZyHAQdr5tNONgY4gg3RL0F88Fy6WN6w9SXF0FlXd0k603FW4uH+y5rNxmnvejzmFAcj3G++AWlg7
qeA5sdxR8Yu0AfS2FmK0mk26acMo/+6WBtDNwndl0x9jX0yL5nOwneFGobi/qrLDdF9db3DQPja6
Kh+aNK8/8pkHdCa4t45tMN1hbg32ZCvYVpGxoD8yrydzT0fFdMAWSJ9SPBrMyx1TmVfRkZH0mXye
mbjidgIYkDkUGiWKB1U01Hur9O+lqobnPrTjL12k7VvqjQoLrI0l3742ggcAr6a2bralhzQ2ZKW8
CeXMFDdoYiypeHJy7d7QNm1OfRml4IOC6mVEkN6nzPerCRohEDPmRA0Ti8BwSqVZQBu4ToUIV0Qt
hid4y+XFb5KvSNHHuqQ5e2jj6TcPEtPaYs34Ez/Rrzmbg2Xjh9NrIhus2u7RGNTbtBHigRpfe5vS
2Hef+WP4pnDJncXcqJNTts6NMUvxqfJrIzS1XJRxsRq9zMBULtXSEBq0wQT/bFyj900QlzfdRDY4
T9rxWNoquoxFpQ9+oZAkRSBuBNUbt3r2v6L2JOSbk/Gd2amET51V1seC9d4G8ikFdjIzkO7jOb5m
XZuKZmlRlgS36/wSJku3D61lfqZnQ9xVBTjoWNX6FaF6vhQzEZ/YHuwz60n2W6w/1g6u443BbtKC
5Jfhdd4h3ZNwjh1s6tg2BrFwVVjeLzOq4HLts9lqqcOd12sMs7WciPLVxcULofoROAAs4fa7NPXR
/Ejtfgtz8nhovsWHl1g0wHWAltaux+gSkZHeZi2hBM1JuVtYDKyn2dRraybI4pnahn9FtwZMHvoG
PUglpFrpBM7s8qZcuDdNjASkDDCLLM1tRDcMuztiDhxbDJjNfomHVYOQgosWqXJGcpX1DzfhNqSK
9BS7E2QyY+cP9EanNKF0NGLjEOa2pnaeaD06mtPqRPtI8J6nRLgoZa8GJHw9PtLE8q688kdFn4K7
dOeu8n9mAwDGJcqDQ2O1aoe1POLhc/0TyzagW1iMEOOWx7FTjzS/4Ywp2n6jKW14YssIgmPMSdOm
pUZFKT9pJbi0KdcwCsWwXRnPegREb16TeqTLDfL4nqJZ+w4bKhU+cyVOcN/6Y43AAoOm8b+Yf6Kd
V7PkaY3Dh8n2xTYC8/zkYGrfqknR+jmH07obBg2isF52vI/Z8QmsiatsaabXmEXWDXc3SmnzrttJ
26+PEwbxtZ8PJKjqbAZT6k7xCvaCR+1EvOwjEy1AaxYXjqhDXvbqGyE6hUhLgw/arktUYqE5QVhJ
v89DTQQmAnvSzIZMk3HZD4F5+NFkAgI60YX53Le2YCvUT8drDvOVpPsCBDFvzrRnDEe6JHCtFmNw
SIin/xjdqj+NicQEA3/1kQ95Q2zvmt8uKCtOkbJH59lLa5+WuRmzPrRVM6wilQSXLubBh8MpcHbZ
kBXX0uH4k7zpszNqUgokC60C1yovxKFQtb/hwHDfhsp6MN14mVN+8ihbJ0NardthZoRdQDa8tXGJ
QQIM7Dqb+35X11lAVVMRzqtMuu7WodGDnZ3h89/PLrOfSLFGuOzmfVJj7GGvNXhrq4qGVRb6Z5OR
aWCej9c5En+21ARUw+CpWobpBFyXucWtVP+EpRB2hRk/c5ahh7FmoUf3yC24sAcq7hQhUGvagQdv
12lnqx1FCMveMVGDZZMnuMtOHCHQ0VtTLsNXGPcPyeA/Z16DM27gD6DPAjZ4k/HYWKFYZu5h8CJW
DIuK1nZvbzrIFPueUsuraDh/T4vQfbS9YjjxpyP0DAd6UN7xEa/pOP7mOP5FllwrrY7ekSJmeukJ
trkFfJxk6ogJWXZ2nOD631CbrtcRP/krbULO+5UovUl1kN9wShyqPmqe4sJq97M2EQPkMIzXfpCq
eZsWyGYazfPOL2cKjy2GyTJUhD1dzMu6mrHv52W165CKN/7ShY+dhz2ynMyWddwbC8ZLRK0yi87l
Isr4lvS+5JhlRx7V4HZWtI/X9gbQf4Txzz5amuFrdLqzMxFDnSTTUtIL6iecPS7MfSuufjLNdhLL
YkmVz9LftOW4mqYAw7sivMb/9SW6OXR35HR5FYtOtk9OPOpzE3wRHxh/pSRBLizb6W+n1u/kYmOs
9gNYV3Sheuw/MPi3X9liB5tmssmR58kVc+exxoaAOyzfoAr333I7dKxNeI0Bw5dK9cM82P1mbkjJ
0HCO9tuXrQskbbaJAhJNxRY07TtND8Uo4TfaEsFjCZB3ICjiXiXM8GSRb7opsTuWew9cVrJxku4a
nuOQ1sEdO2WinWVgvaDiLZBYuKLEdvNVNNP0rSn9Ym11GCRwIXJ6k+cIH3ABvUz+QI3oQOSqSi59
2u48g+baO+ZN9O1zu5Tdyqly50EAFthVYTXvOPbC2yoCfAxKt/DfMhcDRM21AmnwJxb8vVPHB0JE
px6H9Ag3YTOOhPs2iypJN1OXUm7jgQcGrVl15tY7YesDANf7mRRPbic/OdBeRgAhnav2hP9Z8sex
3qEThGsvQxBy50Vw7nILY1dKcMMnibLMt02nbCrgS7VxMIhfIjfZFS4zFk5UUjZhogxeKMIIfqNH
sbK6rNlkru184/EbnOelw5bdDxZgNSesbpggL4R/6GvK05MFN3ND0YVz0EtnP3CLm5+oYVh2ijXX
vYDh7JbZp4q5wJaTMifDLxpql7nFhERDLnvqVXc1hNAVAiaycUI25lg8hCOmg0POdV231kc2e81h
1kVxxtfBEU0H8bYHMrFCl5029ZK4526MIKuBpT0G/iAPTT3GR6yBp9Ka9LvJJv+FEFRwTbYlCOOz
Rdao74PHVgfNXRhRMjpm9ceVHrpycRdvR04fIOfejbZSdDHdv2mv/dAANzaAIxSxHeq4+jw7koC2
Xt20DN6qcrS2qU6s50q1m9JrYsOvI6UVlZfua2LDsOVG6T2M8xxDv6hsdxWWLVhTnReHHm4Ao4V3
cMbe40Ut43MUW829H3BIxXWxcfrKvKJm6LObBu073VSkKVxNv1KL4sGDx0mQ/vNuJyLd8t7BMUwk
NVoD2bN2AMOA/7nK3TeEsZ+rOdEPdizJnwHKfHTaxrkQ92huuIONj9hhK/ZCbYcPYFSEeN35UVql
jVGnLz7rUvh7ja/qV9g00X4aG4UpjBt042fqzALtintjufKRyjQ5u8OSuSsxBpKU8pw+4e8oCHd4
On3pbERF+kO7jTRRfCGVRKDPKe2L8OlbNUPsgKzoumtSFGnJr+LvlVoEfAZfQjwby0+WSOHFwiX1
MgsB6a5nj+M5pnsPOx0/5pRYPaFzy+MYBJojT6QDL730SBQUKetwwglddz1cq+ShyxQ7dzfhwgbH
ySSROljwdYh+sM7wRl1dVNd3p2t2brtE0RfezBYPOxrkripmrm4YM3b54gXvYqJYhf2E8wjMosP+
LvQpRjPn/umxWOpd9zsjK2ZVpMivpo8kpJxsuqGXrr5Duk0vg0jSg6t6LuSqgpzmkLOqLRXugMYG
YNcA26B/bA3Fh1uKWTDJWcJlzRZmF7m0d6WdyFU/kTYf/L48BgthhlUjwyscwzm7GLB+8YPqbYR5
4pT7V8N3gZ0KaX7+5UbLz56Q4iqw4RI0IyhcAblhxXdJV2ogBVAWVXSKkvgy5NTIaRHeymbON17g
IoTlbvoKpmlmo1+816TxyEBn/m1jCJ67SwaMq5zXJLnH03XIpzKxggLZ7N2gDOnJRd2LWjpRYKFm
L0kiLQdEvwD3wmcO6jkdvZ5O4MCYVpwVV7C1lrJ6jrnAo1Law0tsux4rcvspm+Nop6JdMEZ7AHw5
qeXhIQMG48cjD5eZK7lt76xYzFc2rN6xIkU6nif4590P3p4TC8wyuwBOXDbu3HYb+sB8Zm5P7dtF
OFjS7apZuw5v1CIiJt5m3p0pEgQ8+xLz/NySmbKvd4N0V2vL2g6NJbfMedEhyEp6fVTaPgwNflc7
waUx0Ii2BXiAIcztyFoMeDz0UAZ3uGxIQC++RjWMbwefRBnfy46P6WQIShaSRzsquZQbUUcdi9NQ
vkqyjRNIDgXJdDUQgY/XdUN0i4svMb1zHgRg9eNhPJc8CnNCoNPwBIyhei8JqVNlmIjoZxtVi3UF
wmPUJFVE6tEesoeyFdbjpNyyL29abDEUSSc2raL84i814JNL1mfiOydge2msgjEXv9Ya+zq+qyUV
IHWFFb4ZECgvUhhqOjHl8eOktDGStJrmG2xigv6DsN/7Tew9ttWUX4Ma5sada/fRwae/N4Nsf3ot
JBRIYSZ9r+uw/znRBA8xqOHDyHbjwEsTniItYMHwlzyE8gp+peR7nUKY3/AHKErr7fFlMGn51OtR
XYhe1vuETRJWfru9c/idPqCO8pehJ+slluNXQ3PqlknoWow+iLtZ8G9muq69HYeAvOeyCO4qS9xx
2oLUVUPOyAGlbZ6ts5XZVE4VKt75XCxg9GhrVUDnyVYopGg8S8bH1m5C/wlKtgW2VI5cuOvy1sao
L9slADPg8sQaEDVh1OTHsHXwbPX1N1qaPtpmvF1mSiaA6n/muYJeq0kZD62ztudJw9acXjuGn4DP
sO+ImezX/L3WlXVMsyT5/94/Ij1HiL+s5/5TZ/G9+TQ/k6+2nf9Z1fz9ZX9iFOUf8EgJ0yjbxYvy
V4yii0DpICu6nkBY/P1f/hdG0cNxIsElSjTNEL7Bf5hHhP1HIIEPYRvB24IoKv4tWfNvoqbnOX7A
w9ZHeL2uE694w78URbnoevSgGc1exX2PQILhhiUJECMVFhStrXJtpl3M7NdUzs+/vFL/xSITNfcv
a0xk3L9967+5ViTlDBS6dnobqhx9JSEVnBDHbfLox6jZBP3r7yb/E6gRdUA49AldkdxKyr/Jt2Si
M4/zdN4NWa6OsY56/AF+s5kCme/mrnmz44zxqJ15fBcmADI8+OTDbHczeOZtqCuSr0v8goPlfu79
W5eML5Q0d9Xb0SsKCt27mnOWoM+JE6Lb/uu/PY6hv71auETwdwaur3iv8Ib6W4eRbEuGk4F+Y5cl
+cF3nKyDu09aXQ/wCK1+obqy4dZE3+J0H5osfVKReycnbfPQu2qARr9xPYkJ+tjvlqrOICf2ss4B
3Q5sI8v0ptdYWaaR/1eWI+HHYFkANQZ7skiVXgezvom1tIEIX0MCeAIP9bW4nXS6vzzMKMYZA8/g
Jo/KxQQ/jz+4DazyMdkOptzgxac0J80f/CR/bOhgUfpzbpVZWdPqO7D4ZQ+NZN70Tukz34Ys9EST
w5Uw5kYmRNSQdwpcwfwwU+W8qFY4e1nI+JuX2w+VxX2SIT95dPRQwASe5g8ynP6eFsVpPyV9yyaY
Mx2kvu2voNu1GyVMeocuOK4UugxXyzzeuX40bVzKm47KGqNzEGBfQrjtMGJzF2TOq3B+1MF31heg
iqq0vgtcFnEmvF7yK49wTx7BjED8+dG4CBeN6e3jIE6jTMYLvZkxudQAEYudWL1zPbkcK8O3sAnp
qKESOxxMlO2m2WcaA8FA4GdPLeH2K0+AhiZNU8/JkZDQ+7V1RKvwOR48Qiv8alwmwoPo+AKaEdLD
yNG+KcpO34qAFbOpvyHuVud//YaUPID+6dMbuLa6foQVb0kuGvJvBNYwJnjR9LPYmqJgeMU5X5P/
0XS0rivSonuPR9c3slfUCyaUHCeRK1gdBPjto1TX58B3ntEmrvSu6gQ6MPiari3JTm4X+86NurUX
XsM7Tp2/dtqYWx/O1D+MFP+37Y63JAjqrv7V/7PB8bdp8b/lms4Jr7/M/7MhEj3yo/3rcfaPL/jz
NAv+cGyKLzE22v9shQycP0gk8l4A88vGjXPrf+/opP+Hy9MXXi8Zdo+d339ggaX6g6/wKPWwcbuz
7vq3uMCB9/fHJEJ4wOErlIvlnD/y+rb9y3mmcSN0oDudfRMJGkFjRfv5nFSoxogcAwSb/aDL9yQv
qVWjle49pRUH2YvdyArrhFb7KhTebVKr/JULUgp6cvFuRVj50Q1dtwmMFdkmeORbz3uVy0iQh4Yy
WndykDSrvIejkIOH38fMPq8UmdS/ltrvXxMkwGqlHNnfeb413RNqgD5PgQv39DrfgTeRx6kd5CNa
rj6prqqPs+jIU8DLuImpcZs2gnGIRMYi1amhUP2UFSHyNhnA6hveiMW+yVNlocDzjdauYg9A1Hrw
1olbRs/TtcWpdC335IX18F2nDTv9zAqubhx/Tl+iKbCfabIZyUA7MX+2U3PpB94G2SYuFvkZxlFR
MIuzAGq7iWfl4OWXRWatWmUIQ2e7zDCGtXXIXb72y5Dv7bQPVkMPMKyAdH4IqaPdDaVf3VaByhm/
yP1SKcKakuxDP5tfaALWYwRUeFoVUNc/GuGW+LktMlw4M2d9SaYrqVjbQdnsIp89KS5WCFjsk+Yb
j2zDDpZ9iuEDNhanTk7tm/Hrs+N27k0mBOY+vIjOriR7d0DmJ7s+Ob9g1ONk8hIYEUBfVXvILO47
qzq0DV7U3ua3m5hQ5gw5ZOk60gQkHyt/O/d2s+t84T9BQ/V3g+O0n3Nf0DKWdZHZGyBYP5tcjO+i
H7wj2Si6qpKufoDeJZ/R+trb3M0z+oxnmx2w29iZxXN6QHjiBh9TQZV5LP9ibz6Q5g2JRFTNFuAz
fAW3VuWRqif/rKpsPLp9bz+Ap/dPTmaNW0Gv7ndi/wUKq9s/cSVNxkNNv81Dulhon4HEuwO4hiin
DdzxroEYCX0dtPyty3ro7GooNIhZCHVRBNLLdIssV9XISxpQewPT3QqJc8RmRD8Lh+kcjd1TaS/R
97Ct8qOVK/XukyY6+dZcHGLZSl6mWoQXoh81wqRfcbloBu3W66oL6NvIw4yUg1cD8EG0ut43g25x
bjrAjoQ7vE5u03loH69N8rtgzrb2iIXRbfT3BhIpnO26ZDQfrBet2onYa320J8NS3UQ1c7u663NY
A74b7pgqYZG26jXijlIa2bEJ8Vuw3H5yVnYwkq/UP8Fk6kvptU+6bSix6KJ15OTbIjQ9DTEgURfW
4CXcYN9F7xIZRjpH4rRJPVNihYKZtfZ8Ioa7kZa6aqMBwcFqnCj4qrtlP9mzj+kZftQRsW492g7X
bFUmkOuWvuQ4VN6Wj+HwjLu5urXshD4okIf7QvXGPPQeiNtV7BQtw7RtoU/H1hR8N4zwBCKD3iJO
38fJT9gDtr3haQIlsbaXPkT9mZKE7QovDrSJgsULSVT+knyRa2M5jTFcI+kbCz4h/e4EQvz8M3Uq
szMiw4XnZS5vi36iRQ+52R4Ui7tYsyVukdCHEcGujPEqUFITRc8+Ly217WgDY+NSJgKcq90AHyO7
SQU7ScqsN7s5y5Zb0oT2U4DF6XsgNIwombbDqZQSYJsf5feRDKKdndXprwa+Uc+mwiXEvfT2vKMz
ftqmQEvx9UifD7wzmPdGFfZB5x4rl2HJ0wNVGXpn6jxGd8J/fdt62HOdPEwPYOTaNyXZLETtDOYn
ohW0bOp+yxVpeLIL0b5ZhcmPfqlnvZGZ7xNmpPuN17+7p4LTDGuHbNGPGIYBQaTwsMTuiXwPe0I7
L95aGXck2KaDWXLryTRDDok8yB/nVMd3XmcvFKXl5T6oKudeV+eGBk2KoOd7GjTTDdPj8ByGDo04
UITlGsVa34CvsC52RyPEyeHddDc2bXFmi5DRrmvQ/tRYvEdh2L/7Vp6/6NTUt7zM+QMF9ep7jyCB
Skf0F7QPbKS7OAE8lAwz5eAyXjqIasBjR5ib6w4SGDi8haqWMTLpVoUY+udFrZNlcKkQHpYTdo8g
JfPDr24Z82JXLOXyFC2YwtdAN/NXOgid7dxM/V2ZKOfoYxElvV8sdFR5WfaJ1QRK4GCuezHLTZ/Q
RHiXXb+3n6bOfV+lcgccfT5I0Xg/xciO3MPy2GwBU+CEq4rKUL86UYiqCH+dfdKuVxhRweaJ475p
9U5kwtsB/Bgfk7BjBdpbcb2nYpZJYpnjPWtW6oSjqHildXh5Bq4qzwvX+Zx+Si2PWOq1WdNTLDBQ
O59APvMNbsKcbX2g8+0Cbel5AvMSEwHE0LMJdeufpybIbpmvZqrieLYCwftwOjh3wD+zS6ba+M4h
AwhwZsFyuCrHMP8+8jzN1nliO9Z2jqv6gdyQ6G9GnS7fatxH+Gnr0hztrvWAUefD85SJz9YAV92n
UWeRmwWUQKVW/OUbXLCVRw6X0jf8MnOnADypMWRlT7nbCz738RtxrPEjoqyVh64cMn+F/FUpCkLc
5tnH2vxVOFT8GIcFAysrGsjLXrwnqIreoc0IS/e6ATTDQ3RiQU0UDhzM0rjDWxjFP660PT5awUlD
Fdxi+6Nz1sKqrcWTTRXSas5qSix1dIFWo1d2BgkxMONCYLOZKY5s+ZAcTJi6p6nKvKeBOCuLJyP3
GdVB9Bngu16Rle5Yx5cXKJ/8ombZ3sjGwqtLfwEl9ZDA8dNTsFVhTnyII97TVOtwtJYgdRvOlGcq
ggrKeukvDSqBJdVX03PeLLSq5SEDalEhrnUF9JXatb6BCtxOio1sa8vgYezc8tJCslthF8lexTzT
vNRS2tYOVfNZtVkOmaqrtjHXrcPkV+Gb55Tz3bXH/HPo5LQj7MokPXre/NTiSjnQWMHFRHYHFdvJ
OakNVPEh0ZRodctpIsL6yweUsG6Y3BvZpmyuOO4rqcWPuZp/k04CGdGn1AE1mgcrPRW4JBU3yXz6
FVGQe61yx440lZZ3geDFg4Q46g/kQLkdrS44YYHs92M5pvfezD1KxFG483sBfwklhLbckGBcWpVU
/ymPxdr0WXpLd582+mICpz8Im1XNLCiADPo0x99CkplqUNROM565dKabLKzUXTFIaI8Nj/XathTw
nXxv++l57pMfoZo/GxHe4SnudmXN6p9PcOo/1k0D3E43ttgl2jrxTCwNpDIQzKXmucrsO1Xp2h5N
xjUi1MvpWmq4o8bAegzs2bHfx2YJ/OMQdZD1vSbkd18X6heXrNrsgfGIFw4pzaoKjobvUmh6XErN
3a8N8vBzMIEQLH84jTpWlk8wvfyNWsxya3fWbS4y95HL5HxEqU2w0nWwyto05DZ3Zd4FZcZ2EI8D
AvwI9+dbkYv4QLiKwGfBSn7ss5PjNt6FJ0KPIT8uz14sh3ZVUgjw1vAVZ1my8F5zz1wubR8QjG5s
7b8X3Kyf6la2Zz6vruHu1c+7Vs/DQ27pdISbBcRIWYJQaeNVC31R3HA3BFUx/U4geZ8WjFTstgDm
vwPiKc9OlwNggnvpXhirAfvlGpstl9WSBA+2rXsYXCjNXdlFpKHcMQWDr9t42caLzYo2j5rk1c4T
cWqbBqUowaV/jH2uGJQ63NR5UV4GFjDFpu/KWzl4/kPAPhmDnO8ArMmgqX0Gcyp+xPjUgUTn/jsw
HnMTBCGcCVqAwISWcZInAA4iM0HwDZxwU5mpAu4EUgQG/hh8Q+lI+lVLUGE7EY1ggUsrl9LuPoRX
vfHqBrqARVB6TaNxu+ep9cHGkuZWaWqIuSrZFwGM4imlNlXG9zQK/tJiiA9RVVs3U4bskBPkt5vk
oNz0stQjjhPa6TcFxqYne2wtqBEtxVLYQ+hljpx1ofK9dR0xiM8feCGW9YgLoOZuyN8EAnL1y4a+
t0lj6yDpQIUvyYWbEZk2NkpgNmGdvIYtnizyo9/6BFSRKOJncjf+inEQflbW3zGdVxCbg1tHdnpT
Qj91UsB5DCM/rMg55262oYePfUvIGsC34+99LU8xuCz26a3cYJXzNsvI+jOvk/7Gz6+GoFFQ1+dF
ywavlwPSHXEuJzDNEh+8vkf9G46MdlcWcmMX00c56A0M9EMPV2ZTq+puIXp/PzplvfUSe6GUZFH7
xolCYAahILw1tw66mHSOWdXFj1ET5HsVkYaP9WC22jYGNkh6jQsjKu9Q1nIupdY87CfhQpdGKaIg
s8hnh9C8CSghKfr27M1ommCmeX2DFgA/7eB0ZjhqOCjLj16MkOatyyo4FAlRPyaxHmTf1M0ovIsc
hofCzspk68VN+ILVcfoA2xKdOm8Z3UMbNSsuNO5bPDa0FfSWG1JbsTDgANsV6SNr/AmwleMgTk/2
tOLgsF/jqiueejtuxhVOO8/eW3nRHUnr9NxBA2x8tj80r5Q9Pjkzb0W7D771fe6eeMDkqzJtgsNU
6A9qTZyV9kg101+9Bl0Wknmwhy85G0w+OrKDS/w/2TuTHdmRNDu/SqPXYsE4Gm3RG5/dIzzmeUPE
yHmmcXr6/hi6JWQVpBK06IUELaqQFxcZGRFO2vCfc76jbf/AHYtgTCSq7HXCJL1EoglJlU3Qv/Fm
xevYreKaqEG0z73R248TW7VLKQDTUxVC3LTGA430M5m6yFTb2GqqCxNlFjkXeM4TxhTk2kzF+9jr
dEE7XysffQ4uDrCEnNFpwNDy+DtT+v/Tt4ep+v6Pf3//ysnWxG3XxJ/dX4dpzO85UqJuY3LnHywM
Zv9qGHf5/vWeRv/bL/BnOCf+ZsM4sD2TjiSixYtN/o+BHpe8bYpl0ObwD8u09u/+efk3QYTMJZRv
yj8J5j8Geqz1fHdAn4gpK2Z+jvw/UZrozv2HkbHBuFA6UvC/f5zJgaYtUzPtokM2yJx7pUf6Kqlw
pcAjpO9vhaGIDd0o/L22McOIzpWnEuKKZvHtkiuWF9pVmA67+QZJunliSK+viPJPT5wLlbOGhFXQ
yI6bLaOZtVZ3eZW0tzIVzsgoJcfSacu55P3AKGU0SKlmsG1tEZQYpdkCPwgzGdWxL0vn3FouAfvR
HN7J7xcfNMy6BAYdOKtlXsBHnN1YkWXpW08chomhfzOlYQlZXY0TFQqdgK2eZX19bEvYq2vYR06y
0cSY6lPie/HtWEkXCWZu6gcXety99hnteanGYzJOjfdqYYe7GUdzcTj1Fk2Q4CMJH/K2R1xg3Ui8
1qDzqdu1jSYGN9fJOw5GnAzdxO4/E5f+YrzmzskkuXrHwK/YYkKw7i0KQ2BuNO5NbkT5ncxTb290
jjo4JE/3vRgLes0pjL0EIGYT6sMdYofYqixvMPxdrznzrkJLR59qGPkcjayN1Bb/Qa8phx3miwpU
zM8Q9OO9qMP5Ox7ynDl/WNWvRP6ca6VhM22jlj15nTPhekQKhzGrdd7dRJUSV8wERoyMNBq5uBPY
CdIsDnFhYFR4lKbHgEfFTERorxSPvjaxrysPWso2NjJB8BTJhdqQGnOGX69Nq0vD1Si4r9NGv7RC
VgWwpLwChMYy1l2SC6N1qLab4iBh7rRHJ68VcWmz6N5yJzWajcuJ5hv31/gAXnCgdZJyKZMzr+Gv
ZcDphWMGtR9hWWScdpRj7XEateraVTqryQsnBWxTRV/WajKyMj4PsxwJ6U11CdMTxy5jSGeW30Vi
YxaPstoNEG6Kat56tZWZbHo5YKrObaq3GcvAi7DIO3p5PBbXuTuSjuatIWYLuyYfDi7dFh0ovgbp
NuaMy++vJ0GxJghZQMFxp+jOxcrc8Nv3whfgssFPnFQcZpvMCr6prunwpNTa/KyyXuQk+4lm7O08
oNiZ/1ZX7mRjR+VNT3DuUquowDCfZSRmh6H91F400oZR6WIj4pw/498zLrkelCmin1ZvTjnPyU0X
IaDSRxJwTBqm/LHuQudrAkz5OpKcXag8AZs0tUUZYfjS3SWCQeLaMaloqCIZkQJIPEnE2/DwDltF
jbcE22FHHl8xQJgUlb/AcCbae/rGsyD3KXPrU2GB/2Xs5K3QQXsk9tr2ZFb1eG9kqv1Qjds+Jwl+
HWecyVJqIFdcf0cPN36j+lsoVu0zx3lIMe5QXsyzWe/6TAqPY2dSeSRjA4wflkLxBT3qbC2q1fld
5GUY4+hg4yegkl4UJnbzrZd4rQ2OyymPBfwfa2UGNmQEnko8PGKAURq5SLBczb2t15b9J2FeGkXN
REuFS3zuzmDrpzsPWo+/K4OyCraZO437OuQabFaZOEq4KMWKXIL52qh0/uqMFiKfxbgMFwksEi2j
8MxEBBwnCSF5N+RVfN/3hqb8poe0LQZvPjht0NzF/tBf06qD18oaCmMTlrp4KcuIsg4YJ7sWbsFD
x5k8Xtt5OO+SFNMYF7IqRoEWuljPjp+8FfFQXicZ7GxceArn+DgeddDMX0vdLGVTES1vpMFLGzUW
baPa6LSK4AIMYfValTRWSzO0hpOyGYCu3VFyV/JF98inM6IckIiFwgM0oc+6ejoZdL1gCfZbm7JB
PyETHhuabo7WHiqe1aT8yCiyfOgcKqiRDziWImrXyZtZOtWLWw8c8eu6gVdkaadzUVtnKwKrmCyD
VdlAT7UqUT21CRneO8svqUwGfceiw92m3tiI4dZFlExi2PT8+uetjDskba+a+vFgZYPtHBsxQb2r
6qo5h7CeYO0VmJ6xolnMxWuZfYxRGP3Q8FFuqlbED4zN8QurzGa7kRnZ0QQPa7QmBiu3tGFUFeKz
jA9wyHTI1ageTw7Ify6mRLRPeqDLZ+32yL/rjOv1FaQfGp7NEGRX7wfjzVDV9rwxYMHu+zwSsKsD
TTGFzpz1SHc9KTGcBZc2Xi9wSmVnH/DjRnu6+Bo94teKUEqrVdP28+WUVBUWfZSGlagdkCO1lycf
sk6Lrcjsi4GKKL1K6IfEUc53eFuVsn22M384AXkT9jrECUl7AKklDrKDIESFnffEa+OWz0wBOd46
XXvgkrvv2oxB4mTCyPEbddF58MrwlSlnBbMvO0Vg90iAJE0NPqcNlrH2PBesQ66xb8w72x9vLbNU
WBr7+YsmyYKNOu4esiJjIDLTyYlHFsMcZYZ33Dz7H4fNZ89g3D7ZynuXDb7BGRrIYR5AF1jUjD3a
o2sf/JTmoVWUMaOiTdv5rmMV9Osy69WNNk17l0LZG9czhI6TGXTcH/ABHwJlznBF47hpNkOcII7b
QJtpdhHkzoP0nLks5NtkKLBu4ZkrpzWzQe7HnWcGKekOw9y3yYR5bI7r9DjDvL+zEic7jTxqWBaY
NXANdC50tNybwN60L4rnbNO6hf/pTZSz0b3l1HThZf5dkQt5SLqOaKJTBcEKPAhKHw/MJmjN4rZO
wJbQdBU72zwF+SfcrnoUBW2Sg+bjL7kMvuQRyF/8+OmMFOmFgkFqIq+KVDG/jREYts1yl/Sarnrr
GuWuZzwmD7XVtp9jaFY3XucBGWvIva2HNCG357aSMmQZ7Qfal9qVAcgXhyG2qrd8thPGLHrhUzkx
BhR3yMPvIKqj6zww7EuyaADsMq6qGvGhM9lAS61f8cbIrexr/95w7H5hbQbhK30BEbjhuB/fDOJg
b6l2CNFjXxyfKpV4+8iv5LUSnn1S45D+8P02N7Aepg816xgUTTW1HM/iJlvyyyQZ1DQQ8Epaatk2
dgiAYuW508T4Ay6YnNzhCSwETQsEHt+RxzlqVG3KcLRrgwFhgUKehiplO9zzUQ2XJnWarA5x0NzG
jc3UtKw8mDndnLFSWeXYZdtKR/T0yMTQ5V53TRMcyTCLcMP83WMqb0bmFX5I59mSA+4cahvSaRf3
ORVLY+Mzheb651/EoZzzdQnnBVfkoJB+fJoC7bW2ak+tg2loXgfiDsmmiSNRruM5C84x0j/KWudF
R54QNWPljbv3EKMoxVqub1JBLxcqo6/JX4Id0ECD8uzJoaP0Dss1Bq+G+9BdQoHrpmfusjZwDVzE
SA/X5qjFN1h3Hyclthrslu6AHippKhp+WzLvJ1iKEXogRwIGbW3E2DXm+rwxDa4wN75L99Zu6Cks
k5lVlky3HFiaFFj49qZkq+jPVtxWwYpPgcDiqEq590zc/1lmwfWd1eDDHlfMDBOKO1147Ib5qFxj
eo99Q3z5fqZpmhpmdvK0aTrNYZUuwlWta6SVLEmqbdaCKY+cLPwBZA7xdGYUMakKDi1nzJnWc4K3
M4GFW+0X7aaRDUsUKiiCBae2ZOOMprVVEZAkX2iSNZ7XBu9qqK07UXDE2HLqVca6yZWbQQz2RuDr
xI1+QCDNnNF0g8TBD44Hti53RlCM20bavCYO+/KGJ1ub2zoR5but6sq6Sfow2wa9N1JLYY03pcgA
4xYEJsj1VQ1VbTxVFqJOHd1QE+ccbWL216nISVxNHsI3NyCrBglrD36/lnzJ8DFB62Q+39jVUzVI
2pdrFWQ/ZRZbd42dMdSkcsTbZEgsGyMxCAJp+BdNMxqHzm4ApQV2FdIAwAlwRW2M2IRF1231TPFY
QErYXbmMWt4jAlYX6TgztxzNeT4Ynal+JkcG0z4g6jueIQYZD9BR+Cp+xFwupFxgqbtiFLonsxOc
Sp7pz2kRdTmrmOEdOzd1P9TDqgufONWxQsarVuNIZ4NAioD5JJOdZA/Zhg3TVM+KQC8WiZyPwHOT
lSGk3qoSxLeeWn3mm3ZO2DzEC+cAjI2pKnapiVrJS5MhwA7IQLB46myNT4M5fZLqu9LRS4GQnZGm
o4YO5mkt4lvQ+9nWrBRcORek/cXS87DlBBdsLS/44Jyq9oJ3cgsuv0WrU+EbDsHuY1pcNmD4TAK2
k5W+hW0pb8PZbEe06DwBcWlk+9nI8/UUduMDzbQ3pK/NV1Nk0a0bN7yXFkIGZcPueMKsNRycKgsv
PK9K+b178cmPMhXBt45dKquF9Vw3M2N0oijeckLP7V0kBK5m6TgVxniEkU+VxuLDZYk5xBxLtykv
TnvGNEMopre5HDc9lSnwN6nKCu05O5ag/dCLaWt9KENOvBzhvBsP+Pi9M5f2UXqtcVO2LrIlvoFp
FSLEP9RGBfGWlZcSnZAUpRz76IFXL3iNMNqxtAW09PkqjFlddK+wC5JEuCqmKjrRCOTd9I7FOLL2
GVBjOxDp2TVsfYjICV3F1kxENyiS5LrJajqiXZEbm0hoqlPzcGo3AaLO/WRlMYx43d8oI3Q/eXdN
6lMb9V23EcWZKiEm4FkTUTQDENWz1ZWc6s00OdJ1lZylIF66Ej2zjLxjvaIm1wKDg7RwRPSMCD/n
+T7wKadIlTGif9HcDI8HaEDGD5tKvsgKuEXNkRXv4NbNbP3csNVRXTrU2U4Ik68Jx+M+sDLGkJEG
zjxpdCiKcAdvV6dJtY5si16bknqU9XJycanaiYoHk7q3nef0yU3pWD+SyyC7MlChdoPRorucnFE+
LdvnljSIX9xB0x+ePDZlPsu5ZjSv6f34StGt1/+Ny3lG46adHWyqsVZd1ozjRnhJCWV6itzrmS1F
bzKVgDr9Lxk1/l9E2jBt18de97/28B3em+m9eP/r3PDPv/MHtYEjT/FYSemCkvor0VA6fyPg7PFM
8J+AXbhAOP4+KsR5zgGF8RxjbNux5V9sfPJvHjEkLMoAN9TyN3+HOv4xgsOD/O+Qxz9//rdC5zdl
XHTtf/y7K/8JaOiYpsXtjpYeG/eNkvY/ufhS04qsNKWpIekN/1oKOVB/NRf5jlLb5CVkSP3qUsh6
LLyMabpa3Ncu7QQ05db9AR+dOiYcie4xlpMX6vF8PZUImC9caeXVPAvnMcZieh4sYR+n3E4+ytiw
aU0Ix2PB/x+8HIrd2hcKZa82O+dr2XI419S6u/LI9jw4MmGcyHpX/ExThb/E97IHZjcDi4ywTouH
4Kat7RQtmgatLvJgsoFe4F4YJE+577anxvCDJ4Sm5Jwk+S7GUUYWR/X02tbM53u4QUnCzu1xc4fG
71sMdPAllJkfwHJ0uR0ANQwpJ7CLfdxSIsjmS0Cw1umWvSq/j7tGMv5Iuitt+moD+3TjR261mmJP
XGISqM421WZcG8hfuzjGrhyrd3Y9hvz7HnrduezQ/RhIFFRwOu0xzFpzK9u6v8sKRKQemgbOaVjB
qXavAt0AXqjHnjSqVq9m49hr4n894qAFX9eq0+uM2+zBXeTHrqnIsOtufle5k3ETSkDRZaXeWBHA
rI4zDBmwDpOUI6zHIK1+iqKrOI51TU16nmHjK0tl+NT14fAyRUH7oAj8f5uA3SQnrJmccVybNBFM
uLTjI/npvN3FNnNTDk4OETbUWnxwDOTekonwzy4NnPim8PvgMvaBXyqDkRahGn9CAJ79eFNqpTZT
k03OmmeEwZpBhxG4AM0N08fZ/mNOI9jn3oQULUoq65q2LC7t3DGwc7n1PSefbOPUuSBcT2UAh8bb
OepIvY5gEVJQ/pschOQzQMlwi4NbP8s+iZ/QzcNNWxt3Fonei6QfrB8axtxVzu2MsaiuqS9KwomL
rZV8gRt5A6MbnKtmht5P9+GFldnuRg/ExlZdApxrHXD4QbCXlXvue53cRaVv0pvVTidC2fI6rxie
GOnjGBXgPgcZ9pc9LLT3ptWggC1nOHCtIQs/YcqnAnaLxz7A/t8qjk6z7d3iVi+viTJPO2bi46kO
I/c1shuPzWnuDQ5DbvwUVll6LNJheMuVJ96XafEqwqaxKVvfvxjsut3Eatiknnsbj2Z9Z/djvmai
2r8ndl0/wYOJ9k2p7deqr8LjrHt7Wk12IE1OH7F9dnLsnwCn6uoqbF0UBsoJwwtml3jMZVNdu2OM
k8GvqucAmiuI5lxwPaktI1mLvEp3SQDmqhdTwrEX5HRo5CaYA1aHa+zOqGdjVPL9inyp77NMdrkc
FCSmnInIvlGeA9nhJAVFcx3PfnuuCg7cVFY1p7aX5EQB2Lvx2qsq75xG3Dy3QYYTgfJn8xtuIrWA
ZMjOlilpzOMuOZtrF2jqtqfWraafs8XdOHhieIwbohh70/NFRiZQp5L8vKk2OTWwNaiLxL2oOeAv
B4bePVuMhrdlZoudDpbcJEZkwiyVU/g+ubyo2na27GMKAQz/ignGcp5nKX4llzTHqwCwIRYBtyFc
N82hEYAVwyFIawBJz1PDMPCSqh26JZ2I0DquE307Gn3x1eL5GpHwQ+vNaZggr4qqjV7H0rcdRu4p
zG7J6RlTb2Zp+TqBixhw+dr+oynwJaS1ObzUwpqLU4yZzFsNULaPxiDcYt/lvg1ECZX7IyxHa5mQ
V/JFY3Amq8Ng6EYsxgK7nJZFe0C92TMxzyAh0la10xYk6b1viUWDt5Txyuia2xJoIaZ1WK3H8ex5
MgcYG1sVNBoa8eDiJHW0HcfO5vBvmQD/W2NIADxg6MP2bbnlfez1yLJcHfFHoPK2H6KZGc5o7XkR
rSuu1d1XkTAgic4IX3nVNVsJxGyCOQgAW4TUT4HtTPVrTGecu85pOcUupMHtghecIhx+BpNYQSCC
615mJlhAbQQAC4/JCeuWRw6/w0bb0jXw0xhe8Qw0p2UM2k7ZGlM7Q4Z0rLO7OJXBMwUx7TlTzk89
Gc07OtadQ28b4wz6HLAbZCXoA5Grk3b1+Db5PRZxhzT6m6NF669DRnJH4YWQTGKZYXA3e3kHZ2b2
bxjiA1abnJyAR8q4bKcSxQ/QyAWwkqnOWXk4hQa8EnnyiDV6vKDVN3wSTkykisFju6lMAY5p8Jrh
2+T2iyCIzLT2GDxso2hwzwa0Fwnt24Qd2OXaPcLA4r1veBFeKqxlD+REofvm0jKWNmoeQGbyAAfx
pPb7wAzNR41/4ZzmLmniFKBHvC28ggYv2fM9y8zPT57TOgV1xcuAFnGrPZVZVj9jf82dY0zXR7UO
JJ0Ha4RSALsN4+XLtOCDM+yMohZDtHyDLrfqr9roiXmONbCOwuh5Y5COsueE+84Fa6j5Lsxuesbw
Txs2EGKM1nJOWHsL21kPfGlcvuCuXhX//m3b46lYRaka9mQIjdc6Y4eyJrz6ObiRb5OCiD10IPUE
KtF4JEOa3Tr2GFKZikq0iQhTnW3S2iSHAn6zLLrdNSoE1g98TN1Tz2ys28yxXb4ZaVkBvSIPzzta
2fduTLv0ilXR+ChqFIiVTzAWeqgqDPCvgc9RgQt09h5H1QyXr++TZpt0E/PCBGhlvU8sqH7gO/Av
FaL4JmLu588mRaUObWqDvEvsJCIPO+B6avqE9qUuLdMbFZkzkwfqANq1E7rDBVNTe0VDenQ7dBGO
J6KJ1KwPjHwQRT/4rLBMcDmrnoa2YxfoEWMcx5zv0iYyqtUC0gAQU5uLz7zCZmnIlLmBVRsC3Til
V3DWjgTnNXsw8wMJYpbZgNKUWlrYi1Lthd0miNzuWpAp4PGUVhuvrTQKXgJvpORWccnExsNvNQTE
+qTb0bvthlhtsirmc08aYIomHtjzPApWVOE77R10hepu8APFzyyERW2ASVvgEMb5MV6qwYk22/Xa
YYfjyXAneTASbe7M0tTV2u7TeAtVhXmdNCNG50mTXJMsRZoM/cJ6p0eufDJqBQDMxGp85TUjvxGV
pfWlEFAIVpVTxQemyv47ZDb7k3Qp31aoku6JxuRF5owmWrocGX5iMaGlLNPqiSpRwtFzbbD4deAW
GcOes8klKme42bxPBvA77LRVivHExAeeJxjd9yVy6GWgRv9idDob7oQlu2QTx1H7NmREZbh/t/ZP
Vqn8m+uzfXIDI/zASDxN67Cd1SVm1qsIfvJxmqnbXv2XXAf/n8t9cZezYRr+i0tjnL9/Ru/Zv900
71/f7T+4Tv78y39uj+pvYsEqStzIDuhqj/vbH58JkWaotlhG/vhJ+Ju/3x7tv4GUwvwiPckghnvk
/+Dh2/hWJEoOgSiTNOHyV/90XfxX10eMNP9gNFlIjZapTNokiJthdnGIcP81BGZJPOeY2v19EYBK
j2U71VCusAJUJIk+eSJZrkSknobaJd4KSGSVO0G3kUMSHC2vtr7YxosDm461KYls6Vzle7DpyRtd
6BSTzl6FR7tL68+aIBDu2xqxbZjCKxprxztfRcYO2ZS8JxpI86UKppNj1Mo7bMvxsMXE5XwG1M46
0Gm9aNcbOSK2PsfoOBeOoA5PD153rOeQbuEYzIxZiF1cqWuhcRBXaN4vXlirr9TwtM0Jegr2kM30
zi5IPzOKzsavMHaCN+0G+jS3yDmuN3b7uS0joCIKm4olCNSODGJDK6O/MfavyV0N24m29UMZCXNT
T5qjF6LeISYCdDPAt92SpY2AUtkeo9asSIBrBXH12M9l+R3Dgjl3wrBPta8fQAAponGtf2PL2jGh
osOSteBMs5bH9JYBG2kapMyoZWOZ8qTf+9ME5b600pcW7/aJC2x3KlILDkXen4M0ji/jiGZrYH7t
fVZV0RHepVwb2NncVZjK+AMBwni2ghAfetw6lyGVPx9Ashnsjq1r/PST151zjjQvJTvTmQ+cn9Pt
cKjUtAi6wrkCqd/SbuQTTMItzhVU+D+jg0eWcxzcoww78qlOKzI5rJv4p3O4DZmvuVlix+aBd/hF
GcW9k1sJqQiMkJGvxUsfLiBzL6sPCh/JpsKau1y720NlQSgcgOzSRWJJbnId8n/vQnQPBzu5wN/0
5HPE3sAKyulEyrpV37KLdXNkv47cwQ4aJXrdOzK/jrMsketmAU56tAshsAy4pIKW0jYgORZnqm3u
Rt8kFFD44qJyr0yzT44aKgcfugC1LPLLoZzVF6mm8HHsTdzuWDufptHKmPYG3sNQMJFmJK5qbryG
JmYurFumGzBMDWXQDV86SNVOo6uvloYc5TQGsMCw2ukqsa5me8p3yeCNJPgyTdjL4qmNhcoeM6ms
ejN63QwMmd+ZSkyxMZpCv81uVF5Aw6vuODPLCwqr/N00iAaaBTESB+8LJ8F9NUmGjxV9Sxzs+lVj
kLJrpmQz4HPY05daPJr+pK4As1N/6hJg2YqAnrtVHSE1UkAX3tiz6TCdsRc3PX7PkKhbI/Y4B3DH
BmJaL7altczd4hOITqvwZxr1wXAXsCIUaNp305tZl5+tyaw8hb5nYAOwRGfsmnI45z2d8j4G6jVS
4gOu9k1oFtaxIumQrgm1G5u/rNX/k6mZvaxqZTZhMzp+/ce//656FplsLKkuOE7ntyXkL9HXAOmV
rh+WAy4TcFF7gIpYwyu4ZTyORXXJER/SWm5tCai8ZLRtRgtMubkCqYQJNQwKAKdzP/xALoMqHRXZ
herBuK5jIkuXZWhjBKlxBbdyiG3csJGTbztwNMGKE2J6p37f5/T33Qa7hvGh4L0AyrisC4M76Wk9
9LYDtsgx0rd//aOjHvzTz24StXLYeWxXkodnePmPK/6EmU34aSj2phvi30c4zFP73vDHN+FQ5GyW
IFddGdaXSGUS3ZHPeOfT/sPT0FR0GDO0b0womhFGkGkGNAcecdg0SdZ/c1IMH6IcQo2skUM4+eGg
ADpq6ebNb2Eq4ibbA84+ASTw12kaf9b1WK55tnDyab85MjCtNxny5UmZbXSy6GiCVpj29JDS0HEs
gLV4a5GKjjb2FNUNKRzkRB/vXTXmN1oO6q0k5/cGH6/fDR6tvFZu6ys3JBWbhU20iwYz35fdIF9K
AzHYy+ERIyr2d/xR7hpE65fEtKPT2A8zoPnOBz3lucj4eP9KD+OA5Q/TEa2lM1YDVrdd2FkhequR
0MQBDmvNtz0wgEyjXeooc98MrkfxN617GXxybMmskdsG+9BTZ7lLg6iqnjjiq03NFecHKyx4gC5N
F4IhhQmVm1xwaQu9NX4x98noXOtazb5xb7eDRXuiCtlbfFF+10k5PmHg855cWRY3EVCzG0wXMDcX
HJhtOtFlUIvmwOTyCN1000HmBYjfwJbz25E6EG0yIBuG4XYc8vSKKmFC3lEG4jICuMAnoscNQ8Dm
XluZWjN04KBbmtaHg5X9ocSuhfSYPYIXHmzCny59wB067lsuFuYOUe7LuemiPQin8aIIfQ+WPqlj
Ds7xpXQnbqoNtBUIrMlEKUjuR2vR9NWlrIbgmjlCdesx1CaRYobTwc0XugWpNgTRAT2RDOONHqLy
7JE530QUZS1pkeo0elLdQiqyjlkdcFyRR8OjC7MsricrukfUXNWYAvdGOJ3HlqqYxJcDXb0YIyaW
qnZZs0KP1StY1jE7NCP6sQzjx19WuH5Z67JGETWg0cEhNrHC4e7u59+FUf8ukqwUzkYvK2ezrKF+
E7HOoPDOLAQRTD9rWW/JXhaP47IGN5YznoqhZM2trHp6ASPq7+AxsaKbZX2HVwBnnTD1m8twa1Nm
UnI5byxC2svGkCx7BPq/TSbCJL6bLntIHaaxcZAMiGIK1JYtSCgKbFbKmDpmh2YtHyY8hNct9TPg
MJd9jZkZJhK/xIu3b4XfnIy+Ipa87JMad+2GkBk7aFGF/sdQJS5bBc804Dkrri4gBmMaqbocAmOQ
Dvsg8gk5Nb9b+ixI/IS0zkdkz+J+ZxIoalZzy0ckf08N03KAMDhJzMuRArQLhwsiqgkF0tLdRMu5
Q3B8DFRUr718CfEFi5wXGHq8gNpdoYUh9gUuNgjaCHMijlWEiQtRMPmjD0Z0EiyiYTGWmm6bLEW4
tNrkaC/yYhLmFqhez7nqMFjcFZOJBolvAozurzA54wPANuR+9otsGbdT/GgsUmbAMKkFz4zASaTY
oKuoMUZyJ07MZRObBIXKyKLeIpA2SIFnznSopsOvgsrZHovxIqtWQZWDaV60VuwAzcfY9C+C+edG
kfRgsEW39Q7blbn3F6lWLqJtssi3za+Si+OzfwgVcyy8Mki9duoYNxBGFvl3dO7xx3o3o/LddSzZ
urh3lg/Vr2xciiY72r9ich5TRb+Kej9h461Qm3+FZ6+i3sBb1GgOluJjxNLzaZfFIlYTHCaxyIu2
o34IF5nHtAubEIGp52nRu9NE8xZniwpOxIx5U+MbJ7Vo5HkyjqdEMoAj14KGXtVeSEzeELAA/Zt5
UdrtjMq/cVHfYxr4TpQ3IskPju/dRotOn9hesJl/xXt8f91HyCzpDYJMuxV4pXEYpFSRIPyLuAm2
S4Rr22FuvrB+DQKGxBRULq4B49c/8GslKFEE8EVOnnMT82MEKUVcrkf+Ej/Rqkzmb2EZzD47pPsV
ayIWBTAEZGsW34K7OBjKFkxSv7gaqJ7DzmMyTR5irEjl4n6Qv0aIYWmy9hd3BPKMB4THOynh/BBz
/ZgWCwUbGCYptRgrZOP6vO2L26JIgDMy+Z/2rDwcrINUPCUjpSlpmT+ZTmW9OLWpD73OqufBdZPn
oBXNN3ANwvJG0h76boYzJ55sL/PgWCSud3Sd8oxZ/RpK8YJkxwytx9Hb0o6N8ybIgC9sRT8q7E0K
pwIJNqc6+tjP1iJIXZymmX2YuyrZmo07vcYGz6mYHetiHAy9AfEYfJLGdPah5yfDWpbLsX6G3Lwa
RhJfY+R8aYCRe+XUcDaJqF7GTR5fEHENpwuNe+eOgkfrIeL+MoKhG7vvPkUIpNyj9S9R7VltQF0m
9zT3IkzMS18ulKl8B02zQvJAylFJpXreRBewslSNx1ft4/cs7h3mh1Vzsght8v5gThp7qowGTedA
YQ4dAQsHvY3K9GwLvbG+TmnuOhRk97eDylogKfPIxckmg2Qw3x3hke3jBVcLtle+5L8M22DB2cK2
nnZuRdW8bWr5FgG338NRTVaBbwDvyjmmDsz2hMc1NEoAJpTtMcngcAb6PEvxs1QCbsldmO9dT9kM
ii3bY/XQptJhJEfD4p0VNlNOS248fyVoSpAI/ae8KzhUa/b2eaH9Dn0z7H1Rt6spsse90FCBYyTM
J1zVNYH+hRpcN33DktRjQHCs6raSAXhhthKe72yhDjOemB+8SmOjTYWv16Z0L7EDohuCPMlusqK0
zoRYySEHoXdGQrJu9S/Y2PmFHCupjHuSMvaNjT8dq+hH0NLdPUBvXwL1kXdteJNzaOKUY5FRnHOm
e46gHA1PbyBJhCZ7L9Y1qwhcZnfh5ubu10TGKtmpX5gz4AwQ8UqamwpNsluYzxwILzqLBkihX/z0
rZzvJgjclsNEry6s5Cdxw6t0AUj7TSVupRvUrzxfbF4LcprsQXiRRQV4s18iNZUMOHsN9tk9jYL6
dXbb4RHqov0aiNR9xqter2FnO8d24V6zE/wne2eyIzlybulX0apXTYE00jigdz4PMc+ZGyIyMpKz
cTROT98fvUqlqpRUurqLCzTQK0GojPBwOp32D+d8J75yFxY2ZmxrpcMcDvJCyk7T6Aj2kvGil3gr
Per4nk2ui5wK4rZkLExaMUkDzcLknlPXWXsqk/nB94l45Tz1xjfGfhivFems69IU8SFyZHHMgexv
nQUAPhvk+0GFBQ5qYHwnydTZjZDmD04paWRjKtkpD6ctOVgjMjAJZNG5EMgbjD13MlfVETgs6Loc
1mQmrPi5WeDmPRZXQCEAz32nCQ5Rnsce+8MJwmlo6h1/A667hZneY3F9qy8gdfbNER6j4iFSPERX
OHvmXb8cuBhPWMZZ2XNuTBX5O63eY5KlIMtiUPaQrlnLu84TbJR2O+uqxA45ajIaFvA75ryFAZ8b
g7tG88w3MFMmD+y5Gfq1q/lm8aeU6y4o+Im+Q3Y+oZ15mVTSsoKevY8qUvYhRuS4D+2i3bSdO/FV
If5RCabcHYG3K8vPUrIY8VZvhqEe1lEmN5Mm1k9YYXit2FuogJxGBjNkPBwjWMpWHJ6bgmWTyEA5
6DJmiu+DgPAGE8/BPJ2Y8KkN5QMWKw/gbD5wbQt0fyQpFNcxBuJ1MfTehjnBvE1GGdMmJR69uZ/l
59iXHpcgtI5DU1rf2eCm6DtbRd4PMA938JOjb2N8Il/WAlwZsiVX8EO/i7zMvqjEafJVnYnwwTF6
+NoU2nf0Kt3ZSaQ+4rJlssRe135JDadfd1FSfSlcu1gTkl6eocyk9H9VeqhYvRxMO8n3Tt/UVwpU
36FNCNklTZtAeA8fgBPMLEVTa883zH7uaNfuOgPnt2KTu00KZh8x8gfLREnbpdm5FPI0tofJ53pq
FXxBJbJmceg/CNUHDMi99MWFc3wE8ZxfeQniWMaQ8hgO6V1ku2jk/7wXFv+sFSYA22dbjMnQDH7i
HA6pEmEIa3JvEMa3xZXvfjSg4pJVjQg8IAGR/tfOx+gpchXW/Yb1Et7ouDKIhc+mb643Vw00FIwr
U5LO7BaWeSUzHRtwLGAka23FM/B6dZlwmhCHkFqODAin0vVPCYAiUsDpEI3/L+KC3Qm+7F/P40/v
RaH/8r/ei+r//OX83sJgbP4g6Prl538dyQMMJavZob6xnIvF87eRPFy2JVnZx53E/7g+N8TfRvLy
r5YdSMv3GL8H5Ncyrf+791N4rrAY5YMoxVn1H1FGHXfBAf59OPWb91Mud+vvhlJK6MjSDJH3RcgG
0TCYwKGiADPPzKC/qRySw7ZBSLzcyjLInV7p1sm2bN/r8zT24bGMQNsj+ZY3riIPFqatt8ljPR5y
tnt4jkLmUxUgZ/BfkkwhCkU28yEixbrspmMhqAbxKk6v41LteDSpWJLM+MBmsL61SNd5jQg0RehU
Ypxe6qVBExMbREFwVPNAEbLUVQV+wRPjFGfF1iF595f6y0uQF5G5sJRl7VKh+UuthgO12PUTMXLl
pZQblqoO2i4Fnudb/tWsI+QmCEm6T4TJFINMJcVTt1SI3VQn07mu++Q8NXBpkGUbu9Avwz0W0u9O
OpP25ruUnKiFKMEzkQ3rUFQOSUlUp7nMepbXVKw15rPN2Kr5C0vzdMv8wD5gHZEnQN/Tk84QBZ7b
qAVdEPxSFesC25+F4g0jhqNXscgBoAHAPEvs4d8c9DuMPSpj40eASdJLDb5U42WqslfmHNUrScP6
YC5VO2zP0VubEtxeslT380VmXS2Ka71or+2LDJsyGEk240J5HIxFqC0WzbZxkW/PFyn3rHNU3Yu+
O79IvZNF9e0u+m/jIgUXTk8oSYE+PDGJUw1nhO2YXWIE5BiIuy1yGeOgGNFs2e0SEpFDFo2Xf2kj
wc0wfmjxwBi6+FFfhOpi0axDz+MY8y9SdoaDyNqLi8R9di9y94v03VlU8IXr2cdgUcZLINFr6yKX
Ly/SecZtGHZqHU93ITl7PAaRSjn8SnHXLNp7IghQBclFka+mmrx4z+hG6imQBuFFvE+X3xxjx5h2
BRzuH9NF5t9eJP8w4ZH/WxcrQLi4AryLP+BiFWB76lNM4h+YL1aCOJgCCvHaUldh0rUbUnOa+1KI
nPHExZCgF28CpPDkIVn8CsgJkXRjLGQFlKB0kKVF55xfbA7VxfIQXOwP6eKEYHY0vc/0r882Lys3
KIbtH+bFPhFHsqw3PUAHkhVs3zT4/iyWi+pivyguVgzcBNgy/ItFY1zcGsHFuCEuJo74YujgYI7U
dkpHd5nV65jwH8rGRygiGbkcFeJ1pD+LRSS92EXE4hwZMNcSWJhYZJsUcwTYC5PcossI5cmalqBW
Kw8C9MnjhzCZF05WKT9I1cwPJuuVhzGSzMcB6m8wejp3XBSmKpZfjS+jkUbvnKbJETJcdqymsGOu
pW2ck24HxyYLBDuptuC9zrGwl/KHz2lE3nWmjOVkhR+fLOEnAWFZA7PYA+tBRtSiQvLYV8FnI5hM
bcbOYAvvJfG3ZE6Hb1GY9juXWKabGWH7XaJa40RAT3GXkgDekXRmLOAca3K+Gs1k08V7NiL6Ak7L
Vc6HhIasjL7yS0DKo8e/w72IusQJviJZwaiiKvdq7ukzfI1HM+n9/ApPI6kETuTB/V3k9x7OeLXG
G5hsK49nD0oPzOhWRmbUuqcIJGXFxqxnJ1W+8akYkk3nifAqTb3xMLkJOUYNc1KMKn54JVsrZ0Vl
mFDSQWa11SJ+M9/ZNwXPrq2LLeKZ4KGc8/tJKarUccRX5fhqJw1/IrGR1JYnV/bBuajykRgxJ/ko
RewgVJonunpt7gGj5UeigZKtbBO8z3OZHURiyE0u4wHmTj1s+KoTibE809WEbI60SePkRqPzJY9a
LKwJKQh7yUoOyV+e3Bg8964L07VugxY/eCzDfmOWTfsgec7f1cSzbFRT+uO61xkhIEPs3LnayZ6s
1og/LUBQLJSSrN9qXwTnuRjTgxmYyUErOeyVExkn5jboJgahSlpBdrGbaijS60gWQ7a17GH+FhlB
e0izInnAsZ8e0UPdBzP+pA1PS3SzSKzEF85tYhOajH5dkr19P5ssCUEnDvW6DkySH7p2UrdstkfG
K2X8I02z6IG+K3wSFXJhvh3MaaKhpcduG+cG023zPhSF+0r7AUPIhD2PAro4ADFBXRsoywA2Bt8C
9/Pg3Rej7V3lzYypx56Hq74xHFTAscfwOLXCU0TiMKzCaEBYlCQ7IuftI5zCCDmzRRKVZ6T5g/RI
i02SkMUyQRrNJ96VJL4RXj+/G4j92HgiGcaSRMbXOrXH8Qo+WYRxNERth5zmCixn/0W0Ubpjy4Oe
h1Ns3wdFuTzj/biip8M0CStWsby1q5vZdyGezEEtPm143ihMePyis2PQby6w61r77Uc4++XKmpXY
9UNtnGZ/1p9kBk270mr7xybiGMLdIrO9zdASjHiUvWMewmmlAhHdRmDdmLbnDa4vKTG5Nu4Sz+c4
nAaVp8/eYFnnvmBPGBimBpqTJvvJKXnSGfzMMbEiVm01Pt3Uj919N9ODt65fczW7+jkccAoWHCc4
gMmSyMayfRhkw/rUD72nNg36u7gnhWcuJs5rRi5nHw4YC30FUZPknnFeQnyAi3pXARaqb5fa9H8M
6LK80G88ZfQev77wgtz/w//ZLrOi6V5/NtPDZ6vz7m9SkeVf/lf/418+L7/l37BayCBdECr/ukI/
fzbv+R9dFr/8yG8uC/D8Pq4I9HzcXNbfdTIOgabA6HmESPGrleLXotwSf/VMHxaLwxnpwUqmR/i1
KPf/imhzyVq0BL9rQS3/RzoZ9+dEUy8IXEDNpjDR8Ni2+1NxHmigsRloli3NNg48srtWumSBtWZe
qq9UmgN2NLU4uzxRD2Zhd0cK5yxfE9dS0e0b3aszOCadMdOhN7ei61ubpiqPJEG75SrwM0JK8QKp
HeNs/9aMO9eHxOAOyRX5M+WHM0t9JrUwaE6aRrJZ6zLR/S5yQoR2DsO0DBYTpMVVm1Qpuzq8KpuY
jLbvyBhgwfg9KJyNb6fNgJvIxtKL6X6EJm5k3jNC7jTbomYfryQxcOe5rRuNnsF0X+t5EK+hJ/yn
NjaGW9QBrIH7GbKiqwhX6S0fUkCSxfBbKXuCkyDp8KZVgwJNbOAc53BSTn8S+CRNjnTWIyd3isWj
qbBN7TIoozkKmhlPFsk0qIEHaXpqgxVlDG9jD0X9VsYzrAQUQIyvW1Z2w63bw1y6Ei6WdwSWjDqI
J8uQ5TJ1g3nAyrox10laVJSsY3kltJGwGUim5qqcUlOi2mHhvnZh+MRgFNLpcZjZETP0F0m86zoS
1xlgdWxkBx47KEWGKvvImKtVFEI6LzcTgW0mokv0tPiu09sMDP6BT8Z5Mv20B6dKJRKWU3AnYPR2
qyRIm3Hbtmb5jJ+XZ8qcLlnpbgTzrGpAr6BgbEbsLZl3n9Wm+2GOPoczBAaJ1EqPXBo/8pnMD6mb
bzW5X6+1TvSrH0mHFTeSYB/3DQJ9TGhefU4LjbYmLsCwpj4pqwwQaRaPDiiaaSGPjugbeAU8liY5
bVrbWIwLpzzIqE7uCTzrylUPr/fDMuPF5ReLiWAHgmFuWO/HdHs2qbW0Jp+OitHfhrNEsxH2wcgl
COfg6PRLolEtExFu2MZb/DvL/Vp79DQkr5t2th7mgHx5t3AqZzewSJaHaTRwek6aqeJGu87cb8Cy
eF9qVGHNyrTd9tRC5s02FMOlxHiIYnRx3uofrjWPUE5mqcJ1AnshWCPDRY8i/FrvQJr7nHW2Cu+L
fmRwTvLSsMtI/cO0EQf4DMBEVmg6BcC0Onez7zqBNHn0C8NcE3Cvm42LnVIh7nJiHwyZ3RWPQZD4
m9bTDAsJDCqEIeDdNOlLNQc3OS7dLZaoAXYxxUZ1Nslc5XZ0D/mEWu5gtmb6osRg7gnWWOAXznwV
BW1+nuJe7OpRhPU6yQZvuJ4C1Vn3VpOUL83AHqdv6Utxhep1QKh5enKCQj1GMQnmeQv/Jw2tdmar
z52CO1Fem9pP0H77CsZlFKA9WZmhkVTfbPwGVwIvOYUbMCh9IrE+m16YhqBYraepJzKJYCc321En
0tGs0BuzkizSLPkWGnX8MGjlfsPwWLPx4YyNjwMD+Pk2ycjaXFt8ZfQukBXraaKwRtwLyCds/wiL
Rc+3dqSn+dowjPSlmzoPWoINQ36nR2eC+iljodHvdhOP+VXYxr6xiNXYsDHceC/H6oz5O6WDpfif
ANmafJPWldSMyqXk3a7+t/wtmwVafXXXir7bWxVWlf/Zc/v3x/b/S2nlaE0tplT/+nB//Wy7v6w+
VfSe/37s9uvP/XLCB+ZfTeyTlJeex5ePRvBvYzdfEtODoNWXgWUjll0KiV9PeOIQBHsmSn7Y42Kx
Uv52wguLSCDTEgzrvEvYy3+UWf6zDpbkIOiQLuw2hsEe8Lc/Dt+g5EfQkiCoNLHOdrWZgrOMWCHK
BMBAp6bj7y7PP1GgWVQmvxvyobwKGBeit/UYRRIp7Sz1xu+GfXjTwsUk6hG61kb7SGTpJ9rw+r63
oDgTXjxsAEu1mD74V6w6pp55NFHV+mVuQhiYvbCfsx57webf/F0/K+OWv0v4dASmFAJXqfjj3xW0
LfEDU+HvB5F/7RR/hzUwMvF4UAsM+wGdFdmodrMLk5zDZLqWjTZPf/5HLLXU3wegv1wblHmUWsJF
rSZ/+hsyv3bDEQXBvkpGojmzNjz5FrqFP3+Vf/KJk23kSya6rCLh0/zxnXpc5DSeU5+MUYnhcnj1
HVhBA1s/pEHt8G8u7D95T9LGPM4nLhGC/3x/waa12JmAIiAfw92NPnlxqa7Ev3mVP46OL1eOgpcq
GocK97D46a7igW7VCHS9PXBt3kY2DexR9UNfJB//8cXD8OxeSm/Mz5dy+Xe3rzRmruhy+4YJHL/C
SH/AwK3Rqqg7xG83/40Xo+gmx4uaXpo/vatRO0QQtA5eCTzQxBJb0Iwg/m3wz+VEg7qHP3+5S7zV
T/cfDh7fZkVAGUnr8cc7I2HSP7P68fY1ww2OwTK4GrzQfAAX41LWx9mmUrW7iztEeKDOl9jZIvwG
RlwBrBrrhzTzm72tin5jZy6WE5OpIRWnj3BNzvNdJ6oCxAJApvqo0wsfrPCxC1ZzzGp92T5W3Yy0
XaLsAQTu3jfMOu///D0u0Ww/f8cCrJ24Ekyexf9wPw4Q5AfiVr19pGJxTJkfHademmuvl8/GpHbE
I7XkDEY/PBv7I8Y78TREjv9vLvU/u18Dz2FPyAZO2s5PVxqckaNkmAd7YsSc4+gQIkPtxMIwdtd/
/ob/8ZWCxcIP89P2Jdf6p1eKq7gdmAT5ew+O7xqxKTC9siCoxBTbP38lCwTAP1xcrOsmNkzbcWzv
l//+u29HXVi2wbrW2ztBL7ZZbyTw4YHHCNMdEbhwIwjgTlEGKpdUAQhnHVKNdUhKPQCfchwOAaK8
PZptZIqtlu4jCyD5LmEzHQY37fK1XevpMWg756rr+vIMsjrZq4YE21VlMTrf5XBQmK5bNYZdj5Vv
MPmHKnbcHQv2aW/U0JGbpkbeLBsA0DX1nrWSEXKB/dCJGgejFV7rOJW3Slo4x1DCuduoHwV2Kj+5
DcmweYc6VlDvB8PWzAOczwi+8ZXV3pFsN+8tsWfndgBVQnqzwxo+NBm8sQ06+aYIQc9MG4Cc9jZH
+nYkE7wBpQ2HCjtf9eSIpnoTWlXvgON8wu5QbqxiyPhrVQ7t1lP9tIRH54fE7NJHw6zqWxogv16N
CEY3WTPi7B4Hu37D1hBeN30cvsQBcLq+qAF7DS0i+NC0v2RG+qpygZKd7s49p10DPrqxb7wCZQwD
SNsxEAj0lg3DrY/Eg2X5JfnVMQR/UN3t7dxP5ooy2N3TLmdAtbtq7ff0sGFeJ5t2hr916ssEEy1P
qekqwBy/tMq60BstQjIDNWjyfV4P/SclE9dksAmaQ31CqLi2buqO8IUV6jJ9hIXZvlooW5daPYVr
LasWiEljBi+UbVO3kkQAPPs59kutzX491BT0jSudq7p3i0XthlgiifwqXNeohf2l1yauOc0dWAIZ
ORUHEQXNTvl83gJcHcZ4o5XvoZsNm4jPlodQb5FywSThS1yJ6cx+1PnCEMGEr4kg6Ba1FPYSv894
HcwcdKQ8PFgRNc7U0NkjccN2KLv8xcZjuepNM/2oZcp78ELJHR/0KWYVh0IIrORQsYlqQuB2zTqH
kvtjjuwpXWHoITnN7OwwxZpc4amBBzRdiawAT484rdwk2Ir4CgFWizFk7wWOFyLfbFF8o9fvA7yi
IRBxp6mPTVB4KzvKkM2F5njtzgZT/NSJ8PWjV2nQlxdMTFR4k+kxOki7xLs4Kou/Nx4aG8amDy97
XQg3DtjSJjRVQwO9xapPcSCbc4QC9dFWbEizZNpBsY2fkB4QxEKU1K7lbzvg1I52Qd0FBx9CDp/v
WGwid+T+yOeMPzXONQw0OPkvPWOvsz3Vn+AS6m2iAao3cU0IQhi41qKEq4+GRavmGqlYZ6JnvmAh
v94bPvzPOs+4+mj9r33EFut4nOJjrIjFSR1gB3aLxc1sIqI3kL8dfLsJv2f2jGIoS9GB96mJqpaP
+DH0bPPA3jHfDlMf7w3EikRZxc0HiVTdvQja6RAMRrEHgOBvYQRbO5bvmIsFMRg9BeKIEvpMYi4b
Vk+jfNOps+qrU0Qw95mQwBodzDxgmWsjfx2m4XM09c65bqzoFp2dOLNaCwCLufYznT7ZM1FkQxoN
G1yhqgkPwpTlIS66ZDtK5k3SN8j8zdhvuxXFMerP+BxV/Rtqqvbkl6AXOfWm1aBBlDXhrK67XCJt
qxxEUiXCGSDebCLZNua4zTWIzLGg8LYlUy0bhzvg0flR1B7UAiSw30ZG/isTBv2aYz7Z13U23rVg
cI+pMMK3igH4itxCVje1M2OBYdSsJm++joL0TYOO2ZctsxAUdAByXehhxYNJgMOxiAsXXSIRHihR
gQP1/Z6QTYxytjt8MlvrMONXsOn5rhnWG14jiA45iBZsYhufAK31OGDIEc5kXeUdsryVC4lqBwg+
28i8HHalE6A7sToaCstlyN80/UPYVirZNY7X4jmbCb5Sxo8RhWUxePKJImne65qpoSz5KmMq2VuW
K7cDevVrR3X3VdJc2akCWGAZFbAw0exxE75bZdmQibMdbTLEkgj4c+0Ab2qJl2N9yZCdERnBoIN9
Uw86fEDUVWy9ECFo6jvXTonxAAX0vAJuQDzIoOuvIXCWtcdCcu1O8x0cCB+7lHKZ0o2D+6Y8gCSE
AkzwA8PMZiwWhQxHWRpTVk2qeqYuw+WgEvuQuzZWwIQ0AdJOwpuEBdzKqo3gMeb9foHE2BPGNOYN
VwOC5sjjvE5H9qK69DZI8UNzy66SpZVbckXwS87eXS4h7HBazc1rHzftN4ZDoUlmXNDoY5ROo79z
FbAVfBE/WB2TG5u46C88/V7MeXnk1+GZ8EcyL52GfSrBHRvEbw88+zcgpy2y1c16P5OZthZ2kH0B
x1OfRETSlaVZx1jTUG9ApMS7JCGRHLM/X+OhOTf4c2693HnpRQInLjCe7XzAHs0hf4ddxN+1c5hm
BOxYGHtCd+DOZUUGBcSpHwGzP6LBQs5fkfkWsGA5dG2Wnkaicw5FTdyoBrbKU17D2WB2bu7hoIh9
VII84JEC1KVpTQCTIifOpBB3eknxVmasSDt32m3tSPT7E+LbhqfF2AblDw4kXNtqgB/qmv1zZLGO
WSONGz6bfJbOqjRVsUmbFtPLHJjUjHLaGYZfHnwsoschaX+wuS9P4xBajyCT6h082TvSsgjHnqVc
l4GNKMSyjP4FBBe7/DmD9cxnc1v7E2RgWYckiwbNw4zlZtcW4fcmqPUNQoJolyeBOiFpTgioTnV2
GAGB74cUDQPAECZxhXlfA/Rdt3YsdjN2qd0cLhCdyInUKcUht/ZHYe4sGw/QKNJ5V45JdnamJACJ
SuzfsB6zblhjRC0/BHbCc6hE1u0UmvNt4Kb5PiRs8ejEJdDl2D1njn6bmrG8HsvxBrNa+10Wlb6q
K7tCwc/ql97wRttli2CobYlZwsNUmHV/LOS0z0rjBaMtYA7EDdG2VqE6lWGRbuNqjBjvusUze9bu
JsAjtyd9cDyMVXRSU9E8O1Xsr1Tso/yEIP29VsPMyU1RQCpZmcAcjYZNJXg2Z6Ub3XgYCO4tyCzr
1kRJTzYVMDXbZIjOIKO/G+PmtZqYkZeGvoqBuKyLadiW8BQ2c7cs3zEdNeXIfK9H1toHXb/OkQK3
c+VdCyxjvGaS3FPYIw+J0nCDGW1RzNu+WBWjgkNsJLvKU/DWzA/lslIerO6Y6wkxSdyKg1160dZn
HMrZNzoADeS8z6Fz6MAjiU968HmmCUtGZfinoBzTjUBWcbDzp340yNLDobqhhdqoOqr2lPLZlgw3
/BJxGu5jvBx7m9dfNYX86GoZvnkFdJLK5NuMz2A7E97cVfXz1LE5afsJzq9+8eEPs5XEd9Y3XwIC
uag2jQ+MwC/Czq5V4j5GPSdUUli3+eh9Rtlng/hmXyeJXgESfOpcPKPsPE+V9K4SaV0bYsbL4emW
3bNx1XAHkeAXZPtwsP2PcoTWGIlizSm1Vn7VY5qoi9fZ/s4oLt/5oka+OKSAYmvMvFpOBh9gmzyx
eCLgr1XPQOpe3BrFJjNaNPpfx1JexYCHHSG7M6sEdlR5k+5UET/HIsC4VTwNfvqFiCbIkU6+Rpdy
Y8PzZ5wLlN+t+mGr++lCYRqAHGo4n8RsruJaHNE61Iud7yHlW3Uk6ugbY4ejO0wbw0fNjqRu1dV9
v6nTODy4luhvVRDJ26ny2s8uzwOGZvIIeqU4EaDl7vpwQGQ3hN8y26Mxp91/6moQ9EuTz1fWkO4H
op1qV7TOOgoLCZTQzE/QqUwWTiwPKKVctNc2u5EYa/OmJZJr41vQagOlroUDgqhVI7UKHH3g34OD
zYwWocUSQldvUMPwhlOREqyJbHvlOwtOpeTzpm8t4fh4j74b3Tr2AAZJNF97sKUtU3M4ZlSfRSY0
llue+VVEQW8HD8gFru00fO0mRSZjiFd+5HOPjMpcIdJFJRXPgMMc9Wx2pDw0PRGCY1rhc0R0DYSY
3X/5zTOcV3BtkD4bzuypavnQmuylEra+m/K+eBkZhq4miTCdkC/r4Myi3FYh6QJV3abvSa+JCWLv
xCOlTE8e0T+rycPHW2MA30Re81VZut87rss7NdOBrUJ/Ky2SdvC2lNvZzvUPD6fCLZYPqjvXzneT
aUJnDcZuM2XmtaJn2aX0P6dBLaYNF9q5aO6ajgZDEpX8FiMU3qs4JMJqnh9rHSEUq8h77vHeUR7e
trWhtyPPDlRmoXtdBmIJvhnpmxOLLMsZoz/ApjHbmS7Nsa+aVztLZ1QpMKFIXDS3Ubik7w3u+CQM
tkKeqqglm8HcARsvP0be1MlrPIKVRj5SAYTkIGJD7zlvzZuqBh8eESR1wh3H9ifduot5wpzqfBu1
Or3ObN95aQk1e/FH+RmiT9sINNH7GCTVa44m7KCImHysqr75BhM9usNh4V5PiV0h9rCNfUVwwH4s
RkIpQfbfSI1YBG0cPv0Y0b5ZY3NeDVTz7Ict8mrIBEAAHxGwZloJt2HrEYqUsyAyVzqu9LEtclzs
JgE6NaVixMTrI4ygCMOLm9ZxQynU0SLvgxS/2TghgMlSCGFureQmVa7LYrObvugZKeHQuIio1LAz
WwKsQieFRZoudmFWkXeJKaHSOFl18ry4B96Fw4tB1Lov+MSx0gQH0UtrR3oRIVDpoPclWJlrZ2ya
Y2rmWwX6aAfOVdJLFc25TGGFpUlDXSnB+QSDpsBVeYxJEdhgP4fxsZr7Zq9H4e6LvJOIS7Jpq1lf
72cYYrjcBv8U+kHIzAVxnp1QzdOAPQ6tsJGD4fkEDvEdZ9TwZmXRV+XN+TU0+fA1x4hDO948wCAG
aITkjIAJQ7c7KyOqE+DRM16/V162PakmOMbon7ZtTDncQjVaE0wkn8XYAvE26wZNj2kwG1JNaxO/
ajILKgxohkVCiq+vuH3Kstph+g+jHU2f86qjxoJXVlavfcoxHWYlDk6FE6KOS3orcGdg9PpJPVfG
EODniKt33Mn2A+BE807Utb0FZUP0qjsnzV0mgm+gk1D/0YKiFsYNyqaWiCuEoxgskM6B8/OuCPJr
rlRJ0qMbjNmxHxUj0Tp0t7VR4qk1YuLNW1+RJWMlpykml2Elm5I4RavED6Pmr0MLMCOao+ktLhu0
AmnaMOFwv3nEL1McBLDcbQvKX2FXt7kdluusn5Irt6fTgoySHrn97gPHrQBbqag+jJEdX0W9Skme
LJOz6HvotUbGRPWcjzoHd6jt/n5KTed7n6IIPRlzNu1RZkEBsd3Ze7PUaGZbZ/BGuW10nPwoucm8
tV1NaXUVR930NBeB561zE9f41jfGzkGl0ORvgyv11gC4AOWim59MERHvhV7wuZkyB9ydfExdzTMz
aLKPArTcLvWtceOPY7Q1FcEoWVtJ2I3qnHX9jV9YzQn3jkS0zNnBdzWfkRoXAapr3+ZdeKiSAPnX
MSrGvHzhhZrnAh/WW7Y8O62S5EfVwedTlXcliXYDcD4Qopb6nVrSIuxTh1Nmi3IYFJ+Ddoq1ctg/
DygwHrOwr5+SzHauAZuh1TAcII2KLe5kIDxYt3mVH2Asj2yWvURv6jkkZ6CbLJ6Jhcn5a8DbJPMn
KPp15A3GNsH6R75mjIg773S4q72IWfpUZ6TBZRwGK09ryFNu3eYwuIfqnaQwgSRt8LInj+fPjS58
dE1KGpgSaSb3mkvtX3F+x9kuEc1DKFueXtkDqJxiH/TYZ+Rid6oCM7oepL5zIktumOT06xZ6N7Bv
44aBu4fQbVi3fciDlz3CzpADi+6sqvdeH20qjFlrNAjrwDDajTFmYED7AOOujFKAbXX74tVJCiMi
sw0ahMp9d2mlDkEPdBS2fLcdgg7J29zpB1rKkO9/ke6L2HC3Y13xV3Xx2zBx+gm4cVvDykgEnofv
cysgQIwEgiK6fNFTfKjhQ+6Z1FoIg0I0qQJXlB0QzqS0ka3zxHMOqlM58SBZDQMmeXA7Bb+w70+h
Y47GmrvFwiIaF1umOvoahar4NpaA8jdFWpAVbi/gKXgUPU5As8IXBOph73nYx3h4mf53N8WOoydR
vTL+qO6Jou4eIihBb37gpwQ4t/TFjO52Vt94t9Ryw9qtIx/sLDB5sxefXRw1h2C2xls5k3a8wp4e
kgiQUOEzL2edf8lShqefmIgwIejudKaMbDtENWrrrAy67kfmmNa4NS3QNRt3GFk7Yr2PeWbaVfDM
WarlKsYpjJp70rTBGeC2+dgFU1VSdJusVH2ofCTKFwQoZ+lz5va4gWO/viLvZdhArWHjQv7J1wl7
45iDy8/jkt+uB5SrA2aBorLMW8YiHr+6DRhftEz0pOcRCI0OmwTreiSC6LbKeEzHwlyx6RnXqlEb
xLr9bbjEHbUwHIDULGxKYotIytZz86y6MXhW44CfqI2m1FuRjgeGxprfCjW+zi3B7E6XiV3cJxuj
JYbGr7poDaoxOUUlMyEWOjBmE+OlHYxkEyTMLhm7Z8iO5wQrOfZzEoV3XUnXVUcyPfgwJXZt72Bg
buPGPlLBkh2O65accLPjVFwBFUUMK0lwVGsyGnBhtoOOVr4R63nFVsW4KVt7KnemgaJtxUQjfrQ9
WwJt1OVRpLhSuiSuHt1+KuC2E78BK5tgzHzNwMMNV7MW3V1rK8SwyPjcJ1Sh9aHJIprIhm6l3BDt
1JwMfNQdUtVp3GVEAq7+L3Vnths5kmXbX2ncdxY4mpEP98VnuVzzrBdCIYWM82gcv74Xo7ILEcrq
CDRwcYEGClXIisx0upM0O3bO3muTPY36Z5Dime817zQhQcugwisfnbnXznJiya5DUxGxQkyI8zEB
2e/WRmVgKUd+a6/pLFYPiKJZLNN+aSGnTuh8umIB2w2+D/GBGQLbG/2SJ29M5bPGO3NiIlVeEOAk
b9EcyjOB0uTB9JSqNsJbjHHKcAe0tlkbvPSTX1LIADbGUjdrk2fbBJg7E0FBlZ/zbuFqLOqNYbmL
Dsp1Hjpe4cfQTKrPVKKnX+mgza8ABtmMGEgcQFULhRkqomeeheM0HkwmI3dx7oWQGCOjZd8pxesE
de7Kq5LsWyZnctcTpa66sXSfO8PpOR13Kn9LvGA+VrnLXxcDgEnEeByYYAI3/TqoSu8uKGFCL6o6
662tlH0YGt3nQAMjcU1WJ90Iv27VtTG79HZBdNlRGD+abaA/y8IuHxkihU+5yssXCL/D1mj55RN+
zvRMUEkeMF7OT+GEIxK0Ka/mFIf6xYa5+UYX2H1FtEQgUTUjIXCgCLgtJfzs9HJb8IgcK8NF1pOX
RCTLafy0Z39YG/Rt1gU8n1Xb+i6a4Rp7p+Hl0K1GcpuaYQheEssmyUi2JalHfnwUtJkFcwxdkW7b
hG8zTRZegDKrX1D7hkeoGsR5cROafUoBiG8nb6Od6r17Nq/ie1905bUoIBwxbDAcNOON2lLmkXWZ
Gq8x7R6Ez8go6N2Y4F6tJVlbkWKNjgM2Bcs+oXBllV8zLtOc8hT9Li/OKEoKO6/upnZoghXqeTDX
k0cT0oVEcWHrITtzh8k/G8NIH2O3rD4SirR6XVoa0mFigZFB3BZn920wkF2v07y8YMHwq40L9esa
iVtT7jkmjzbGgxqFapl7CS7kOEups4W030n+GW5oWA/XphnWd14vy+9e3WUXsCfT49yF4hN2kH8R
6qo6KVcaxtq2eufT63T5fTFSuaSbl91LgfTkOWkaSJ6ZIxux8eMameY0uC5SvsIRBx5V0F4MSO9b
r4bGinYPgiJyVfPWaLT7qGSefxSqebRQs62Lloqkn6oZm2umrJGOe70Ao4bpLW+DCEsEvdOOegqt
rKT1Ph9aTVvPQxuX7xYCKr2sqqfAMEQ1m8ckqt0cqqeFgLMBb3U5jdrDX8LUlTVCFf7OUZEmjIr9
a5PSr9gNc82jkxc9yWo2jNq93aYMoiscIhd97Y6MrYrOvoT0QcNOaj0BiJDqrWuqMN2opn3GYVIl
m1wii+vzpryNuFHE7fqt+9AyIMR9AfPkg9LIhSka59N7ooqB5kpWSZy2kgjuNRPjidjiAfQPJFb2
zJVuAGUSGlKI164MUL5XlPwkUzv40PWyswVi2KvZoGtvFFYARXz61jTpvGJyjE+YozXvCTUS34Bh
gmWLdVmz5dLHHpnjyBeVzdlHo4aQliVm70hMSEUs6+RpWpjsBW4jMIwIF9QlHWx7FXuAB1YOf3Bv
6b7HnTuRPbetFAlnqw6mpt66UUzrrLWS97B1szOJ5dgmkEuDyoOxH29zYk3em0ninRpdLEg9o5vp
PE2NjMhqLZ7RArN9wEgOVjlQu/TQZKnzkeCCweyH6hQB6WTtJ4Iw9k7aCyB+RD2LjCEQj2RxRgA5
gzLJMO0aDSa6T4x67CZt2L7PSQXStrKN5imRUQ4igWqijKpPp7cCQHJucExQW10Ps2NAW3c5rU1N
21xMUwfZpY4540/pzhV4tQymfXvONmWEoaNFaez3cNGCLImvcW4T6l2ShYbf4T7K8f2sifobD0lu
Rf2OuX20K1r3zSvN6dYQifsOBUGvABeeJqK3PjrPSR4cGWUmIVplQPPXrZ/hHRQnQ5XWZVaVxq0y
7D8JMRb5w6+SF2AjqKDYuNHNu+4in/hJsRClpgSZU/vLmZ7hKSfmaynK6CrTVcy+Tal61VtG8gAZ
ga3094IJ99/JJZCgMAW1od5Y/hd9z2wbwodh7e8nOLJXAer4Q9+0TBFgwe6dYTTXIWcyBuNm0n8M
M1tKQx7mrurThbPQvqdV6619P6fZWZnxOisYMBWjAE5DGc+82bauC2iBtGUWRyINVG8+NMItjwNm
0QvdxpcIRhlVePQGHZRa2bob0pl1hQqYvT4zaGyn9h7zvgHRx/I3xEHHq67pkNYO3v3YcTjwhsm6
BuzynhSluzZkrw+1wYKPhFiSDxktUimU3X/46ey/ywjB15nA3BzHpjsov4jYch4lfj6Xah0NJecG
8xr/zFSuu2Q6KywkS8OENsMJmLtbcOUIkOqmXQAlp+JhqhEwkQGoArkm16DwV10utkng9Gdm2ZLs
Nxrno9lx3s1SCmAnSQ4wBuQfhDmLkPTro4evGtGnz3+jz1mUcz89ejF7SdUHDSE9TZVwxAHphW1i
HqNzsmxv0fSLTc/mvMaiHx3h2XXfmXh1ZAUuaj0abp5VAAlsB1IhSFz7g0Dp77K9AHGm8HkuJZCk
ryJB4IAGCcJ5sE/JTWAnd1RwMsOi+cPHLO6Wv/0IpJ+ayyvA0m59uY/QH0nRDIkWYPw5pWzf0jgM
Q9NtxjET32wO8KyRabUuLCitJO+J25gidASnUkNX0nZwlU1+imyGl6UCg3VFiIFJjnk4G1s3Nu8r
nbaPv39tra+/Deu1aXmeiXQSgiILx683Dn7STEOCZw/4K4sC3BlvLU2ag0mYErrBMeQxSK9KqMgv
2Uz3jPmPSS5fFh0ndxIbxAzTh0fi5enHdf1/M1f9bxVpW0sk9U+3cPF4/eXdunzLydk+vaVt9PYx
fP9e/SzS/uuf+8uG5f7DQnAtAlRrKCB/SLHRXmigmTYgY8sUyAU9pNIMJf4l0rYsbFgeolNHopZc
noZ/ibSxYaEdR9yNJogIEwCG/xMb1hduJ+rsAJyPlKYlBNW1FSzL4U9rBWfUkDNsAUh1YJaTt3vM
1NlJ5c0rqzg2X2kSikG+a0I/I/TVArI0HwGzmqey7Z+dIXnpqgba97xghvvuoGt9TSEGn0VYS4AJ
J+q6YurTeNmz9jGLMi57HigdA2Z0vAc2HRhRgXWlLh6Sq5/uxvU/d9v/+CnL59dt8MeXQ3OKx8yh
mcfQ6cuXo6Ud6Xli4D/mycbCHZGGn0VTXZviT2vu109ylxdXMJGy+I8LCOPXn5Fkb0v2oDU3jBzo
bBT0ZA2G9IyDKrX5/Zdy/rayuYvPlSIRmRX/Y3+pLHA4DznRWkhfRP8uw1pyuiuWWRV9N0baYV8S
Ei76dAP6qdrIvmvX2Aj6FQTSiDJ40Ie5q/ZuLF/4u+6LIr8wPHtGSds8K2M4L4V8syNGhZUA3lx+
a8Z8WlcOeIyxqAndUrhNQUlz1jTxYHftmYOYcc3hYdxyXB82UTi9iX5+qev41alJ6MxS0/vTFrfc
uV+qK3aQAOUyLkQPJYS9iHF/emxD0k/7yaE1Ufr+PgKMZOVjva4izeEUFlr5XOUCG28P6xae2JKr
4Pb5R4ZB+vc348cH/Xoh0kKD7rB0I333f6iCf7oQGv2jyhW8GnqySMXqGou6IZ991WJitrL3rEOU
kODxzrLzppvvS2+66cNE7mEJZKs8sG+crrlbAHQE9uxdJd/mRL3mk7WbM+/2Dxe7lH0/X+ziwmAR
chGa0HtkCfn1VysSujQpYTJb0+TgTcD2UZrDvdubd7UhLmBl3DOnOUsCcZgR/MW1+UgiUbPqXFDf
AFCaGTasxVkINNF6Zg4UCXE/VI37hxrsb1YOrjPwfBtJHa+Sx0r363VinZMijqWxYepwV6HQ3OEM
H1bYD69oRJPg0QIDT6hPXEHAR9rMr3093yGn2HZ46H7/oy2/yZff7Odr+VpKm4xEskxm4SYsEC0y
AU4DC/8XidG+vUdi94eP+7Emff08AtDovXCnJJrnX7+7dJZcE+jUG0fjUYRkDeFIN5suH3gq3Dsa
I/bOpy+46UsjWte5jK9FNJ3hhH2VEySvBKXoVg05nZGgeA7J0lNtsMuT9p5ucXoO+5linHQEOKzx
TYDNkYBOVJfOfPI1MqSEpuuqsoqasba9muBD0EPuzjFIYNQvPIagbn3KagQ8IUZzhgNte0BrPW1L
jwwfjzbTym6Us9XOfP37G/HrEksPjoeCEw3OCAuXBCX6rz8MuddZW2puBKgZJi5ql1SX+D+YSFz8
/oN+eDp+vQXQioAS4dnhg5zFA/3z4uLNUPgxLEZbJyEgtk+/o9mG8EZPd41Jo9sEbfSUjMOdW9Mf
76ZbZ7JfQqQcdN7D1wZBXeG1NCbmVWEup20gO7pBV5Ttf3+d7t8fzV+vcyknf1p7zDCQyq6YGTI5
Ok3WsINoSKBUkj+HbNArydFyA1wwBgYYMV8Yi4tmJGrVr+pnNdMjIlHWuCR7xiBnqHYO4AD6C87n
KMLsIT0A7Ar3qhYucmCEC93gluuq1peoMfuVW3U0FTQpWoZdoY8I+GAUZsyn54koq9q1SX/kFM4p
H720rTvIE+XTqJO3cNE2jdUwvRLE+Eg3koBrKofPnNkb6BJFE7Or1TkJc/MujbI/lNh/f4iodjyX
qodtGvrUl4NxqgPKDacINsoLLzVDew8NVOxwlKzs3e9vz48TxpfHaKk5aNzTlLM4iv16e8bErLvW
KZdU09k5dt38BEveOa8a8oegZrurrCa1q5guWvWpJC3iks7HCv18sxp02WxoywhuitdcW8H0h4v7
ekQkBgP3zw9bE7pm2hS/XluW9FbugY3fJDk6HOJwPON8rh/+8At8rVSWsA0sS+Qo8xlgA778Ao2d
qq4XmQKWw9RlXPAsuP82oUciRBwtzu/udlBV9ZbV3kMyTDceI3pgRfSrXcZv9bxYrpq42Mp2vAbD
E50yg8ZkE0r3DwXFv7tSgR0NvyQJuUAOfv09NFySDLlzuPFFyaoSQ9JKcpoMmPMVkJ6ViOSOBu+5
TzTq738kKvlf9xfpU8Vg+JIeu7L3dbEBqaznEin9BqjhYzhIlhg4GwFDnMK+JTdsHRPv/fuPtP7d
ZyLaQmUcsMNizP/12wb5ROsq9Ug9qMM9GkJyMuJqPFZMkzbIWk9l3r1Haf9QR+5bEos3e7ajdWh8
002s1pFRlpf+WHwmsKisUoIGuP/99bl/q1N8m2IauQGLMJ2CH9f/08I2GrUFllMbG3iFG3Aw+9AL
d2HC60L0m2C6PBNWwkM0jDYA0ujYzeK1Rfaw0yJ8aeq5WkH9vEUL/ZlE0S4fkRT1uJyNNL4mTmRP
7ixbVQk/tCrfBfvtVnZq10O9OSv54xnt+pGMphrRY7uZxq7epV77fcrN+25yX6yWdET8XH1D71IR
XdIvYuzf/wLyq5lM+rbg2CIpcnl38M79eoeKONacNiK5IcHv3s69G8AwB4w6BurJMQMnTZhb60UX
NGRRXDMZzEoPudWUtVut2lvdDLfY6NkMaGxignfXo92wwUtaOqRjSRDRmzyAlGU5zUm1Wq+CicW7
HhTdcnwQBBiQROUOGyA2b7DDixXJxne9Q8CmHV9YykEaDS6bhM8+QRM1mKANMKV/0P+vMOPUl00X
b3ouFB/fVZaNpzFJTmmWemSTeW+91hvDcRRiomGvNdoxI93XnEG2Y5BKOrcMUt0Cgtro1NvSMC2a
ghYyxnzcTFY67iL8T84o6Bqb1tH2qvehUVdl9ixn0kv19z/ciq/vp08fkEO65GhnOoRZ/3onOoGY
VyIK3Dg2Zp+DJw99eajhfpd/lX7/r9ss/5uSgumfULT89y73i7ePaHr7j38X+fTPf/SfPRTf/gct
Eo69GABNgCU+r8NfPRT3H1iAl3LZ57xgLWfh//K5i3/8gN6wjFArssVxIS2B5NH//T/43NmRbCy9
7II/Wi//kxYKvZevhRj+DEHTEs0ZJ3PT8Zaq46f1KrZQVTJCa3dLyAyC5EZFe0JioivoDHRLPG09
+cg5gPNC2jvFzjRYR7+o9Jk/xJC3XTu+amo8X5xwJveDLTK4nwsdQNctlS1OhKN00SNuj3DCHlX6
jxwg7ZVd2fZmNBxz1ZrYGgjfe5AIdtYkbPdXVWE+znBSWC+K4T72qvxezUXBMEQ6Vw1uw4MN/eMo
5jk6a1TeXeeYMzDjSY/0kDbTebWuI2Nea3tChkqiBAgPXczntJAGc910/nQTdGE/rdgesvJoN/Ut
84F8vu2DFlC+iOb8roJr1W/QD/Z3WBEJd5zdwQJiAY8W6bprR/2ZrbK+Xjn0qz+wHXRoo9DOMypC
bqJP3VgEwbEPbSm3zEHt5oZGbvWBm4NhkEIm1zOKU8FHOc/jt9nCOnOw8RcQDCPBoqhkMMQuDoIm
2xhoFPIrfOvFcJwNr//UJKayz0N1ec3szrovhb1M4UL/BpMP4SRJgqYQGSjD86gysef74hsoPbc/
cwQz4VUdNrVaZZFAYhCNFd2zvsG0nCg3XsNJYfwdTOa925bxS5e56qOrjYZpVysvOa9Nctti0iKE
Cv/vGpvBcE7xpPcFmwlWQlJP9/wqrrXWHtrHrK0xsNVxxdrTpxDqLK1OTmbk6evMw3FLgrOBhMws
zKMB6RjpfwbaeVYMO6twIgbMdFS8rjriCIk9IZ3VQWvruSnGEpZfeTQYDZ7cIn3vcp4WWjwpgSl5
CdAsVskdOiW1IisrXZkZ37vzQ7FOjNmKQOGN5ZtZjojq4s75VFnuP7lNzkNumSClX6NKCriYWb8G
4/LNYUNfBao3DsnoqQ16knhvJrOONjoP4nOh89sFRzau8NyePG/ybpYGxkvTZPGFwoeC5nWaoz1G
WP+9wSiIpsk0smdAPx1UUtsjcUXEalQUjjZBgJ1ZRMi6iCPz12aUJdWxLRD1Sn+uSVyFunciAThG
WlvcAtU3t3FpuXRfEoxgUG/uM9ftXxpXQmWuep53eqJetO77NvV3UFF954Cxan5DL9FFT51ZRjGm
mgh8cxEJBi4jgKDhzIT4SoRNNyOJLHMzLs7QNyDPgNoaPaNcH6kvLKVLXGiyH0/1RP2BDm5xq5u+
7UQ78LQ4h6FEWVct/HC5qkQjXpxZEomx8pU0wn2Yd+7TQrkwLj0XMdKOrOOo26F2RqrnLlOENd1b
x9sN0ziZm2TkRq8QZnsp77qtivHSRUbYXZCNQjSIhWSG9O6Av+s28ocUcqSkX/ikebr8lSkz9t5Q
YQ9ax0NkMjqZAjQ3FVPVAxGZ+t5MMu+MkY+q71LkB/42NnSQfB+QIZx6LDW82DQVSWudreyx4ULt
tVsm6fds0EEDBixsqlWV1iAklScJOrXMucCu7RvMD4k0BoOIs+uzCZJ6DV17UFsQuGl7xpOJC6mK
bUqHoHFvmj4uLovC8z6EMRb2gW5tEB8712u+MbZrMFIi8lvCNUfyuvkjFonRfiigED8gcphRaabo
GGGFYlU1q5qK14c3Lr2YEPCZ3HgmfB5q+xWg9UivWCBly3Swq8s1XzHfWHEFIhBBMFGY2ZjSlU2K
ZnjpGQde9KlXPJWM/qFPMd+87AY7RcHsBOOqobDbsg4pA4JuMGC60MMFUsngGtIpVDQ/iYJdYojx
xhuJs3IjjgdQTSPYmtrDopgWqjwLa9yjK0iV1hlWgPhc62Hh/Db1Pbk9zlOuxbCzGkIt5yIQZ5ik
FHottsh8OxomgSSKM7hjYGbYqtgghB1OVrc3py44VaU21tD30csRlIFm1i2qK0OX3ZsJG/E15jz7
2EYWgiXI6juz6cNbdsvY39eWbO9LKxm/1Tp2P+zAGu6HJh92vVfcBSxLJJHUMmi3UV/eJZ07JviR
ouqI9ZOV17dIRiXcxtnkbY+YFSZ7vPZc3TtrBl3wxfxssVe3mXhRUP7rTdcW7XkqJv8zQFazKmIO
kzRK8Ntqnb9KmZNtXnqmPRxMu8Mu32f+JgPyfkDXWpKAlAyXXlvjCoHhbCW7yeILa1NZ36syNk74
85xobRfKqk5T7szVpm3m8qHOBiTR4ZizdxV95Z5VbtczXkTnjJDcR348mTp+9QzDvem7yblI6jS4
Khr0P4uz8J2tuTkRAde+JD1Ke5I9RjxHY6rOc4u4mVUNm/TWc8bmNo/JSVxpKAFXXIt+xQluPqYI
vYHnETV3ay9ymRgyMumxAtWITL5jXMseAKsn2yHMY33J3StezNmc6ThrRHuN9rABuKRZII/q4a1e
Y+73L6lcIKoERf48WaD46sCIozMm8QD3rK7ZpkHZ877J0dlYZixuTMSdeKW6YLqxOmOu7shvMo62
WzavtlXwgCm3Y8QflnXub0Dw9wMJBq3+JurefUUu2d+MBLg4Z/Cb0+dyUGjwJldjmjATt/gGpkC/
h06GzhLaAMy7lhTnhF81CRIObr28C9ypRR7vZfJYESUWEWBLf5SsjsX+wL+Nxcw0pOzxv8Vk0RDE
i4ox1N6Nm5B04A0tKzM313ocjbbQW62RLKEGhvRXUZjVq4oI9/00D/oTfypnybTnr00n6j69Qfdn
RBlVp0E08uhBBrtJyxLxcSsn4tC9rE8eMpJW9lGdt+dxFJp7U4SE1TQouldQyUhopsccrQPBzJ20
rLJv1xLGBWDAiD9csjkCcBd5m+yqyZnf6qBI3G09OtNbPBnhu25Hif+h7UkXUr6LPtPGmZ5eWwbm
eW480Dqbfxz5ak4A4CqXbXFV02W+pTCNNmOsbNK2Yx9JJoiFmYeV+JG9HSTlawBdgfcN7z2ekRnd
Spj2CDi8unopSi3UGgpg8ZbiYjp30ZS/OV3Xbnus5A0FnhGeq7K2PNrJXnomuaQthNJ5WicErD1p
X9XvMINxLOEb9C7jyON0G4CAvI3KaTw1+Kfvy4B4tFXTlN5l6eOvYE4YA1EhntTZ2q4qr1n1pw3G
AngZFDtIV2nSqAdCr5d1B3yB29oBkRZ5gLmxwa6Wbibg4TnHx6l+9eOErcY3gvkK3aznbiqyRN60
Lr2tjJK2BHeaplcO2nh3JYfcStfRxCAQtZccL3RjgUtryfh5ULMO7iFtp/6ak8B8GU+RiatkLPoN
PS/32SSBM7pLxy64xhTnZFsWGP9DU1tiXUUDFe5admYUNZN3jDK80AhqtI+d0jFAHsgIz4DiNzuY
MaGdntZkUHpWI29QTxpYQIrBvmPYWm0qobrHaNbxHR1p/5pQWOq2yKvbm8zWXr8zAwJXKEkM1LUM
7MS0gsMh7noRxFdJj8x2BdpguvKcGmuFGp3bumKhPuCRI04WorHYer1nfLDiJTv2Z7EjDjz5jqi0
2lAKeQ9AC0trR+aiuDUxFxAWk8h4HUQItuio0yShIxwcI1HKlxTM7nVuNsa3kkyxO3OKGlwmrc7P
gZHIT2S9cXUi/a9E7dx6+QeQZf04D+N0QGDXn8vKS+ONKyOTFofsk2InomaaNjEKHcT+dS4O0FSM
B6Gw2m0z8kv3psZEmZMegt09NvGRe5WzRcHTIIS1s+wIo2KI1m7WT0+zj/GgjBJ65RLPndwAg0FE
bZXViZYxpn/wFs12KFR8TuC5eWbl3fNoamwVqowJNZ9oWmHKfA1LczlMieo4RnD74qZi5XGVexOD
NNx6JDSpVTwNCGxZvFaOET0iE/NXbmNjB9Ml3MU2+CyxJrTCac5GvOnbGg3+zmUqt/eJ6IMVNYXf
Q6Nqr1y7ZP2biKhaNSOnQzIp92VOROBAiQDTEdHPpQrK8nosvOisTiq8VJNRHKyWgJ9aye59gLdy
I42J+UXYUxrhiC3vXfa+nfCH9oANTr1SzrS4vqPbuGBpbjsudJplyA4Ov1H2ZUi4ItmRVYD3flTY
ZDtbsVMTf7oZ4uGd04OmZUgeC3rKPEXGP+iPtIaruE2GjFD6JPJfk9pGVQgOSh8HHpC1YUzY7mvS
XdwSs3xAeOXb7Ncfc2VQW5G0t2ynnMaqCB+jmJrmOGHTBV+s6OlFEafamNnRBT6XYhtJsMh1YRAK
o2BExrBDbhAcTz7eg7E5F3WqTyYs/7PJqGocqF5jYrjwmKfj2Tk5ZXjPY38jXHXejx26+QFcuwRn
5xNHjpAZkU5rDcGK24ksPFUM1uo5iS4iQ6OoSqYueyydMXoylQhI7spFxwZbPwhTj29xhTlOzLZN
WLvQycWEvPggkHeflSGj3L05toSbIAaaX5iSXaHQa65SrGT7sNWHjj4eFWAHOd/MnA5vXQPcJ/W8
ZwDT/bdqbi/yKKvP2yzBaG2ZyJ4JSVDf7CA0gXCPIzT2sdyhZ/MvKPTmcwhd7UIo7e7yiM92MAVD
rrG7XZ2prOYRJUQmn3P7ErXAcK8ltTkYV+2sOjr0L3Xoe0dt2f22yHFQw3dvv/lFjOk/kOO5F4TD
Xag89Km+NncDUijEg8LdOYYlnnDkBemKRETVb/qmn80t1cg1PURZb/O+hiVXdlaOL672gFCkXUHy
oy0xkgxWHa0FpzZOw4ZTvWp8OUiWUZZ+Mr7Vkpw/IHFryy4KTiaajrZmN/lobIOIzTTLEZTOcfE6
qob2ROfYWbiCE16p6zypMBnEfUn5nebXZeLYr4uK7cpOMuujTYzSWqVuloOG5T6cdZxudgJlORO4
eYwf03occFT75C5jN22LAnNd7SPxFbpCCFjPz31UeUTUARMYu9bmvDA6xbVFh1XAEcr6N+UZFp77
Gcin248CwocLEWetC23cWe2EZn7o3TX7S3UXZVK/2aRirozWyg+2F782SRmdO22rC/z/hAyYA30W
znUZhqaw9O5rOWlwuyRWXKhxsmitFk3SbO3WnrE0AV42dg5BBHggh7zwH5M6ts09Mu7AQQScLSWj
Og1DtYuHJuGH0AEeF0Tpc4tbIzA/K3PsLn2iuJ7MMZdAhScnhGagZfIcF3FzpINTwCVNaiempTVm
R0MmDsb2UM93UFt7ccKEq9vzMhrTcTND5NrGgzGsJ7oSe+3IF+Iw8PMxp7RQVtNSZ0WKTRJjLW++
4NDZvAYFOxa4Eyi3qSI+jKOZcU82gH8yxNyuKSGRN3Rl/8orFzeXLPkCXE6XJ1dW6LjvWdL5T3Rm
CJBhP6KSrrBF4ya89IKKPPdGERkbw/E9jeDBdlYQZR8JrpnwUAO3AO6O65tsq9kZ6e0EeeNR8dEw
IEvCJixWVAOhtU1MqisTh3Y5FnaKfkRWtwSCjNj6N6zrQH4qohi8tdOWRKiQQQPKOEZDTzmcRNPi
OcuJWmk5iSUEmE4+5gnZm5sm9bRcu03VPTthvZTKTEnYc9osu09pB3rrkI7lVcHxhf83JypsDeVQ
iRX7dCqOtZe7b8poXdTBkRrX6YCQ0jLYoibmhRVexHw8DkElYNha1ZPILf95FgWoatVExnXpZ860
bkmLateD007IFjBw7eKsa86oxLNdP1fwvMOpazne4dpBwJPoCv9Z5KtXt56qfSE6cZmFBTFgdgEI
f6dlJyGI+t67oP9hMKlG0yDcLMWARc3znLSkCewt0QFuroVznTNkOWQ5EGaeYCe7LQwC0cnoqcHo
NJw9iBFTuNqsRhQnKyGEACR2zkuSE/pZbfu8JF45tHOiA5jJhnmFOAb/37bLrWSf9hKyfpiF40sv
OGDxTfwWt6EEJi66MeBbSzETlpdqJlIymGigQfQK37ossu596Uf91tW+oE5IlXMu2r7LV8rrkzcb
Tjd9i3g0rN2kLNMgD8bVzTGQDJGTouPQxeMp0D6oUXqoyc1RPTMyavd5YYsjDREZ7wrfKfZ0a7OP
os7ti4JclgQtVucAjm5xmFzF+NUf64CIy3owe/weE7AvMpf9UqxTHBCIltwOXgzK7eKoJ9hO2Cf8
GiJ4r4J78qI4zY82y88krORbOA3gwzvbru0T6wRCbWVaFQ9o6uXWmT/WTYGDMOid8yHvu5mx3ijf
G6jQD5mwIw5jiMjzVWrT0lvFWk5rFQl6j5wFsDGmXYOwpCSvT72NhP6dM86iVwoK3L9EO4XZTrJ+
smAnMGdXOev/vEnJujA3XkF8BAJ2i4aNiLraRFPUV5eMvUc4aVM6vggQWZtZ1t0Lb1JjnxoE0XtV
qbY7VYA0vAUfwfjHcFr1AZMqiXYwJhgOY6E16jXbEuvKWIxZ/pA4PWKJoJxJjeh0LdYD2yT+HhEM
gBrgrxh2S2BZX5nTaSrIy1tOkYbCyDjWagu0KEu2NhynGxvaUrX3qYwajkxBu6lRMnZbWCXhxTBi
7l03GpQCTF3sOAOAZhZUM0AKxarqgJDLxx0ZLWZ3mgYPJc8SzDqvs6mijwZ4gWZSKwXrwBwF/mU7
E7SLnS3NOYIJhnlhkmB08nGCgtPyFf4gc1A0i6aSC1bG2IYXbQdjcpfl1mefGv5twwiXzmMixMo1
Sj1uTFI4U15jLM5ES1RNsW1ZNqFx6Nq4URw1/Ec7Jj9FETTOASbRNZuL1eMAbkM3/oTeMb2SlkM+
TBLb8S1dXJcolsKrwR/I+DbN/OnABBX3R0To02MVd9U5QF/1mOQRlTROxuQ6q7NnjGbhtoylTM8S
NpFtiHFypWpNgko3gtNioGN8lHE13SekRRkbwrGY9UuW3ek8YysEewgEEC8DVgqsAEsvG5rcO8Vc
881M/PxhNscGSE8FRZHDWnQkjijw17pcvhH5Nc7KEcJmUc3c75ZRI9AJJweGm6rPaem4kCawVbfm
ZHcbIy8dgkjkMB9Q46pbXQ/VLQGpvAEJwTcYv5R919QtazZWIn2fEsE3nkd1V+1m+itqNw+yj9a5
0dKJssAZzrsQj3588Hl8E16j3lmcCdEAnc7K0mk3z1Y/n6pFfXxo4Tswnom0DwyHvMoznJt3OL4w
A43/yd6Z9chtnGv4F9EoFvfb3pfp2TfphpjRSGRxZ3Hnrz8PZSe2ZMdGgHNzgJMAMRJE6unpZtW3
vO/zmtMb/sWtZdjlphIoLf16zoYvLGSw0ZFm8kpNNjrcbUnsPqS0JrCFUh8EinajR4035ZFaNJrX
AtOZsRasoqBapnX94nqi/IZDnVrU0swB1n4j8q/49vx0Ta5Chrx1ZNgPm79ez3JEcJdz0FNRajff
f186/m9vXi/qiy6b8lv7PR7kS8mmR+Fq+x4B8vt/+z+0n8WYtCh//vN+9uZDIXD/o7b9tz/y217W
+wUBOlJF3xX/UrD/upf1zV9swb+BlNk068C5f1/Myl8cdC5sXz2BHw3Z9L8Xs6b3CztcE0V8YC4O
HOe/0rYjlPhpdw//nGQ7ixgEn9IPxctPe9nerX27bOcdMZwQPDFv4tphKSousafjrfZQRnaVGW6D
HLzzVmZ5eGW6RbZDDFSf0yQxt+EIiXjTWwpsCzCsbiUlNcjKR6mj9/gzEPaZCiJMwLm3jRgbmoRd
DPrEdVu/zsrJkEOU2VFZWXzI00QfurwnjLjpljFFVNwo27PbVR21fbBxLJvSARwReMxysqn6pK11
cZR+Zp8VKmbSDyqMrxwsxmVIdFqzquAriox4NL6GTafz5RwN3lWg2XuJgWbOSdSpJDqT2Ww6l1e+
Y7kvDfsluH4iZmKQVjyGcHp034Dj6qINw5TkGSLup2EW6qK0egQDMK+dKO+PHPH6zXXn+GxL4gtC
3boP7mxnF6ESuR+BnJIYjt1eTQWmzckw6FfEsWV/A9OnmLcBv7qtGSUxV5IGYlDEw70u6OzTwL/4
5ZidZdQqBKvkrkaVswJKpO7pJZNjYVbZ1vH66TPcAvcqJlYFZp0wQDZA/SPzMMEIcEpLQkNBo1lM
mpuuikfIrwR/G0sgKy2dsfi2M9NkmjvC4WIP5PlPZjSLW3dqxvugB2x1pE+VcGMoJG5SpoQMMnPZ
vJVePNTHgZXC2Y2IqloJjBM3zK7o/aDgYgvPNZGF5wG1MN0kIfTc+57dAUyoouC2gXdrrd3Ws/1d
AaH51IwEXxHXm1MqhD5424hBq9ohxkSBNSy+56CR14rwj89G38ld2AzFvqDVXN5Sz7qffPqnqm2c
rdP6I/iYvL9psTPzUeLgnVb26BPVJgd27yBiYoa+ypIvnTO4z2VlaoDYgzbvFp71jSuRxm8cHZYH
1AHZIQ9sgIYD5LCXFvrKO9kjyR0QBYs7II5qruRpouPjLfW7LjNLBlnZMm1wXXUfk+RxIIxCHFxK
0x0VHe5fZsYoZipvwQBkLVKsB6kVRpKh33nMvOBzj+synfrrruV3bLKz+ERV1d06JeZ6xwaS6evi
ph3Na2uazA34vJlgl2wZ+8Cjc8k9XGtWRJcgY3eyz8io46meRkZfGiAl5mkDAkOFCxH4FNkxM0yD
ke0oWTRfvST8RFugr2g/i8tQB+Mxqtj+rxIKwkMHc42Mm5Eo4LnxIfESXXyTNISyseUJi3OnYNfs
5GAq7NRCeXf4wptnEEVxy3Qn8y5NYOrXUdpAFk2NYWzlUVufnSrsxuPgU+Uzyo5ctRVAkabPtuBD
ekAaMGwapyg/MrJxGbGbtetWVz7f/YA+kuvQfDEibAfHOFlq/yTqfVRSlg2Tz3LDMPiOEUo2zsTl
33olRsOh8/z8pAz++rUw++mJxBpzgwM9fzHlaOenuFT1njCQxdROiAg9WscxveKIhuHjOV32otQ4
7LuAenbNYf/c1cFwZVptc20MonjKtAPuCjUCEwo/G8WH5+FwaAgivJAwSPxJbIS7vk1ClwC82bop
zXF6L5rQ/JRpRGKebp3DyFPECVtFzALa6nFQklFEJmZnGteZXZcfUd+Wd7Pthl8TA0JuSi/0oYeR
GZMU/MVmSH7ZljQ4e9xDL3KaRwUnwl/bXuNHiGIIzLufmtrrEZPiAd+h6ZptOKJwXRbs7bBVoK3c
QyhHVLF5h4D+UuReJY85HVO+daQaQF2m0fzIknJRi8Q24y4bm06MTHHxdUuniHqqmCC9jCyfuF4i
a1fhUS7QxiH3lVVY7ifaA2qhJe46i24yuDxX2ifyx7DHETG1zTABTBrP69BUJzLmGaN0iyd9Gsf8
EqV6eGIPHTGHXszrsy2rz913S7tOeSRWzTBWzsbrauscIaiZd/hv8MHn3z3x6Xd/PLD26Yuwazwp
fToF73FtsBupEoXJC7LybKHBEUWwp6FFgSfyCaAWlnMb62NcZveN5zUSzzmG73PoWrHauF0XMefk
gFc3Xik0/V084CJBRnkcKmkPFyikwwHVFE9BY+TnkpBDevDAx3aQMHpM2DrRY8TtvTd2AJ0zLd7q
dr63YT0sMVJh9yDGlA6AUQTagDbRHgGpBGI3Kzmn7puOJpFt0mp0X3TndMEajFUSHei6+3jb1e7s
wmlZRp6CunwtpmH6SjSWeHLYsD+09P/ppuyn9sG1RHCueYZXoyHte7Op7RejCfIzB7Z9ahaWj5Po
iDjz6TIHGeS/zo3plJyU3e18ki0P7HfC1EeelXbChQOMjB8RVCitVd7QxfNRRivWE3raEVNtFHs7
s61vKNqmbgcVM5/urEjET05s9cvfLvxzauZutFfsgp6SEf7lDktAy3Ycoo/esrVqbwyvY1Rp9DJ4
qbIgP5gsB0sGkgJJP4PDHqKJEUKxcWPqtRXBBwSxN2nDB00uSZLfNDCl263fNxlzW1zpOiE2CFVA
x6BRgzmjhgjY8CD/6D7VOUbYTs7GpozCmYTByGkeGhK533ysj3LtdI1H1FbE0F8I7Kp0PrKu1zKz
8xvedX0KY+BtB7cS6BLSuGu+NlksmP5EQ0ROEVo+71BOLWoT3WHZXxNXBBszFjEHtjubBtO6Nh8u
3iiqec1alLV35JjVh4mgOF2jjy1PTVzD8LOH+ouPcPtQYan90tn9jIJiDH0DRZvhNGtupnlblTVk
6iQR0SeIMPrKwQ3/gsWcQYeY4If0ZvnkD7UjEWGpyNyCVXLOuW6SbZL3ScdaqPgQtgy5ykL9OsOR
O2oSQniwOre7HtOKsKeYyRxbb0aXOfBrBjAuK7ZdkXb1baIQrq2MsEV/nVnwv1fsMbpPqkvBvUZo
Gk2i6+TwOsU5S1Ci8pJoaxCTejZsP3rqSKj9SkAhKfNhP2TltuzK2VyrueCrhyetBvmqK5IHJDPl
Vd3QzHmmBUIklCBI+64Ln3tmMqvaivVeu4vyieE6ycZEac1TvKcgPaQidZsVOuJih78YGr+ADL9K
R4xjls/eioGwvUXVxhGo8rR5GVQA8y1qxzX3PudJyrfyFPlWeGijrLoq+2h4ZDcwrDNmaRuyxMdP
Qe1mwNC0qN8j1GMobOLY+jLmCyGv38Lemz/hNv3aq1AzSBERqWiyN1f+xGSNPYvvfF8ZswkLEbUz
RIrn/TTFciKeW4tX0+Y2eonrEubZPFrOrdW7/nEmZQ69kc6YBUZtRVLDwJ6ZZCCAO+9V5OAkROdD
6pZdMpFz/dhghVwG1QG2u7VuuQOOI6E292WghuewRcgFckYO+yahygTVd8ZsHhurumU2ezCa3Efd
UxToOgoZDI9sv9hbObVbkuKZ5u/4C/WrRKPtbHLGKV+1DRWKWsPl7x59fccJJOS6E1aF6gBy1q2o
hgDsrIlSiIjx4DZFX/SAaYpY0NBlMM2atag/u8oDrdxUgKM3FGjTJ59x8pcu8ng6vJYly5kHj8JQ
gQB7C9yueSTD3LrC6ydv89FsnnzLZ2RlVR06JityJ+5ZFtTrXhnBnm3jeODbM6Cuj0X3YbdToA7l
rIIzmn7QJaIEVYxpePCZgE8Wm/CkaQ2kZzI+ZOQqROwnvOgVh7NLYOlQ1Kusy5ZNRmm1IBYLw3wL
/KY7me4AfE7mZbaa/KUE61sG0Vk+S8IMBPypFTUhaU7B1FwxvmTtWKM2M7DOhyLYx4Wdf+WQSN6S
YfAumS8SC0F/XWz5nbGbJamBFF1EEMSgqSIMN2ZYPjew2s48rPZasWiAq2SZJ9NCmugzE2ad3sFn
AsG8YZwhzQ0CMviwprvogqJ5ip4SAh4+oqDi0daESL6PpM5c6YosrpWn/DHHJKbNd3ILSUoXMQoK
AzRZNdE3Dkiq8EqNZw1KmsVhmmwJm8turGQubkvPJZCgNyJ3TcQdB0tVEsyLW2vtcEi+BZnwVqXf
OZ9hL83vY1ZjAKz8KVqy75L3SpZgYscsemByDdQgzMUD4i/6P4875LqvqnDYo9Np2Eh4sk3XPFhC
7lrhwFdXWp8lj8V2zIcWHSAcBZ+ioCgeEKNkJInwvu9wmSNztCuLsEG02OcpKrJ83Y1kVDSxFR9G
GNM4SN1sjkEPNfGHa1UUi4gpt7Xj5XtEcHO0c4i7J+4h6G5dE7poxgfwiHgie+C8qK8ii7dBZYQZ
r08B5bYDF+7E4O9RDsRg8oGGtF+fvITTdgzs6KEu56c/jD9uf3Vv/WdHucccg/uV2pc9kk2A6Xfn
yh+U3pXjAMjIm3lPaqLF3e/hqx5L1ziThA0lKAvC4uPvX/FP2vJg8bHjAoELB0NgGaT8UVvOHLaG
2dnO+1SbyV01zO21HS/B8oXpnRRO0T2ozfgfPOY/G4SWtwkAxYM+yOdtWj/Zw6Qyyzn0UoDscZRd
Ude0t4iT8SSJJH4ENNbtaALdYzMM9a92i/8fxf1D2q8lfIeP/j+P4h5Uygrkj6O43/7Ib6M4/5eA
mDLGc674jlfBCfHbKM7HIiHQBJh48PzFg/cvh4QPmYL/IbDwuToOd8W/B3GEBGJ4kQz18DPgXiRZ
8F9Bx789JGQkg/WIvpZ/8dD8xGLBy20zgyMGkG+TjanW+cnNFFox8bSFZKVFJ3ia9YA8v4Q7HEpA
xePAUhjP1sYm+Hc7VNH4pIYUPL5Z0FYIJOJm0FirXPb+lyRuzA0oNe8eYcF4LI2qveTeGP+D/erH
r/+ff96fvv6OMbmt8ifzQJrucIDIRYNEPgRmzXAjKoFJsw5QlECq+3UQ/R9/U/iJfhhZ/vmlf/L0
Vq6dV7qypgN4TKJtccxe09n5u7keS6KtjHJD62GABmPWB2ftZlz2ZW4d5BtUztE6qRx9mOYC4K0x
5CsG9B5HfHxDall3lBW/PdcaFwBwBJEOGTFQWXoFXYhDM6v7qk+2KO6fgE+zi2NZU+Hwzvz+NVXG
NG+meqhvyzgv93Gbd9jBRMTkyWP2n40KNrvMT5Buyws9mLroYh4+xd3QbkgwKa+UmcntlM9ESFQt
pN4vJN+IY1ZEe6YzBgZicNXRYIoneyjHo4cyaJ9ZGT3BGKldgjwp0aRzMWaV3St5tYK73Uh2Mywo
JiC12urYIUZRJk+OG95003CHxElzQG2GzHi1myI4t2hfTlMSvDTwnfYs7zmzbbGZYldeJXN0yXOM
AxX10cYHwL1yuoWUxQKr9723NkfB1LNMw56bnPCrUMr00w0XuLNrEA1tO4gAayO22lPVj6jku5Bt
S6auS7qk3agFpWOJrWA8hfMUgrerNmwBV5LlX5nUJy47ZxWRR7JLUnvcVFHe7NQs+31JbstWDlR+
xUioGSVuueWNxXgucA852hWfhwiQohsNbYwosJ0OaNXuhi6wTjw1iPa6czgFCHZ82e8YiD4ypEVq
mwOBH6FrYinoiLweqoOIDTTiI2MQTTePxt5gZwSuLOiQWvbETF0Fsb2F+2piXnFDxqSu2EMpDY+2
XRGYLMt4W5f0CBiCnHXQVYv/z5ofjbE+YSnZGrB0132cH2dLW5sMXSsaHL7NbJ6MHfSXEm8Jt7mV
gtQaohi0pmoR2Pb5OzaMxzZt13qhGde1vwpi/5G7ctO4MFVlxu/SGZBYMwZGqkjkR1pb3rrwGLhm
0l/QfNVmAEHe9QGplHyaALiJi3aei6JJ14jhfYq6KttAzE82aAqQv2XJBiMMNh/PT/aIu++ByYmz
geVlBTh32IwZs6Cyailzyip9YIZkbCbP24+D/ZCWzrghFoduHxnoKu2Sa5ekEpTIntygl2/XLcrq
DRq1vTHovSMNeFJudI+WDuVDHpwjxLKIpO+Vz761nsbHdlTMDNW6bePrvjarA+DHDds+4PvPc1bf
eDWTMk9093Fc+U+yTtUOO9y2EN1bSmz0mmTsi07lZsqLR2aXWzkGuzrOv5AFs21n/NiZZ/brWkIE
ayz7OpjceG+SUaaSGqVigK3IvBm96JSQoHLJ3ZqM5nCavF1EvB68PzJR3qmYHH7vhXgY0Xk0MpP3
RoNyEPDpd/7Y+KWX0cjAn93dil1e8BZnVNSCt3Uc5wZRXoaAm6EzK9OQdIwdBD9Ed3EHEoDJ7EFX
2GdkKrGzQfjY6Dx17vxQhqsMWdRlMdofMoaiJ4tzccPo44lhOsDaoB7OE3qnRw1leTe3tkEnYwiq
GrOhDcGKRbykJ66QsYsjyTT6vsZRczt0VnVQJX6SEHLkgdBqzD8zBX7LaOrKrcObappOWlrT1nHT
x6lI2hNacu6H1Eb/MbNZqjzsR1METV1CmoaRoK9lTSyW8EMsT+hVUGQT05ykRA2B0FDHyFvySw34
qIhL1dYTfchh1zgwjI2TF86cd3Qk+eyDjCP0g87PBbk3ePPKMMtvXlQccBi0e4Ia5dogjOfQBOqT
ZcDut1V45ymrWJtxaOzGBt1D2iM9GYzEPOb0h9ezdu7/UJr8xY1vLZu139kH368x3zW592HzMDbz
lhv2D3WyXxZDUjSzeeAJJhGEKYlBLhXpu37meRtDw3Yh+iB9QBnTHiBV19fh8nQR8yLOIgnrMyWn
XrGMfXXxf9+lZIRA7NWLHd8simsHUO8hxXiwSfosOoDDLQ5yHJstHCoOBrxwuhb+Ac3BtwKhEGrY
Rc2t8zt+DoM1XcbO89+l2F+8X4qov327PxXpiZ1lzLkd88BsKbxv9GgB1/NJ3yNta/33L7V4Sf/0
m/WWzSn/weL1J6+pORhh3pK6flCd9w1ofQ3w1v7MOKbYaKd6/fsX+xMejE+QDuD3V1u6kz98joYK
yXovE3lwVA891rFeLExvx2SIPkyl63Xtpu1tF0Og81tJAo+BNEmmrO7IW2kvQdIdEj7JTcNXM3Pr
cZc0XXvqQh74aOzyjVJ8hKkzCNCyibORU1nc0mIwiSZ1chEf8LeRQgGi3Lgal4u6Xq5sm7v779/n
X31+YBgc07NMhsreT1gQ07Bj00gb84C3465UyMdzAhE7PAn/8ELmj2iDXx+MP77ST6Uw9KUiZqtm
HXq4qgc7DL6aM5r8TOBCKVL33ZUMP0cHtHewVAoViVH/0Nv92FB+/wmo+BkHefCq+Gh/Woojc3eF
wT1ycGuEzUDW4Wxb2NDywDVu2Tgya+wIOvyHr+1fvfEfXvanmlq2JYdbOVgHw3aWjZ7z4aUmN7MO
SbLTwiAOa7wOUe/dMgcqt97AWP7vP+S//BH4kHGWmzS26BJ+/DJnwhybKlfmwVI4mhquROU0FwQw
jMhbwlazysUkLKg3Lfczp369+/sf4C8eXdyBv7/+T6dEN+CNNouIZKys+2w1arxui9AiwcblITai
X6mN/7GXWDqFnw4K3qnA1SzwxfPPH99tPLCdbEtsI47VJFfmkA4IPzE2/P17+osn54dX+ek9NZaw
eljB5NexoF0NvMFVw1C4zUHP/fevtLwVIX2HbvVPB18VdMU8u1B8wwHVm2++ZC7RL8Ti/f3r/OXX
5I8v9NOZR//RtWGmbZ7OyvuqhvYmkZ69DzA/o2zorIc0Iq6U+FPKY0S1tAJVW/0Dg+ovWmZbCE/y
iApABfTuP356YTziilShdei8pAJcrPtHdmnmkUWsdajw+pdVACe7j7yV6ifKN1J9116NKwOL45vB
7Jf1BmLXpbqAdBrlL662sltTyedEo+n7+9+Z9ecvGwNn5AKENy0/McKdH+8JE2FrPmt+tKg7FxMq
RzMmz6icSfhyjfkyBu64rTrBTh1VBo7uipUH5Qj5UJTvTpGhteXq0H1xpEwNt0lpAsShp2kMkAE0
Ed+qaoiOos4p4Sz7bHpwA1SO5ZrQgCVXR7XbaoYe3VZhveqzr2BszNU01Dnsw96+aprm1xLn/wdV
/zSoYqPNUfLv6uhPUNSntn3Tf4X0WLjm/Mnf5lX2L4gMpBBUMG4A4IZvzK/zKo/ZUwCDCVKqJFkQ
Qdi/J1aW+IVJFaBStGESnNSCxvwX08P6BYAqbR9oL9tE7CX/m4nVj3ckdE16SaKQF9gcKwj4jj9+
nXFWBOQdOP0eQXrwMHR6uinKhO7WCpR+x+MHIljg+PunS9L9jgX//dReXhnJAMnXDpATiX7tp1fu
GtrY0SGg1rXJ+FHacqq3XA6sRlRv2gABKzONUfEO3WtWJRXIHFINEEx62H5Q2gzC3YusIq2j4XH/
FNahIgOExn4FTj9q174m90A05Myt0xzF2GFg6o+7tzMNkOlDiwmjKv3p3RrAcrSYO/fkdXifcjsf
36ZSBs85eDn4kbLv73BgeNUm5SzE1JoR/kYeNmEzvcmIprBRoDum02/8PD/bRFnuYQtNw+yum7l4
R7mzjlt2BXNplpuGiE6Cl8wrduIJXJHUewlg8O05IFid5NAI1zEzz5KgATd8MvpMEUsVGeVxQse2
Jnjzq1ey/MKqsgv7RB5bDOxs6eNbP+68XT8S7AsynIA2s3hWivyioRrRXwzyofcxUKpA3k95jTcv
yQp2S2U3rgLLviE7fuOP+MfpcEjxRBGFoLt2dkUFQtGAiUDEok7WepRvsDyRJwT2WTjNpokzxO+W
3oMy2Q26IjhsoZvDENq7rm7WjTNn/J8I7pLIum4G3dVXomOeM4da4ydoOsJmKI5LSPuof0Sx7iKi
WtpBedsUmdsGYU27b52IiZ5ozJ2tLOdoC3AbrFvrram77hSKZhlfxXI94xhbdw4chDRMOiL8IvQ+
eeruAweWIv2S2nO7GNserzaoD/iShEMa9kdl9tGhs4Wx8QzXuJ4TjmaTsIP7ac6adFOgXNigkVcE
USzpGssa3YIp6sd5tLHZi9Cv+e7SZlp284alJoUeOFt87qxoyUnobP+CEdN8L3qZf6D3T7w1+0aH
KMV46O6JI7oid6nMKBCFuk5kUCNKrs+RsA2os1V1gjBTvuQMnPldJ5qVn4AmMm+1MygkgGSsuCvy
Dl13rZCw3+aI5hapnQNHChthsZEEWV/bTTozaTKZbqHEMfcjKsN8nxqx/5Av1ARU2bQbtVvMcouU
oiV53nP9i9AWuo+mnvo7iVYCClg8RScibaBh1KL2PjWtzwYvlOl8XXsW04Mas8r9hIfoSJc+Fku4
U34FmVgeyQUIK1QCfnSw0ZQ8llq3BFi6viIQw198BtZkD+Cm3IpNYF72z+A1HGh6ZMk+pO4oF6WP
rYet75D1dJqG1vxa1qRvuVZuPqcWCvF9m5s2fTCSmx3bXSSNFgZkIVfz5Bj3vtsOOzeo53Pa+CQX
SkdqwoBqcrNXFobMx04qKByqZsdVCXNX8S8snZHy7rvZKRjZESS0y2bjJrSnDzdK35s8vjL7ZF8J
w951k2R238vs0MeBdePaCUBou7tSLWm5bPHTq6BlT422A/uXqGiZZ6M9JFV9DQWsuYVI8hGnJsy3
UiN0aGn2BTrLS4Gmf0dac7DzprzaRQsGlfFGu8e+75+7eZRb0Bfl++zqfjflhnstpiRSTFDD4Sps
0vFbnjNxWKlBqjMDRRnzBfYZls3F1COinBzz3UsGdcLzmJ0Dz2MCRgTuymlIjtmYbErdr3UJGUGt
iH6z135Bgm0zGq9tHm2LtmnQQ5rOE1tKIAxF390FlinqVaxCf9PSS5+gpX2tsCEl66a07R2jjXAT
yMm79BZMIDtFnoOoN9oOeaSOZRvnt4YwQ+I3rQ5tDeLTe0KoU+uxN2bdIldJ22Ma1f2X1si762bo
mnRLWmEJ+7idbnyNNQAaNZq+xBrx1jghGBRMTe9+nxDLVji4zX3qLxO6N2loA7+NUconUqBjRo8C
ZMqIOZrIbZKyhvS6DyGwDVF46DLibpFVn9os9i6VdGM0a843bid1XaCY2Ge6jpKVyzelOSZWOq4p
z5gGoyiGpa8ahjkbY6r1B/sFuBbo28SV56IMXEnoFjBBNAoxFFZ9dIEReq+mKH1hH51uM8/yv4rY
7PZEdqLXoEdRe6fu/f5QVWSAbPu+94ljSPNn0sVhMo8mexGcZB8AKe3bZqzD9wktsP2A34tjtp2L
GFZHawncR5rEejpvQZkMYArWRaWJmFfonZJOvFdsGlhUswMm1Qorugo2oy5eDeyXOTm2jWT8CwDJ
Iw4FIvxe5cvYixm5D2WxhpIzpBKIRmgm9rXXeMO4nVyNwqhntzL5xV1oIT+KO6U39KrGbdba4fVo
LGHkJJUr3yb3U6uNWdiEJdcRHpromJM5ux3QIOJ542ZydM8cXZHM4sWXoBcftTeybpHI8RrGkpTv
01HNASLssZYHw0A8qSK8dJJc8Qr55nbutLP3eyjmIXFTeC4jPuR4tM+JEz1HFpnMdTvwBQgHjufI
arHG2Riec2OO73MIs1tGNjtjCLcMUkyCxjp5FaOv2GANNhcKh/oYI0TfhC60l6xB44dSU67KcUR3
0NRyFTWh3lcE2mz4hIYttaC1bhjBs1GYn8IM+Q+CkGqbu/xiM4Bhl9LvUQA11dPgsMaAl6EPbeB0
S6nBesjV7b5kJrDnBPIZr5PQ7afa3YpOpvjDbPeAegNlR4JO25h4fHNp32AD3oohQxAhdT+SN5yi
08VsFO2BbIGsYIvBA69s50y50HxS/vKhxoHj7DpyR29dVZExabaNvy2LcPjEvj2790h8P5NClH7D
cOMeUQaB6emD4SWpMtIb5Fj2u8ERxAXbY1dsIk+E30Q8kwPr4FBHky+rDddsuDd63yGkTpnxLdAo
bs406sXJZYK6JwrdekN2XF/1Qo43edDS9xtVEQAm6/AGRkGOPqyHbnpCGaYeosB0zsLvzUeACeHX
rAmZ/FcAW/aoUlXKwWSGxwQhyAnfdyHW85gE28gy1IlHhQ2liPBd7UvAEXtkSuazhZt7RR5OD1ho
Ggl2lhn4s7QQRI2jOij5EIr8NgVE/sgIOzmouJnOKBvnfSGm/tV2QEB0mKOQ8FA+XAO+aXYIpcmK
b4VIgy3SyPkxTabpK3FkUP0rP03v4X/09wH4j3qdKhhnlLbdeqC03xGc0Tz7Uymuw7goTjEpUPtJ
Ylni8vMGQg5xKb0qu7YJ+RPZ2RmN8bEfcvvQF6q/w+PcUk264S3GW/+Smb55RpzovRoZK+w6qstX
yw6PDD1YP7XRtfahBEg/MvDmgZlz+Z7ZJACrWECOnmlIXTkrpFsWdARP630JucxaDSEqJK+ms1h1
zWJAy0xExavUCfNrEM/xnqyZmn1jQcGYT+29i0H/6FX8BIVfmE+W22PeLHVrPYbh4GIkNGRi3nJF
cL+h9+onDjDTBaCEui7LmmYTQH/aQUEmkIcspOsutZO1lwWgXiuTXQWcE+UX0172ibur6yr+oGjJ
tgSBLd4MFD8kU41TQXrkoI9V3TefeGjnewPHwnp2xgKlCi/iG0IuKavpFih4BILFim7JgJXXQyP6
8a205FjfTaOqswcDkZdH5z4nxG93NHgw9MD3rdBljyFRbj0Z4l7XGj5avJ7VLdKn+9weosexMtW3
GQHVnqVVROr1YEf7Tovmrpqk+YmEL/uxGwcmmpOWwWsHFW/Gv6CKhyg34o9xcJOT4drWG7xqvKZY
ORUfR+WO94IC9au2yvkUDaXlY58Y6/tJA2R2Z+DgFGyNyanmtHW0r0cMsivdWN0L23vxloInZg0t
XP3o57bbXgM9si0S6gdZbM3G5/nJ0R/2RCgS4eJE4EKCPAJboDpzUsfK5Eu46SIjTKjbG80sDYMt
zl2eXnsi7XZTch+eQWoFLhGMdXUdaUKpNwOBjxdW9h7RsZUnp1XZV9GxLjuLsJgh3hNnVj1X6ADe
JC3Rurar+l47wEgMNu/AHzdV4/vndgLuCrmDCOHAFW/IvIfPUREkRxe03HMy98arSd6hv3WDyf7k
qmk89e0w7frAL2/gXLt3EajOaGVGY3iwk2yLjTs9UlHHVxghhkONtfnQ8St8gxvQo2M33Fs7rvQu
N1AytaV3o8CjnVoXbV3Xd8l9YRv2JWitDkNp0AoiKyvWdqNfI8Pwsik8lxoAmO144SWCHtJF8YfB
LOmuq0gVWmE7zjmtgRmsGrcPvnULyi3Ga7MjJAGz0yDjZ+0H3cuQ8ORkRtG+JFkUbQCDWJeiS8uT
QrsMz8n+FtlspRn1Bfc15extBoyC6kpVX+HvQQCIBnlgoew+zn3Qnmao0VtzbgfgXBZEMyONr5vQ
SW5LhmTbSWPk3OZm1V6NIZRdbUTV0Y3yGDpY426sSkEyAkVW3SIezN7rSdp3iI3b3TQHCxCv1De9
M6TH0qvBD46KNbovJ8oDVNvbscSCqkna2qVdO7/B+59W5tgJGBcWNVCbYNmMS3npe6YYGSHBr8qr
w8+h4sx3Iuo0rtX+forK6bOiFrsuWkBwM5PjS+elbOyo8iD5ZMLezWAOThb7/0uIBvipbzjvvars
PiuF5TcERPQ2QR8jtjOgpTZR7F98j2aNmR1Pl+JW2ZDJ6qPe5E7xB6cHkUKPRQLCbq7i5FIgtHjO
fKc5YZlJniGf0qDGbk4niP7Sr/6HvTNbbmO5suiv+AfqRlbW/NgYCRIcRYmUXioEUax5zJq/vldC
drdI3ZbC/ewXh+ywBKCGzJPn7L22VkTElnnnBUJeht4wbvBK5Y/TXEuQK0X5ao8T7qFElPLRp568
EQV7Hoag0Hrxo4wTFo659kpECmf8Qu7nhcGDZm7hjCHJ7rqsf+oRdwCMM+z6qZvqJuDcNZkfMgBr
j16LLyxF7jutPOTcJZLDpnxWKg+/jp3QndeI9eUK4oJ7t7D6fVpaBjxHXCZkMhZuYbeoPfzwa9SN
nK+Qm1inwS3xZ8ligfrkVV+nkQEJQlbvqSI5c+2AMThGVGrJamTt4AsBc8lKP98lkAgeAoPV23Rb
54IrqW5bUw3XSzZ0X/sCGJ05NIzRpB9ugZLmF7SxsQAjuDoqzNurCoPcc+sx+oiywnhwIDWvU+RN
AN7WHUs8s6mqKl8IX3Wnm4BJu3MBO2NcOdgcZ8hzkfmJ8PKKOMVsSl4Hgc0taAmFmAk5dFfhgqJj
VZXz/JRxhtxEYeJcYBTAK8yPj6gJbFioHPyVXeyoAtrjLIb4swwS89FLSx6gBD0C7R9VPcyVryYa
QVH5yS6aV5UlsFRAmJRfF2SzrxU16AHmG8tQaCwo9BtCKgfD2LtTcsoiGltmBenAm79iWp43CFgE
/ETSb8c4BeQ0BJ9YZCodU/hBhKPcR3i8rqIU2WsQVciu8JhBk62OWU+aeNz7D12i7NvQCoujiBgu
rywIkhhIwuzgdGV5habXPSTTzOMAN8O5XIq2r5C/WHqbKnZEyzcIt5i4ad4OPJflCrijf51Ecwzb
IgBloQk9MY/PqT5je7KyKvj7sHzcWDjXAycowhqt7iGdvTukB+aevXl8yEIDOAg5Le26Nxy0VEZA
UApNqVsHeJDuCX2GQQdQCPosQ9bMKNNbKjut3Ga9wh7r4/4YIYxHyG3sCL4lB0+c8YtN/23pNhb+
tk+CXBR3FYyte09pkIOgibPwVqaJJtJ45IIgVF2nuZVsLAU2zQ9n3sscF2uXm0W465ZOYzv6qr2y
W3qJa7uX4VOjwUyqrWEhamwT5iBYpW6M6ETZg3NvJX1zDUkyX1dNE97FKHWvxZkEFQaVd9UTdwU4
DU6UTGZ1VXeivkpg2z24Zl7vSkaf0UbC4nuG0NTd0lxTgLgsRUnjayBVM5A8j62qBoBpz9+CpVk2
nUZYgdoVL8YSZYchXEKsQsgzXK+XNtsRuAd38bNdlEKRbx2x3GpFxz6Wnsb7pYV/PWm01mJMgkev
YSwSG2haXOI3vk6DBhY6dfrRdRpWwalS2GUscOo1zSuGwJrtxZlAfiLkBQe+EAM1F0gwCzRYrxlh
Efw1jntAWSAZffS7Ae6OZoqZcwFeDJjVtE2nfLr3Qpmvm9k3Dp0mkhmaTQYArPkiNK+MKMxkowpG
7UugLjiuE89XNLeDqLpdm2EwNBdioFb8V+fQ2X5xhMc07hDo1d6mPJPSZg1Ns62YdxypFyQmfw73
fda0JhuPHG7MPFCf8A6bn5AqRJu8n9MYv1sLIGVwUxQvOfjOlc1k6BE3ayEASqhpBsyh6W5GTi/v
CpqXpCVbV5LnluYHFNIsMp4QxqhLH+YEvWeKaCh9YOgf8LCAlEM2n3yIvQVORk4EvbdaiJMaN2mT
9OQXFMueRFz3SyYX98E/0+u8MjfwuMKyyHfOGXyXNjHGyxxKSb8mb9p6wO1HiTwGiYQB6wf1U29b
6Wk4U/UCfxT2YVItfMeFVv9jYi/lc2MhrzfSsrmdQDJEeJYadT+c8XwSas1dPdKIAx6CSSrrPjsm
3oDQBwBE2FjwxahgAdf4WQmM9KxL5cviU6rwSMK5mJodHjSElaUJ5XruDlyFZatEPd24iVZmaljl
h64bYHKE8/JI+9K59Bvp3VnEiLWbdPRJJe4XQj07zSSka4B6L8KnAguwZXRgTJNhbwxvxLgOSmRZ
o2OcnhPfZYOghTpfd4Xtbfv4Pqm9vt9EpRs8Zl1YHiP83QCM22wjNS0R0xHx24ptBnARoImTfwYs
xpB7FQL6AgM1XWdEXbVlkT80znmAtWIGsILBSTqEHflltrEsyINsI/Iut4PuHsrh8kTjfLw33L6E
LA72MSltte9UbX20smy6RTlvbxMfl+quSkBFqtxJbxVWE87lI+idrs7iz8nk5le4sIa71pAwZAv4
1hCgfJDJ3AJtS4l907mZE6qsdecZwzPp5HCMXYrrXexM6V7EyXQ7Ba3drjw7I/U940LcV5iNjXVU
Sw2OwRq9TmzT/BCFNHqZXYJaThOPkANN28TOCXjTKYlddYOYg9QElvemrUz1gLNSPMjRKm9nwwHf
OYdJ83mZ/OTGPaM9h8Z3rwXOSNo4pUrLi6RrzI9uHMirpMFvuC5IKGaQ2tP/hLVSeJephoYmGQRr
gt3plY0xBdtqEM0I6WCJy407WxzjlnbIn3jaEG6WecJOQNdzusVdH34bDcSZseQlwjSUP3meJQ+W
2S3XQpbeZawRp1ED7JS1nQ1IBeJFgTaIN0HFzofaEzKjxqROLsDUKUqboz12A9JQcKqqt5M9bivW
TsxDyJebbpq+uymGsTbvN5wh8nTduQi+SnsBt8q6vSF0O/9gT4NzacjSWi3Z3L+UqfYBLu5s7+tc
lBep7U3UaBjjvpq1ULBIe6964IhE97su1Uci7f17n+rsG04V7wMGI/6jZR1S0dA8Rx1j6PYMnfUT
TxmXXQa0sOcafig1m5YdqPBXqTcGj8ZiWtjhi1YmW0Jf7/rCUw8V6jCmB6wt5crubfsqEF13V1he
flVDDHzEeISiAOTfnTuVdBPEXPRfECySLybMQV77vVK70ONUssLFmz9kMcTFdRyksv4QhtVyP8E+
2McUN0cyod17hlvlAcFL/KAIyABBNeHcGnCWtxB5wRyTx7PEEAyKYXYv+WvRLW+3cSKxDjCWWT3H
4ZBtiWOevnJk9m96jQWep+IFnOumyPqIdIDKX8s0mK/dbgYaPlrjvq28ag2m+sOc4BHOyJBmZ6R1
eeiUcNKVNaIST6VwH62R3wUfhJdnhlRs57zXq9ZQQKE5vjKhgSB8MJIiPHSU7V+8uHLvQiGQ4dvW
1D7YFPScBHIHjqOP2XSF5Lq+TAbs/xAwoShH2dQema5+q9C9ZivNSbiNI+ldj25l30+0M76UZyxz
ZoYgmqOe8U3c8zSNGAxZVcM7IMEY2gU9hazt5WtdhsBpFTpTZJSVMpI1bfcWFoEzzsXaoUS46g2v
fLIg6FF0BpQsscZamHIkeZBpC/Jms/7EPLU7FFzfbdx01cUUt/4GmZ+19WfhV3uSJWx204iE8qSD
Vu1aobpmdthvcw20HjTaejSynF6w6X8W0E/bFUxJTK2ZGAItq6OQ9VLmVtbSc4KRZjxeKalo5WiC
ts80h3Zv7XytHRzNeHM744DiiieSHkmycuhjXHewfOQ68JoaBqmKPzglMx9LQ7sTULYv1ThPp4Sy
9bGZeii/bjbp9Z+EiqMLjKtaLZoG3mTaOMmqEH2iRUppshSc8VZDymI89L7HHAZWJBtN1sXX4GjF
KT9DyMcaISfDFzauWQPKQ02740chomQPntYx9rLD7HQRO5fGnbfKIXuhjmRJ4k+Yz0+Nn0nmNpDS
pazZ88tGU59whoXrKpRGuOm8ZLnuE5TLlKiI3kiAVZfRpApr5WSz9y0QKTgvVzDxw+dasVuRjITa
3wxm5wbtGCZdGm2o0dMz/L0oMQuuXLe3mmMwTXxMprHxoaoqXPeaKJ8PLXMUWWZX0+BNoLtDwzjQ
ZC/A2GHc538YeelWYZ/Ij8xsrXw1MhAlPlrz6xtNsq+ZoKJJRI28nEH3IVh1degERr6NJ5fpmX6z
3LZZajziKxBoTgHeYMmfAKYyH9yOgB02+FUFSrdBvmR2pTexPNgZIaSKtW32Q7hzUBGsA5rDV0sh
zEvU79PNLJh4W6ZukhcEuzOmkVsf1S9v1iC3Rjreg3i+s2I1crpWzz041ss5LPODb5TGtoNKvhnn
Zvhu1k563VNO3Ei9OuMW9DeeJ8hfH2qJeZk/LamD1sfslXgWWL5vVBRn18AO5LbqRKzprINK1pbT
Pcd9vUD4H8ojECmfMTr6LyzYxSE3PfEtrwdvG9V+eyx61Fnh0qTtuk7GZNPn4/JNRTgR8f57B4iQ
4wX1Om3iqo+cH0K//2iD/qANotFiYTT7nTpoXyGt/l6iRZ8PL2Qg/+tv/FAFefZfMnAd5G6oJF1e
vv9VBVl/ufCPpGfKfznS/uVjMx2oUTYiItMjmscil+V/VEEmKiMCJ8gwt2w8D67/b/nY3uo3MX/y
xRAWoRx1iCKyxDtNnvTGoXTyEVgxWTwrJqIw1ogMWZsmr4dRpNPlT1fm7ofq52ez6Vtt5b8+jw90
HFtwPd6J6vLIop+YU2cstqJBZUevEDMpAEfyP37/SShWUDT9rDvityFtxfMH1MXxHPFOLcrUFqFP
HI9bvK+48wqHqgFNoXlIWUmvszAarkkySZl5dkymmjZ4IfdnuFPllB0gBrHcN0ZmXkLXQIqR9Ypo
94wkwycbUgjCUx8GhutG5mUvpDqhA3JCRnoeo8d08iktaZpMHm2t6ruhsXlAEszHwm+7YWd5GAWu
OrsVd0kuVbRWycI6nnr2986NK9xIY6qpK3n/2k/k+8LTCemKYeOqwny5g1BHzdSRrrJvaCev6YkO
96m7GFeNCMRwgRaBJkQWB3yV3gvDJ+SNiHUkjkSUQVHucVrzZw+aU0SDGgVLW62gn3Aw6YMRS4uC
1l2tSHBpXwvsG5eecg9exPNggm3aUhMcy9l9JDAZnWNGyiCdYZo8CayYO4LoEbVLTs0h0zHdgTOK
ONXz2fuUU+O+dLwj5yPmAgHyhKZGbm8FBs0x5PZr0bM4hwI8Q24GeUxTyqeXkjlUbcaUXRqzek6C
nkbjZMO8b5JqhQ8CZfngITpO012umM3FGYo2c6IFYgRg+5n5ZJG8J5GATqHxwNq9QTFP98UEpoSR
1N7kRXCQDW6hjJ14HRKXQXmKxwLQLR3MlD9gy/YEgTAq74I1zY1yVcVKbFybD5duwQzXF/jTTLA2
VcurU0ZfI5ldFyXQVTrypzHkUTcVqRx2aeyxD91XWbvx9RVFzAK9wo4/EMwRrcUkX5weXlvmMeRI
ScAziz0HXx9NR0TFqyxG6QgOqsJ8YVK4szJBbEzf7fEwvwp62NsMaAfIj9ch9G8sK33NguRYdAh5
6oyexRCiI42bDxFkH1wdaFWGqzjM9lQjxzhvk21NZB5MEV/CHAhhuR1Ty8bIkNqhum06kC9G9VwO
KSgtC2eLNeaMfjnI9HW6oTx1dxnza2B0wCHYd8sVU5RgS3cALYzPLpkEpDYgkrqRcxzdWOF0ikP1
xNwcCL8cFRcjg6ofGo+hFR0RTzGZZRSJ6xOVAI2nzZzp6YcbXUUwNPYoDJ4z6DZxGGLgD/m4fExO
oWPvySnvgJLgmIMVhUyhYo4v+Gh3lAaDzY7ADOWMa24sE4iZyRwVIExPqOo4paxVxuTvsTNwMDAC
eKT3QYKTVxyHkvtgi/pE17T6oc/+z+b6x83VNAkn/Wlh/0V6+1/ly9fia/mPr+XLP26Sb9UJIe5B
5fxX9XbT/ee/9GPTDay/AgflrMuWZnmmCBB3/5DiBvIvjmMWoXaBJJ/0nLv3T/O4yX7sOTpDz7YR
yiLX/Z9N1/2LpYD9mMEBzWT+H+a/I8U132lxQUtSufHNTL4Ze9QZ8viTBUmpRrlVMrX7eKRKT53i
VDL031oeK1MctvUOkfkrIlQO+0F2omNC17QymBMOkImTCiS9XyoGeuCzwzH5NFS8tj9d5L/Zp985
BuiFCyiTATEewBICVPDvCgOawVQOWdTu/SKE6LPYcoscH5JWHByHpvnKqfXGVf1GRaAFM5fX6//1
BQg0llwqD1rEW70ysRG1P9o5QakRX8BapmGtQYQrKwk5alJl96SzML3Ae4UgcJWafI/ff4V3tcr5
EhAuL0zbISzTf1+rKJuUlLzIm33bR7oT5z32MWtgU/7J1aKLnp8KlX9+EMJpoQEc8n2GvbuQdzDP
VbMvK7CCHbCQndfVzxUQ+B2I62Q9Q7XHlwYyYBhHBpKh4KQxyXsHoMCxAAG1tcACf1WpM27R7ooH
mueAfXn6kMRO7aEvq3nf0l/eGjXLGQc6D5tnzUAWvdIWSyFVXy/vGiPOef64kHPjfiaS/iBaxa6V
NOFlVLLbYfqc92h94+s5/Igygae1WEjC8p0d5+3pZlLZq2kt2VYN+Qn5IDlUbXiz+MF3bNIPxLw9
/f4O6Qru7YXjlRBAr1CPaOegvoM/vUfeUoo8Spp671hAV5hJfU4h3qAaQ4klZUKiGMZvrxmCP7ie
zlm1bz/YduAcez5dwPMy8vaDizrwaoUBd++jjN76+PAPBPF1FxSWckONq+j0LsOacgC61swLTRcT
RpGPSCXIOcDmcbTrweqtHZh9q/OBNAhpEVTNOO/zNETVHkjqTaYZ8sde8396qKSW27/77i7QjMDn
qaYh9T50XvSBTR5NnO8DciM2iHqcK46mVE1D8IAJnPaQ1+X7LuyKG0qPw2CZB82u6Bl2sEG6hx8L
kD3tKufoei5aRsWuGRj8aMKhKHSZjq3xyX/7d++17Upyax3cC9A3AnaNn+91JxNDoPnM96PRakgh
i4Iv8AudL3Tr1gE6G+ozw87ln97Pv7lg0uYQJ1zHFM45KvWnp6yXRQh9oM334aBqMGMBk9OkU3/w
gr21G+kF18bIDE/EF/w4Fpy3v6/M68KCap7v0deWe69tsss2jE9/uIj2u0PR+WPsABcWx07sgvLd
AawqWo8gqCEHLJG/hl7YEgSuKJ6i0oI4r0vawBjZW4au25bmgofSyV/NyF7u0TJtnbKP2Xcomkx7
oB2ExXAbIwy5yBlv7jLkQGt8j7Q1Sv8Rif28E653I0HOHkBNwvafKN8HxmY7wxo7IiHQU/mVQxAM
65tjTnJNe98Ab87/TcWOeeR0B3Krz8UmCPn7duPTRmPqCIKQPxFwQ/imPrgSRBLsSto16BVrm06Z
+jR1sLVkjSM97NJTsSQnJ7Xui3oJL7F0IOijPG5lT1nfx8FKBOWFMQVCEwqDXV4lr21EXdlXrLmw
FzhODQEPnMnzXUbMMoY6P7kDz6CdRR+bpV52Qx48xjwc2ChoWHsW5NQArFRMX8mS3TODhmA96tWb
xFf1VE/U3zbppptpKuU6s/mwPEjtr6aYWZYliUy6nFXku2ysppHryM2bNWesL2Ur03XUF/JhwHpK
WO3CRry4BtPG9NWM+dFD1Plo//i+wJsfSKz/TkuT0TeWgGgcQVb4LNxjX6st0Y0mCZpLh5HcePa0
Vt0OiZMi38rfkDIcrntbxTteMRRwTnKC/YJevHHpFSt24HzuEMLbxdHJ6w+pGTw2TDl5Ddtuk4V+
vKf4wb7SE+SSW9yaUrUPbkKGTFH3txQY+9ArTyjb2gNgY80WJuk7mLibxcxi2Tapu/ZzLdfLX8sA
PTHZFleA7mnnZa+cwoI9YAa1iWx+qBoLQg2s69DiCfTLwd9I4d1kIX1BE64wRwuOjJJB9Sasec5B
dBnbGUo+7Ww+ah6yV87CPLHc2dmLmADROuRw5XwaMkC7ZcRBVNqF2kxh9IqsgYcAOcFKJKO/MeLq
OHmc8GIOW+t8KU5WVeS3PR2ctTsY/gfQETsSk06wOKuLeBbtlRt6j6KDTNhSnh7dlFP1+cZQGdwo
pL3bDG0Iuiye3XnksRFI3HQwTUcgVHLyQ93Zjax7y8+DfTfnJ18M6SrjCTc7Xo3zg9sufO+wnHZ0
uFHoFS4SUf+xDihkYnwQP16BgifMNK171bUKSQnFJ8Kn5bqcuFl9oqsNg3+vKmpr5cc8QZbJ7VeC
1wWCHqgXoN7HUUAfwPBBHq/PQ1t1yen8xfm6VDHYW0kYYk/DDwpxzenVEz0GWMadYL2uoXbkXlxf
V0HQbBOUa4STgVtcGu9gugTVOwXyk4TA1XU6DcdqRHSZYvnZTYxjVxAkX6GnsmB5tAiYUN3z6GY/
bnAhnHuZN89VzXvlTulrw/AQDEd6Oi8XqL5eu4k6Gq9AsCrTiA9QHF07fcKv3ZnJDTpnREBcRA4D
1EMkC6ypkr3VABHBd2R6zMn82mQNqxILVbZ1l/rZkdXxvDsFTFmQEXMFsOSFl9JNX2cRhncEXe4K
iiQA34u9bVVZ75yJxOs5eCnJXEHUx5NbUnStUFt8VIr32Db4dwfW2sytuCCTs2+9/NRRX+nlDN0X
S17u3pwXJVjYdEA69UwDio2RnBlZgdRocuee8065T0xeFddPT7OR0JSxaHXksAB/nCZQFICETCwg
v2w7buXdnH8h+Tiv+pUgEuRebwWEkN93NV/sfA9qGdwkhTGCQSHiLxuPfpQ6dED0Y4PgGr+QU2wr
YJBEXppHp6UjUUc5XgkelRad9Y+VzrdZTEjIeaxmhxWVThY682C8VaTrMEvm/U15M6F7LPwtQhgv
cowDl52+O0yaCXOEAr9EiOkdRASrqV6my/NKnEy6EHMjJP1gCnmD6fvPi//o5SBUV/wNl2/iTzul
Oxa+4gb0CeETSdUvO8JDQB0FzBl83CIbbO4MEwRX7LyvWBlfSuniOXMdukvhlnDKGXcfQ79s5kLq
J2xaWIzjmjKdlWY3LNyqseKhawMWHoz5ChMRq4/PtGBvBRQU+u6C8SREijfci1n1OQWV+ybiH2wG
TgXn9TfXq2PYxHTTEGKuDBLwLpoU0Y/e49qAD4jQ/dO74gXyluyIQY+wzIblJsVouTmXw3jc8m0/
ttm1EebzRwFO9MIreLshp1or0MSn87NSdsUp9ePXcpkeQ5GiunZaWkgDl1rvNvCO2Rg7XgGw+dn1
hCNu4xquWNnamUa6D/pWBuoYPMtmRzoiU1CXkcl5egNkhfrcQc7eNPAz64oNb+6aG1bJBnlT3B3s
kZ6Rcgp3NVkx6mFzCZB/jqgcqiBE7kI2TKVGtE3EHgOjqpfoFENbxgpm2sluMDEpdn6i9sjNKTXQ
8KHmew4ZV+4mTlbfjCBbPuAGq69ECVwxqrsPqFmiPeecBIWiaT6DEEE7VMygNT0EXzFxzcg1FnGB
bWDnLByThoqE3lVWD8ztnNi7M/uiW4/LTAj0yIQtm5vq4OsDXBZTJzdLe2Mhw9h59kRbOYhOvZFP
m9QjTgWvubWW46J2+F2XK4R/gKxKFnt9zAM8mm1iM+E/fGbmABvji8AAckkWA3MwnR88VjktT6Ta
a0Wu0Aospk2NQrARvkh23pkrNsj2e7pQsHWDU6/MpsyJ/AZcBgjg0AXNM6BlMh+YRa0GyyWn2UKJ
hTdT7WsTS1dCE5CPJywFI3G40SO2VayzrBPT7Hdt71zSO/8S5dH4Peva+IIEgXAzYqNcc4D6BvOD
CcP8rZ8ong0zZtECmrzG5JKtjKYjYF0i10izMqEzK+i8MdETnOESl2GldWGkNJEtRar5ENkQG907
A6sALAjKRAHti1CTrR9xT6P4GgLVVVKx/trD+NEU4yWATn/lJ0XNUm58r11eaY85Kcwok4l+b3x1
OlbdtCHnrlvs+yhLJZRXcWwNC08oQ0eSE3pFoJlpXDSIK/HEFby1+uSzZMwuxMKylPTJq4lMeRfH
1E8mPslNVcbzR6uzG32Hl/WYswMhnQxfx9So1qTI5J/Kprev7EU8D5KlwjDVM/5aSiokZgQoI29k
J+63SCi6fVZRBMdTs+zGjIpJcIbLgCuRVnlex20jO+ouMNY00ESm022NoQr2fd3yt/SJHjgcy4HF
a+rXFDKMwO8tULyrvEwghhU8t5V+RDkw7+1xPAXMtPdZOdzHPk9MGIDvNUryfxe2Av09dcvbpPuw
V67JsZDdehVQZvdmfMqc6llkBKEPjrhXmGsImyYzdYzVdHkeKyXC6zFyRXeEtB3r2fzCAbLZiYFk
XyVk+7E3ss8pe1rUeftGzsEl2cp4aMc0u05RlcH1ZtNXQUd1rZfTpSuW66xnxxv8rsZt5D/Scj7V
c3GkwJjuFm9qqQKt67qlrjHMgFS0xOXciHek02IGJtcfAjliF2b61ZGYwniidW/sMY3vRGvWnxPB
tS8pk7e6M5/bPGEQlo2Lntx4CiyuKWhorrPt+YRhli321WR8LBoD0WjL48ZEe8CzCwyM/Gw4tKxr
IUj9bdbE042Bx6FfuYFepAsqvmGoqb0VwqN0pMaUy0BmXJIS3t1WF3lk7kPRq4MZMJkw4teI3b5t
2YdIUbqJLL7neUfvJg5hutxp9LMa8ZjchDaov4iagMM1LhZrNrYGX3hl6z2znKu8WOlTyzLRIEJS
l2HXaJ+rgq1nGPvxNqp5pWCycLPLrtx3JKtdznQmV4HIp9vM7bKHpifNmFH71ogY/kwekoWcEz0R
lzyTcFvKYzIwYoGK5hNRHJjHiMjbTS55hgmTXb4gHYpf2gTFPV0L5hBBD3WPUTZyX56mYCZmLh8V
/0pbvBL2LU5FyMw8Z9c7P/2cN7edRzYMh9VXmhD8qlxLIJFeBfIebQVHvZCdK62N77pR5dgLeRhR
MFw7DXdkzvQeqIcyfSWHNfHFelGI6vuWwHA2s6BGRWSkaymwcCUsYzQjs23hSZLlnO7SIAqcFbe+
QsC3bO2Gj59zUhpSmwIrMeRt3g6gDmwmh0Y8mhvgkMGOp50trucWDaV9f9574dIrnqTw8fcHf+fv
2guuzyTbxIMmhPtuGDqkpCdG6ZztkTRwELdo2Dpd99zUNAVTUSw4H0xmbD13uVvyZRfLomepqT85
zZPf1I/CT8A5xxx0dZnRe8LYup73mA3RHaa8ZW0VnnEBuRCEPPEZ63oc7lySuzbS7yiAu+jjuZF5
PiMxD39JuiJ+daeONJQOaRduI8w+ndZh4L5x66k4EhRIQTfootTjDEQsZsJ5KQMF1znUXliHfxzC
etPyH3r/JTXC9qpUDVkJka4CYz0f5My7cSI/xJNuTv9+i5yJAGAtyYCersB7onCKgLBAWwqiXHGm
9L0xvFTMay9cSdEFzu9Tcl546eMzouV1M0eKxt/f1l8boHgPGWYgu0GwRD/3bdPI8n2ibGTW71OP
SEviTeML1VInxW6DNt5AKRK7g2BomVh/aFdpZMn7NiLHd5hTZFrZkl7S24/mzTb7JAv6vY+SZeWw
qG9STK8PyUgohr3UpHhAvduGYgGoqF1CQzF8CGq5R4hpPv/+Mvw6T7G5A56JQ9rzeLzf9YF72SMK
r8Zsb+tFQDcMSJOlhFbMgc9+sIjV9fcf+WvPnkAv6XjIN2g/U3i//flW2QmOm2G/V6Hlb3NU6Nsm
4k9mXj1OCrsyWOBxU45tDvZ2KC5+/+l/8zYzJ+ALIM4+j7LefnrBRbU6xpwwuynGMho6axAe6g9P
+N9cVrrMEvm4T9/zlzEVuynkBGqJ/WIm9rrH27Bp0+kLg/gbFeSf547Yxd//LvPvfhgZaTy48HOY
++in7qdeK+mQEWVJ0e2jJFVXSOeCXYJQ4sCSQCtn9B9jtk+MBHTP9Gi9mPJ5jxG+Jh6i6df5kLws
+afff6d3EhndMdVzRNQkGrD2y8MFB6VNAlHzjmXpl6p25u8/it8spcYjVO3m9x+np4zvXiyShTzP
putPOAgH87eXoJfAScIyU3tUuTetlMEGFXm5rYiRXAuqZmQY7lc0KB9rgURMeB/bxDVWQzJeY/5+
6fwRI7CDJPD3X0tPZX/5WiCEECzx5Jl4Fd9+LVgK9Rx5EXmsSO7w1lI8uw1LTS8gppKReuir5hjT
JHuyurreqYpbZMQFLV1EA2Y70ZiijgNIJ+UqwThFkWHdjCZIzC5Nv7nqwukEYcg2JUjnHSy0DnCJ
X/E+YoyI+pTwi4isczo13hKBLS2ZLempY4b9BcoGAmq76CBPWPpsLSCBAEYAlBUapBPoVpYe2503
tnQR7eH310b+em30JBlej4VkC/rTu2sTmMPUcTCs99A7iI93mmjtdREIxLGgL+Y1xD/EYIgmnAWr
biDFWP9MWqtrO2+wrPgerVpM6oBt2uyyFr2xddCCbAddNy+EH+xUES3XtCSyFclK0ASKP65nZ/ra
27GQh1pKYg124PI7Qv/Gn948ehms8y3FJkUpfpvANzb01NCbeu1zL6Gf4VI8+oHTbs3Uw/qVJ7t2
xLD6+0v568PvEaPI4wWhClic/e5Kgqi00DtGzZ6gyks5cmG06iUpB/cPHyR/XWkYHQJNhI0JlM57
v9IwBQkbkpYJmydMIk2pe8w50+lSXfmaL+h7PI+uVKK7y+iCqxUBqXyZPpjX8ENJTKrjk+QIn4zM
m7yC817GEfAswqn0mbHk8E5/+9hazOatnDacEXJ2+f3V+rubxgCPAajjCQCC7yfHJSdXaS5xvY8B
L2BLIQ2wLad6XeAWWU3F1GytsX/R56WzeKZv4te58P+wYv26QHrIIpgnAq2wf90mwMkorzbNei/s
6rtFSOSay0AHOUcMNc5/+jT56wQLlTXKR+a+AGbIc3j7oFqV2flIGmvml/C3srqaN3osueB4Wwdm
5NDApaDWRoMVusfotliq52qqsmtXS35tge3QN2cSvJrlYuDgvcqwt5DEysneCDGYptZ4+/vb9Os+
yjd29KCYyAstI3n7jVtn8goiqeq9Z4CmqhT+AAz+2bYXnJ9oZaMgE/kfhpZ/U/DzaTwRAg4Hy/b7
NymndBirRgIRSWlsNpVlcxCf4MJX9gRRvaOfGpUFJ9r+oGhPXQUWjUrdM6TfbmwLWYlNAu9mHzIo
2nQZWZo8AOYlrRVz11DN1gAzqC45dmsNs1yot849kdLk4CQZP+86T69miUO/Vo9fbNgchBwiZCuw
f13gdLH3UQahGyTkxxzR1co0GOrVpou4nqHDLgYgsbbDMdg7ekKJ0PN+GumTnGcbVW4LoIjBN30S
dpOOj5sEE4rwi4XBa13XOC9Aa5b/n2XDJXnV5OKC5DvD7n5aJmt/QTBvs2xEcxffQZ6lKcDxZScd
Mk9pLFfsgRxy0TeeaJvTzXa40eWIrnvsJVG/bjteejM9ovNaDwaP0eicAM63FTF3XSc/n0ebdm0G
aH6K9rJg3H2DHfFP82b90L1d79HGUl2gZoI/Kpx3630b2YxgiYvdlx6bMUiJclN4+pWw4+EqaoNi
HfhL8dn2Q2+DFjT7w55p/7r+wo/xHAvNC1ojKExvX4rAn7JgnEosIjlTtEq2052Z0e/3czrhVhPY
n8raKdaJFWcHItvFJrPZISeyt1mU+ZOTlc2mF1ilooXHlL2LiZLHAAh71Bdh9pfZXD2TdUeWtZ4/
0NowYcwwvE63cRgjk6z1NMChyZ7SlNwLmEabdtLt3KVO7ttmtDEDO5taBMd20FYS3GzQ/lhV/pu5
89qRHEmz9Kss9p4NKqMAdhZYd6eL8NA68oZISU2aURjF0+/H6NruqsiezOmbwQLdPVPIrIxID9Ls
F+d8p0rCH/yXpUdpmN/RMZeHOkBgU/isG399cvyLygKYAGxfXJEut7K3fop/etw0u7o6H9PmoFhS
vC8IKnJQdw62bkwAvIZLXxIYVxDfZRa4sUjI2sbZM8sDeXpfwyyr40G2obPltr4r1/NNeY9ujiA4
7uVbzUZ/l8zsInxyEQ+//u5/PvcC26Oi4L03aVM/9kjgTWSHCrY5EPF2sGL2i+tRUcyMI9+nUSUW
819/xZ+KZ59nivqUpgwyJxf7h6cKCH48twWdIKNtucGJtbJkuY7fdzHd+493YCmkOV9QciAaGdY1
oO5VsHGA5EatgsQlELPgNOLM+fV39/GifP/miD1yeN9W1dD663/6YWJ4ynOjqItDlqIj6Fu+B1J1
2QKwLivXT+Xf/nLrK45SybFoJn66dgopCCxoisMo1qcWDetsUFDBtQq39I6/64iDj1WwzxnHiYKi
EyEbuNEPz2raaraNbZYe0jQVl2EGozZ1W383ueGeVVOYbsaCiiRbddEOZegxI2TwaFlGfe02rv8y
ulV4m2vYUM5w05EwESmv9zbuqFU08o7umK50Z/zZ9SEcZw8PXJ1d1k6OglpXbDeXvt4TasgwXrfe
uru+I1Y0P+VDbe2bvAN9CIdilweBJBCYY25rNNm4cxORb00n1acpHvdMJFXUJso9VHjkL9ByGGxU
iptuNmHYIQc7+DZuXhdBOakJRr6L8yK5gedg7+HI6F1ZB8FuSPmF1Da+WKvazhrVcDdTqO2rMs53
fkqnFq/RIQUVHRPBlrE6hiwWv0XlXCBQFejAijDfeQA8IXO62cWQt3pEaYFfGFa+Q8ieCgjy4Xsw
ZJww333AE3yTpJm9M5gOnwPPWBj/LNYnAN3OgfRi8ZsXzflYqENapwgjY4eG2DPp1//6LENsbEOj
5JZHQREc3/sep0Q1Uncmm21qqdyuzBupVH2I5ehunWUm9kWuP8CmcHf4IECu5AN1vd/6+S4r068l
nK99gPQQm8XoMVLSbjQbBEPAmWMRXrf1niWCu12nEvvAWYzHuRndy3D94/Omv+lT+1H4qE3GyUNJ
IgYnGtqKFIW8C34zcPp4eSH744XiDaaO4aAxPzzqnJyWcFQRwBJbDi0GAUZEv3l7Px6e71/CR2Eo
QhOu4kf3Cl2YYBCQBAgGckmaK+NX3WrajBXO0PWO4rMBCPrrI+NjUcAX5ezEV8SEfT02PpxQiRF4
uZe2/l7B4YlYfmE1W0zF2g3/QOCw0jOIIT41rQnEqi+634y1rI+1vb+ijtH5UcAzT2Xi8tenaibi
D4xb44MAkAZ7+bzjp+0s74g4SkERnmTYBwdOu0fGDsWhdD399OuP4F0B9+fC6P17YERu08sg+g0+
tKC8Nq1vt4a3z73C2OlZdcfKBTqyFGa3bFqdhUCJzO7zZC7xNR+ke91MqE7r3g4ejMKH0KJ9UPyj
m+8Hwk1ezQ6Cba06qrtU7isiP+5HAh6JOvL56/Spf6mU6136clTPdoIqYYNdGrZw2N86fgJIVRvl
b4qvd+TyX/6OFLCMTPGVkWTicDd/+JyzHkoaV+h+4K26HJ122psysbahbvTF+18iJAHj1gRidtml
/AKLx3gbklC/Ky20Iwsl2M5hFrF10jg5hmCqdn6TG7zXZkf8DfZitBhHQ5NDMAQETWWJc1fYlRPJ
diWFguk5lsqDCiiWAJCNr9lqEyojAF4IOMm4g/sFhU+z7thrY19Je9m1a6IU8I990arueuLf3EtP
I7FIk3s4AgbekbEEGCPBEuUOh9BwIUb8UYsLgC5Rqb6yM79/NaD+/PqRcX662Pk4GcKjqfQZBePL
++vHKcMwzhb6JlBDLbOTwWjxLOtLAFoPFclMxMS4Flk9FnBWD6aVzcRrmwsZHAuyYzbE82LiYr9M
YhCvWV7r9AxRlMRoTDCsl8PlzJ/iXWrdDGyE3frIIGnAYpN6B1zSX5dchme6PHNr9kj2RN+5e2UD
f8av325B+zwDhxj2ejIeKwbSuwJq02/ODfen04rwFrpNxkYi4AW2PjxQOd5Ij3GK2FuayzvAo/DJ
nkaWYHzj2OKGwI6GJgDxPE7G3jEqwqUWlZ4tMESE0QEHydN4wIXWVE9Zsso7Ml67ghgliLoiN/b2
KHkwPfJhW8RxO7PlGYH+mm+tLIApZwYWBLLhMM2phZbAfRi18+oauJDn0H+I0+wbvc5A8Fs7nKve
8I8Joo2rpM6C2556MkpLeDChLmnH61TuqnHqDx6zgYPLym/PYpIHXfMlp7B0fjPD+VfPDpsLl6E3
Z99PRSG4wJQdJc8OmRM/cBsEt+u70uKp2o4WFsVfP6r+TzcXKEbhoFBjkou19KOYuRqYVZlDzwmL
nGqXs4d+RViWniXhm1tzqaa9Y8b5der16dkOWg68lvLLGvnQJ62o4IMx3rJNfNFhfDkm3lW8iG5v
ofKZvIs5yZudAv7K70Dyyu/dSmrCHdDJeNvmXB/2yNtM2f4DKNByZzeI+Sy1YKhuGhg9Du+ApCm8
zDvTi2A7JfsUSfzTCEr9noU/abZ2qu9kBg/btdFpFK7FiAt+YUSQOmwwgDcnNrJ3Pf6YY1jMnBzg
5Uj4qv3LFnfF1WhyLHeyKPbd+u2wMS3XQlw/iZlnq9Pca0aqAwAItp/vG9Wvue1Gfm2bDUnjhAp+
cmKf3HVytOvLNG0MoGAVY2edGHvijzmMfMuLUmZBVKC8EMtvXrR/8bTwkDCLWfXo6y3515Omg+FT
VAmq2ACjImcIn18rBZdTA0nJF7wQv35efv56bBVRpFNi0aiLj126VwD9MJZG7MuqogCRvA0rEOeE
5ig4potQv3kbrJ8LS9q29zwZGl6WeeH6Hf2pSQqQtyk7ScBso/qIshllKNkC3mVWsYiqFzM9k4Ob
RUnn7eHytce247jwCMiLGjAUW3+sWQWMfryd6JxJ7eOiMjU/arNxW0QJVn+Qir9K5jXtfdVxXIt6
vdzBR3PzZOWtqJvPxG1bIIMw9GYrYQHQ1mf0izCUPFSheZMZu4TZ5CNJNN1pgZ5e6rTYs2X4QYY9
aZaj+FH45Wc75Xs3zH7aA5Jazsy17Mga4FSGTftINiUnlcHJ/361yoJSq8UT+oqizIkg2i53FiJf
NCK8TSHAkkPKI3hu0tI8wyZe8b/rbVqBTEkkdUmRcc+AxVs25vquzjbnR1sN85d64XwrNM/5onjE
i7btjiiLuXsKjt2ukIoAgYLAwpo7s2z5hiSgPmjM3PWhkbIFmAm5+vuvljzvoLWMPWFndPMNypDd
YI9qC/BmBkjKn5Cndndys8LnZeG4yKyReqCfFj7EqTulvRlcWYoF/lDyj2GfBFDzeEPrlN9iJlQQ
dRwSrkUyxRbNd39ok669zixURHUfN9wL/DUNYeXX2liWndRWFw1z4x3wKOHjrTI+u1IEh3Lxnjzg
FxV6XWBdrn3i7dSXeGogk4y8NYmYgwPQXEqWjDL6/XUnMnzBDQEy3TC4Bci6h0dT8fmnQHNp2vlx
vL9d/22+z/ULfW1YhWQJst7//b/++MKrifIv/wCenQv4bvjezvffQUH1/y/pdv2d/9Vf/ANx8BtL
pwVPwPJWecl/Hqfyf9qh/vw1/Vz+j9v287fvXfpnJ+c//4A/rJz+GpBiM+53bEEez5rn9oeV0/ob
PiAXd6L1MQY4/Bv3qcfvtnFruqx3/uHktD2gCwQTszhHCMPy/N8KVaGx4Dj6cyWNBAJ9OY5RjGCB
YPjx1+OK0AM5Z1xKpzbLkhzMXFfc+J0Y4AnGQw/VdRrK/FiVtYQ1KFtSJQARD2rX+Kl9Yi6WR2Rz
tycQVcK7skwcMqB/Mv4XTUn2tmSSpNMEbFcbGVWbXCyNh9FFtLYZMc9zkutGiCojgGyWb3AVAF01
Vla3G27zhD6a1NUgwt/pP3cjR6rV+4RXBlJHQA1sZG6B+0Uuc1FEMS0I+9qm7ssdJKJg2S4kkd+F
1pBnx6lhRrG1J3O2j2rKW6yEi0Z5rDFa3Dq2AhzoSon1YxZWclUDrrijzoMmWSgNZsDKRym2ylCw
tZ2gMn+kmdmAk0YDBigJFu59ncYufrS4Sl4V/i00JYAVvzqe0d/KnEgPFJf1sA1ySUap07r6M6S1
6SQCkPWYSbzsDd1Hd2xjKH4oYU2TPYHX7sbK9k6WBX7HqalZAYXVtrdxMCs89p49v7I+CvoNWJy4
Z4PcZEeSpWkXnKUtmDrNeSUi2fnOlV1Z49U4wVdwKrLJ1eJmy7UDBN96sLmjCMR0Z5XsifBzwhfd
1+o0K0KdozIErkT6QmKrwzxZJH9syqRvs5PqOmHeBOvnAp9xgXu4z/FBBI8d9pC1HmG7G2PPfGX3
iZdy1uuHlZ6GPiW6ngiXiD/GPTuhq45BEVTzjYWJCCian2rrJvEDNs+GT2psPuZqZ8WQtt3BnOB6
mj/yWc1RXSCjGjnnSJtmOswMyd60yrLx6nTkCszxcs3VnG4qB3DQvLj9PiusGfUgAnWQXt6IBjcc
/AcGq6dRGhbORiMmVLUcqsjN4wdKK/z9pX6xJfkphccWlOcDQZ/4ZlXVqdbtaZyS+gACET5vF4KG
o56IHAZ4V4nt1Bcej8195Ujj5E262EIh4KNTKjhgNlqt0JJIBsQGpIRsvQCb5BIHVzQoBN+5hLXV
ulKXZUoGt2266TdXd+UhcOvqJetFfa2dQhwHvZqowgbff5hCqtVdclMAfoSTOzT3PkSxa/ao7OcL
ASiYDdsqKDPjp6ScHgBfkm3XF8lpHkZACb7fXkgvXfkGTbzzJ8fYuE2Oazt3HlRjAdGsE8y4xA7s
vbh0I7cewSCiLtromFGC1Q9Xiv2wQsfOpCWfxfBYpvJWyxZliwmRdsBfQvWc9jdxWnZUKXNPrYKi
S1Q50iqba6zdwqy/p0stEXEaD3Utvw9Ddlugr9iIGHtK2fc9xIPOv4HClbwmgYFQj19ht13Ur0xz
JYeR8+hqnv+ZQDJRxd9KKz1YQx3ectOa39s840lv5Fl6/sBQ0yOiIyTjuCV4xK/788ACdatGg5+8
dKqtURWLgTA4AfE09MgbBE5uh5hvJ6P5ICemu8xT4JV1V5VbGv1pO/o+WtxZLK8G3/c+z+OFvswl
M8nJx6sgLVCEQz18QF/84AFRuygFUCnkp5rusPWjwJ3cqIDyd9eCj4osv0w2rIKXa3RLg0tU8CSO
qRUDeGBQO+y8HKLM1nUBd4KyBbtmxvb8DMEZLBRsy+swLGTkFX4RhakQX3vV/pCKpCJzCNTF5MXO
PoVyF9HUA60odHUrALbjuOvsiwll6JdG1vUeRhwsioSU7Vu3h9NaaiJceRI4CXukPJGYVfAyhtAU
ZaGRIv/pVr39+y30Z9gONKGPtxMQhFXRYbIDXtuGD3PKpmlVmqdmegrsTve72BorD0JwM990eEye
xgZ6mYSezFzZUUu1qUmre4SaNzM9Ka1vQ6LC/JIpq2VFRS/QMBAcYGKO4qePeB8E92Y0R8JwUz+m
gWbBSzRAHVjpSQxVMN5M+PeJvC2W8bnznOJ+xoUEDqwIPS3OMluCq2UZiltI6hxRSsYdUnvHIU7a
7rsv6KLXwiz1XopublDIFjOSPh+/8obMvADfh49NISQN4TSO/nwYON/PoGimPSxhkoAcPR3ZvIcX
QE3GTWBT2zklDjLGC/0zGYdy55EXjAWeQTqlLJTAnjqEJbTIEXVzb/VBwyQeKePWG0kuPQZeazTI
iSza0QMiVgITSY/Rx9acRXXpg+SNQrIXNmzcjO8ovOaLriOhpEyaFTJK7NR9UXgSHm4vbqq5c247
J00ecHxHi9PSP2RkzFr1slpkc6sh56IS2wCN+Q0SWfFSG9LZaScAH1oqluN93W0Sk4WpNNN+7yTB
QyqCetvhEM3nM8D2z00POTnFoWAzk7+W8Fw1XTTM5svGor8RDDp3bKS6+9Qs8I01fHDUG9t6WGEp
TNaNY20O2WfKdTTcBL0DE9IXvVHf22sWThpXKeJvx7vVWXr0Gc6euFYKZlBe+dzCTI83HTPy0+IP
9B6z7HQkAVhvsBLUr5BTu51pyy8Qp8S2bV38SgsWXItn80b5ynrIEvHVR6pw36S8eahYiADqRZfs
jSDtjG1Aw7acgsFyk4taA5v5Vs6ufGUezIwsKPyQcEvYytdykdrmUBZiIoBtstZcAlN+noHlvPUx
XdaDiAFs8v35aoZTmqg3y0nS60D2znWW1t6XMY/91eLDNiERjvGFVg9uW+VpCDJWLw6hQd6vn/oY
Nqvce3Aco//qoL7YFHZYPdj1NKSRz4L2IMqAwBA1iCsfSuLV0AwhvCG2YZ9EFST3ptu7V5ClqAjU
yD0PgXznueAlPc8IHhWTjo2bOd5nqtrC5zqZEus4mqq8yEZlYJ/DVWMCkDSK+7FW47hlzeVkkdkW
2YrJX7VxLgVHF3HYSbUvwEvuEk4slJPtMqgte9PkGlRQyMdp51z74DEjNsgKPHlevazz5O9D4w1H
Sq+e6HeHEDlHKhKO8MtUvAhDfZRzuHD6BZjtInhI9bMn8GwUc+FcN26l75M8DF+Hjs45q1zmJW2c
3BN1QcnjmG39wLdRPFoLfNlAZVxNi1uSABOMQIqUKzCIB51/mRalrrdtqEQEFKOL7NZ+m3FKXTB4
wT1BalT+VvaZ/0oq1g8tB8OEZab10TLrvT1nXF2jyEFBF/P0CW1WS2zRhCyKhNeg+oy3VT8QmOa+
xpNPNCKg2FiS3WMH2SbDwHZkMuR8Wgp8xFxKxpvXZ/l9ZsXhZ9mp6dFy19EVQ/eCEb4N7JgqnEDk
3NRlxAwawCcw02GfOYv3dSA27CiNoWd+xbx8isRQDNyrDUPjrTv18yczaI1rFHZ4Aes4d8KNXcfF
2XBzdeUO/rgzF1t/M6sW34HZd8ELHTuxWXloG865KeyETsM2k1d7GGdC5eWUVVtptGxGey6LN+ZH
1YMYg+I0xljP3ATNIj4clyGYG9eAKUIqMcCNYQdXuwL0AsR+KgGQKZjZYhrtT71PWsFxcsf0C0FX
NM0VOUZXMl/6jYJeiLWo8LvlHFBjm5YskvM8cbzsUZ3432hnrcs484aLNLfb4sBeannGNmbLyOoJ
shfJZDxBDk5vgRIHX5rJ6h9w9DFkXB9JmqdiKnkIEl7CimQmXnnFMwLJufYuMcyQKYtXmf5nqgjE
6fukKjeMrZNbrAOwnczMuJnzicPeN1MkcxMQ2x/94EIi7iobknHXmeJ6CTOGeCw19ZXC6Pa2pI7z
hTHjjEcvt9X3uQedbikvLrYNi+bXemJyvS/QqMJbcd0fdqY14FTMglHVZxjtFbjRKCbJXm/avFDP
FmrHcWvUU0VKB7DUDZfoGIVFMKdUB93Eri9d+nPX5uENw8rwns+nvh57i6rT69q3So1WFMROTUw6
xYvckjwj30hU6NUGYubQbslVEJGVjNOpdY3xQHxeDihcMD7Z5ohVkk0up+YG03d2A6wzOSrD6YIN
iTPOsa2BlW+h4WtsyXnR29s0c5kL1W0fPmMaA1wrGv/JIsv2C30MNNh8ylx3o2DDzTwKWXvdztPM
oK3HgzW346ttmg/a6NUjKSMqiwa0PzeQHczmVhdTetSLLT5j/fX5pbnsr7PEnk6KSJAI6TcoTuV0
P6bEDKqdMTbBQ2Pi2lrcPHmex5KbqNB+eqraKkVF6wfpOcGcVuwphI2rpEHXvB/gGZ9SJkysDJz0
qdWefTHXTt9eFHAocrKQDdJPkjYYr+swbW/8AFtDCTMPZkE1bXACdCff08EbWJ3poaXcmnbE2sQn
WiUv2VuTQ8ok9Wa7h8xX7ZaBpxPv40z8iwK4zQvE5GS7BHo+mGp0Puu5bk8QCZpr0yqmzRiS+rdx
W3cM6SclFVjKcBKksDKmW6MdYYyXYvwKf7b/lsjSQLKVB1WL8VCvFSvnxGfaWY15qe79LZp+tdO1
QWTOJEafsiifn5MxL8lrWowwwwopc3ppmcL6qHRB+at4sedtohcHNnqgTvky9I+uKHMLJgQMf9RO
Tp0cEtz8EMRddRUYZHOxxFv948P0KhtCTm4qo/J4htv13JSZOTs7znMHbAMrq1vJdkxHmk44O0zK
nakv/GaBe0FVhBDGbiLU2/CczTJcNlL1ydelXZxzFwSFGWEzWTAZVkmR7Co2j2d0V4pklTGe54uR
eJPkBPSmTSO8o/MnGVK2mWRNPk0qVN9FMQYn0wjrFyGK9DkkvnDeaNscD6NpWKfGYqDqedNwmmvQ
rAuuyx+kWJI3EyObxPxa1eW0VV2gd7MVd0gNhXHgSiLoopjp40yascr2afMThikIxHzx1UUrv/r6
pHhcoLhHtU0TmYTehY+uYU9QnxOBBFkeNEj265LpzM42imYTxkQEbLMpb+47L4y/NotELy9a9VCa
pMCQT0qW6tD0Bv1i72T3C0MpFuVp+eKGhr4uC3d6bKRfowdbsEHxWZvED6GwC2sZX3WlKS40L/zj
3FP6t0Y5HxN/gjBFhOePJvDrG2G34pHHnko4dy8sptqnyYp7cOHaPRN+t5z9xUJBSnjGCXU+HIbe
IVKXoIPOFw/U5O0dsm11BrSA/mdwmiMxc96byU/uS+xAOaQHEnudue0uXqziUg51dtsR4MiYisQ6
CCLJZrSZM3SxnfwI3PQpRvR3dAXpeG3poLILx21DnxnNjmgvYRG8hRo+iSq68RDCVF5DInHtw5zf
MDZ/CTmwGC/L8SS67KvlsxlgWgFsrc3lBs079YA9XNhpnB29pC/PcZDbO7aA5IJZU/kJNXB9tbiq
JD+XFoHboTsiYOmP7HD9ndEH+Z6/T7f3Mxc8J7ythsvz123cT6oIU7iI1FnHu5YL5s77sFw1OH7r
kYPkZOvMpuxcq7SAIAc4yrU7bgWP0LxFiWBt5OCA4ZkH/wRYLv6t4+2nRTc6cw951zpb5f84wQdv
SjvEGEotfzrNICRz3fVfGI2PsIG0G3Y3QVBb3m1hYpePAKGM93oGlr8SJ3rWs5r3O3X18zjZgjnZ
bLfJvsoJEQU6IEDYewJF8M7tDPGicOHeslTnk/ec8jVQ0LKd94FcNWpSTOuprrc2XeML4w8DHEjv
PNh6NL62KVEseIGTJ990Bh/WSZK99pmzmuE0mVtmxlAA4MILSYA8KFk63anGy6G4YP2J5sUszqAH
2p0zNw6FhJPcjNhutz1ypXvfr+Yz2mLnaigTrkO4uXtnKl9tpzHvwKVf+KMFP34dWvrr+FK+TzJx
hnBCGui904iRq7iX72PP5H0EitjL/CHfB6O2q/xvUKKC20kU7f2SLNYLQkKlNgoQDeOvtWCfejHA
F0uC7JixQHmC08NzWr5X99Z7pR++V/2wrukAMl3MX0XdcnayAbvJ3/sE8sicY4w1ABS6Cm2kZGs7
wTTJ+4yEoQQZHgYnI7afWJAMJzm1Cap4JqHFMouNkRNIg16BngUtAu1LsHYy1drTYLLnH9c+J06n
Po0CwlUe8maG3WGNdERrbxSsXRJA3mzXykocbNUyo1wnoltOE+MLpGuarGntt/K18wrXHsxeu7HZ
YLytoFTMW2Y5tGsyTO3lwRNd8SbsUn4WxKEMuxoe0fSCLYgPSTSluO4X+svD6HrMwhmkkwcVS6/+
ZqTekEWpGJIfvYNt6fbX76v9ky2DcQvEQuyBNvsJi8D3vy4FhhWhDrNiOGXUWlfSmBLgNZnada1T
nOrKDE4qaKuR+Momjqa2uSGVNiZQtMGzangjDtg+UUzTFiPZMQEABV9XxXhP19PUO5c56Ssra0lQ
TuaoB3cE8yDt3GUGmI24cqcbhIY3I15pUAKjpS8tDHU9C4Up/oru09kDlvROHnELd5DWJkb6ZAY6
nvUgnRQpY3wLog5zdpwgyHDivWUmD7zjDlFjyxWNGfZswzU1J54pDMxOy8CVTWDHMc2UgLnhUaBy
d5hHLf3y1vNy8xbPBlq+xhXJI9Kz+pCA3YmSaTCSTeM0I7M3mFjXHC7qNoAgTz5FwLRKMFuGswwi
UkdiKouLRZkVkGILogMNuKy/+UOHbKMIBgpJ0d/aoe6el4TIj8bJ9aotKnch7tQKr7Yfv6VsFd4m
MVf1dqyadh/3RUqWLZBnbl3XZ2eR9/vcn9e8BMEr53qoEGfRwjaYq1x/q+Iw5PoaSCulE66z3dSF
8yr0RGS48QcdHj2zje9iHaZfKrg/6C6TLIrj2rifmIwwKcigFWdCX5Q5ygjbzKxrRosLTyVFZ5mH
0xmRrPEphAUX8cf17IeD+r7ISHFmzivVkznHvAHYTDd67JmZsclJ994wcKUtglBonGZv2rayR4O8
lWeVI37Ef2um20YrjqaJKPqlI/wNFKRzFpxSW9f3+6hh14AbBICJn1r5U212GGLgR6N6x17qXmSO
6ZY0MV58iUXKPHjENPBeh7lzKavmIQxH8DYlAwrv/SZC3OXeeUabXI3LVFaMd8wh3uRYZoPbulhZ
2HJdIlnv+ySrn4aFcMx1z2SuK6eWqe7CTnvdRMVdyVYqzOYcwFJtf7Het1Yh+yv7fZPVIXXZs4D2
n8v3TVdtG4YgRHZcEQ6c3vWO002+JUz3sqODbCm5xphsmaQ7qOmbO4xTS/dtB4pCgG1bvi60N7Kd
+F86A8e7glrXnlrS7aJxFNYJVRXhZlq5NNdDuDBqgk1V5Mc88Dr23wwwxK7NrObsDA71hHqf6U7r
eLcQ1qsKJNLePnkEFPaatesLYudshvzsgkQMFPw69PfSaob1uwbzwqb0PKWsiDqjEUdZzN3nXx9U
4uN0GARggDHJdSHiIlxbd5t/klqYTOYLRqL+KUyAR4Q3qmgvpb57/yL/1o77KvvaNl3zo3/fUP9j
Y/2+hf7nPz02Ff/5+Fv+P91xI31mqfyf77gf20wOLT+QfwYDrJvtv/9rf2y27b+R80wlxWp79dH7
/Hz+sdlG8YuCHkmIt+62uUD+gBTb7t+E8DwqMP6VAGIkv9Q1rP7+43/a9t9g3aPVoTCzVyrqv5UM
wNP/8fFgPc7hSt3p0S+G5vrrf3o8ZF0Yxuxaw9GNXXIlmQFsjDE4VpppCiSxV0rsNacmLbfcw/Nh
afrvJKy/ILB/rfzSvI8VOwGhxm89czc4UdUQ9ZNHMJthGXhhVf1QSLM7r1yKTRPM9W5BzYFKJb9D
/MtGArzcsV4Bb0kir0EgIXvO5hRun3glh11x8M33jWt+r2R5y3oSlEjCyIJgVxcwj/GNKQZLSNyy
ojHUJ5qCBA8POwFQu+yCIcbyVRP9KevKIwqnS5QvmrnLCASp8hJCqGPiumwsmyag/Q0JgjVJ4r5z
7gHZX0hDepdpTXrRRvputVqB5uc4TB7NrPg84i4q4PuV+EpmbLto/8irmyD8o1fapsMMrdh2h3sw
h+QKF+6l9KzpZBdi2C/x3BBFEHIlKYvJCdfKPI0Qoq3hhzWE192ceJHVOv4dzYK5DWUapaorDnOH
VYrJWH3l58S0GFMXf3GQ+xw9DBgXXAZyh2LSpm8iKKSAaXMBONf70nvzp3YiNt2pFrUyO7q1weH/
qx35ZfBC4yr2tHnifCeIi+txt5TCJYGzHfYkIH/PrZ4MOAKtblozx+ORoPcccovO0SRJibxP9nEp
iKgxVO2Fqib7PuiWb1KCbGtwglCiDMWr08yvbiBT4DgzTV+Yw4fszEtXFUMkGzdFf2QUsOvLH+QX
FUe/CT+FPdgrT/PbcT/N6X60uMR0ZV40PgwEfhdkK6QW58wvH5nhPfp9l5OmRxxLlUzZI1Hs3a7w
8eV1yGzxQyXlPddpsLWYhCDzDh0CZtKOlFD3yXdgWPiJIa6GXL3wvIbfJ7PuI5NwrOvFbtpd1adV
pGX3GBsxdIIp8poJlM7SkSyM61GbOjx0NR0Iyt23sp7MY95395aQEys1X24Iau/2RLv0z2aioWt6
AW1T+Ag36bZ2KJDoDcm5StEvdLpiChxqqM7T1CUxTlVK6EOF1fVUxxlTUEBY8tb1JqaowjB2aVuU
NyH8SUqvZDxVmSX37EfaG7aU+oIs7QwdLOaFMk05zsLusPSSVJscaFdQtlQIdZPfd7kbHGzJJInI
gGcr6aYHNlPJxYg8kX1NwqrC9QBt5fahyHT1XOZQ/PlR6WgUs+5ZD/SMbQYjfmN5rKO4sNVl1ndI
WebRY4jBqt/ZWChadkPcfm9kSxYH6CyojUt4TaTsdJewxNtJQh8iLmZn23feBWRm54ZiC1NqLJiG
hmN2N1plyh6HYtDMF/TRpLl+7eeQ7Dh2697oN8fAzHuisxbrLi56iHIGuYUzVfceGiXToi72t9pL
yFrvR5oZT9Jm2amoKX1KKryZOLpdOBrDy9yF3hNBO/5RkQj5AoMBxZiJXlRoBomMSdMTFvn5rHyR
PQH7U5esAOkCU7HY9+ViGdcswRZACmX+QlnzYqZtv2+8mU1Dwhalm25lr+3vzLH1ilMhAzjrkPih
QMbNNhHgHaQGdthOfsnEMH7XTlfd+NIZ2XR647HvgxKvBJIbwy+LvbUkL4Fbymtgs2dwCGzDWAEk
8DfhGpnbik0Oa3VFllMMmYHZaL6rpiJGWpf6Z7es8ttxieVlbPX5DWWftW3M4XLwMo0Yo1cvrAiH
jY1R9Zqx57BNZ4BjQwYcolrjT3W+5E865Nsox3m5j9PlbhJ19X/ZO5PluJF0S79L7yFzzMCiewHE
yIjgTIrUBkZJlDvmeXz6+0GZeVOpzKxbueu2LrPalCkpBUnA/R/O+c7GYFKwKecxPjKGvOMe0sBH
RFD1hC0/N1CnDnpG9tNUC3ajpBGXRtHdlKln4wVayF4tPLo9Iz4TtAJ3SlrlnZ0wXstjq2c77Wpw
tV0jgCQSoTPXZ3pWCPdHPAL9hsmZvfmeDM1urAEzxPgUlp4L2xp61uCanMKx/Q6prNj4TqaHCNDu
8sb5Ehse3v8E5i6zDkwaokKdOSQj6v52IQMs4niJsDaVRfSME55bcf0MaOJZHMaAOcvONz56A28z
IXLOFuCDf4EHhhDFGGxrjb+Q42cNsm8SJMj0H43K+2a3ySUfe05fqKOjYtxveDcDhg5ST1JTw8ym
RtaxCnW/l6La0JJ7d9Kriyuc5LkCVbGtDZjw/qKeyfXa29qYbRzuhIIezn/FHw3wwK++lhMPlNNm
j0PNMCAhbXdTZOJ6GZZL7tN0c9slT1BijSNeRT9s1t+0l87RzhykEXg5R0/HCrYwFshQ5afBNSJ+
qGQfbjPDZf2JnJPBAks6+Lm3mB+biycktlUs5zHjrnCOBi8sWTzS7bbIrBeCfq3ENQ/tkDaPyMC7
zdIChXAQrxzMqXwTGqcQjKVNZERbp7M/z4VxGC37a94XZCJ0eoFx2P7F5vGPKtm/rlF/lGH+n3+v
2N2/l9dv+Xv7/0q5a7pMHf++3N28fW3efgnpeJNEdBzehvcs/lP1+/1v+aX6dc0PhP56gkGiazmr
C+m36teljtUt1N9UxAjPjdWB9Vv1KyiZAYRQntm6TVn6e/ErPgiKaaakAmeigfz6nyR0/CR7RzwK
mNwF5sKBxgcRP805EyKwJjPKou2IfCJJpr1jqZ3eGhDMrf0PP6e/EOn8HAbC905xvUrYV/OQz//9
Y5ktc62CKtRGwNXLHZS2+zmvD23q7gpk94tfv+bCDrvxo2/uNHe5kfkiQmW+MIMMjHg6TYRAc4kc
/odP9VNv+MunMo21P+TjfRf0/lj8R1VMfmteR9tKzQTf1cfMGWGbGu5OZ3K6sBx3tTx0CP3xAIyy
69rMkQXwVxLGQEqfUd396w/ENvCP7cj6iTzDJJWWURRxZT8bInPlVhpgZdLel17tmXcdUehb9wjp
optJIX6obC27qbKhb/CiLJAqAAB1i021nQ7WqrD9pDWFfcfpkNGge9HJsrh/3GJXQY3lThk/udOX
jD5kYFrmlMXFGYifGtE2DGQ32sBf1oRPsjZaEaLtD1oAknW5bGokLDiAL6LWNqzVdpVVbJKMaTO7
/l7FV452Pxrl/ULcq8Gax6qBF3gzzoAeJgT4aWFcSYeZUk1yvWMcWDYFdfOCCu+oqTpchs9acUJz
x0BqNK8qyjXDOqT+89APH4c+hRY/A9GoJvdodc8kFUCcRWcylHsTDnveZkx65d3CFMdNrjNuH0x8
oWfPoAujK1uBaidjyY+y82zjVhuKK9N0d1NrHhzUwzgKul2dePNOYwOJ/21jOLQXClGi1VwG5eww
PUyIETyLfzMbqdiJN6tLpD8fHc+/QkMbugVr8sxG8Y+8IR52LFkwrpSHph1DmbX8ePhnfDIv6/G+
bGw0xwyLNPPQd04eLOOArQXwTtJs9BrA7w1R5+cCjUEce+GIuE4I/6qyeDMHbysShIfxQ0pYl9Zc
o+nZsQV6GyjhLetzPZWf2vYLEjcE1TXaaP+mxTPnz7dxUxw8AN+55+7Y9YYyavtronGqh7iLPkk3
1y4IfK2NixFcqxJu3AURVyh5tIwu8m/REZVfpFlHcVBV/NCYzSYKCUj23rJPvDMWWb75ZkzdZdrr
S0MuG6IRdXRH68HVe+PJSY3hiEK7fyWOD5qW6cs9mjaUCGi65XNepQWwfTMKEPNSzEKFRrUQobF7
4Bbud7rTupuOYGaUIiNScT6FM73ZzZwdCjvvaT3qQV7UUMVnBlM3dtM6d80yuPedkde77+/pfy7J
x7l6/9//6+1rHhebmFon/tL9dL3x+K8Ls7+/JK+5Gtfkqr/+ul+HQvYHg/0XtmFmRaSdOAzlfh0K
md/HRSt+jWeP/dUP16LD5AcvhOevUBooTOg8fxsK2R90LjNKPW5bm7/S/Sf3ItGJfzyFPQ5h02QN
xaQJd7Rr/DQUAmluiIFV3HGOTZTk7pt0CcqLYbJeK2uOznHW2wDr8qeySp2NDV95X4spe5ss270k
HklWU+vtExsyDztZWly6cqvwniTwh03W+ExU+hViMkPKHVNruBsYCAejYaLnr/rsoVUQGRK/aQ6e
sl5ZQYZG61zmlhPBs1nqAIAFsRbd9TA1HDSuW0EmHgqW6GlSkbdD9pEFbm6fc9Li39yYePUh9bdt
iTOA4PvlkuULt8bY5UGGEw0lJrZEzRt3YztUnELebrE8RM1I3c1NnVMdTLq7onI1lr/jXa0sRi7+
V+7JYKxyIltZfLbGPea1U9lUMkQiG8KX/Wbr8XSlqSjBYJl6y95QzUPMz/amjHOqgEWr9syFnyZS
zh1tPPc2P0y/q8xzMvMtx2Z6bRXQHzVkckVVX0y7b0NPlPk+nkjuNublOnpuOXOCtiaFgICsK0tX
GYu0DlHevEGGuM3QRNe5VYe6V3zrLEzavoMb09Q3k+dABE4ea18eVUXH2LiIEYHbBnA/2AcuyUGb
+zvNsAd8eO301MeLfTTdfFv1xrQhSxk5BzLWya3lIS+lesBFeK/MgXg+ejHZWtlummYPakNu3dhs
4oOMXQ0x8LgE8GESq9Rh88LHZR8NlLePZl7em2ltKeZwVr9JcjU/iCxakO21XbXHoClvJueCYPYJ
CDa8ysQpbsdG00JoexcprBuVTBvUtx9lNrNpqdii9FRyydicZdMeNdD0gj55lKCdkVzO9hzzq2qv
m6b7lhYPLGArWkPfPNhulYUzkzuE31vi2UOBhyyofVMLo4lok8qor+dBnEnRpmiAJuR5HjbS+Ti1
4inKnw2EeKR44H+enPXfTo610IImq8QTBPQ45O62sRog2d0Vqmi5kkZ9X6O5Lmz9zULPdVp0/xu7
oouZLoEl8is3qm/NzkMfnWyQ/d03i9JfBwRhAsxivLWIK3rwHUAiEZkBgTG7NtO+RrtBzmbfIiXD
3OEj9C/wDLOyrvsT2P64C9vZdm6z2qyuSOyeT4nVeNwotcJRWcgTFG3vWOhNfySsKvuYmGCU0Sq3
8VkZShxVIpvD7DbysXVZW/Ootke25PMraz54h/VY3iqH3GvXLbJP9JHE0uOpgduYpoxdCueknNI/
4b9zuNvGcdfpOqI6bZku+WDlj0sXT49gzPurBHnkU04BtKsH9ARBU/nNW8dMaVPragDh7dsXeNfV
mepgvMPMYF7b+tJfdXC9X/Uk65ntoXsG3O6cMGGkx0b59s3SlOrdtCZuzpb0rq+4LBnxliwtLyw7
40tS+ePZjrLulEWezkRkGMSt503ifjSH+hr6u37O01I9MXvwL7WPTIVHxT2b2ijO1Apdy5IJ+yfg
Z3evZ0Z2TX8gN6rDw5dkShT/QzFvfh/V/+5SY1EA5IsFA7cAqbQ+fcYfe4yUSWNptgsSKSmz68pq
yuGYtEN7Xa/qwT6CvFnp4xjMBgppfUyXzYjUla0rMhur65+codV2mTmz/HKT1bzQ6iVg5VjsyFVp
Q0SUEjl1D2gOPpx96xQiOXUivyYNF+ZB7S+3zLjp6SMvu8yEBGA3Uk82sjK0br59AI6Xhwz/7UDN
9mPTKBX0/ZjfOL0E/zLOffRYjaOhkWY3o6Vv3aUuNqrgLw4YfjC7c9CiYg6GIRC2cTRMe5ETgkH+
q1W+Ioyu4w0VULm1F714gjLuvQILvCLPlZwPA3q0q4FY74pwNp1NVcyY1TqXKkBk+EpzovZMaR3m
HC9N35v31dSdVdU8RKT3YG8XHTsQG/NTPOH1imLCewg8NeGBh+6YzKGu8lO7WMMpasqzG/P6x/GM
AAop+1jE0Mf6hlqccXpQj478ogZ7RII9WjsNrSL0TVKGS/afnDF6tnNVmtxXiyM3VS/z634Z3dU2
x6O0MOQOFmLFzpjtCNntk/YMes+/9LZQT0pI4yxjp75OaX3vS90RtyoFchOCaepO/K6nM+LF+DIK
1FKMZHjemTe1X11ZDFZAW6/egTMU4dRE065Z35R5fWe89e0x1veoX9+orPVQ9EaTeZ0ia72r6rg+
W6LgflbtgFqJqxIAXgvYIkfaSNGPlHZ9g/31XRbrWx25afGItXe64AWVx2owRyZUnAP4tf3TvIzO
qbLKNBzqYn0Oau8BzVr2KV5Pk2U9V5b1hLHWs8ZeT51uPX+W9SSK1zPJ1ypxTD0dbpR0OLImvP8f
G2/pj0lKDnDVjfKUdb0Kh87x3pLMmE9VpLEtQSRzq3Ji31YqXn+iAHG+MIRW+wlP+I7K2rnlv9Zu
+lo6oV7COopjGDvhzLanAEPbkDDTLj4VSsrEod15fooWE750MiKkAEq3IQ3JyUNdms0Mb0blw3Xh
Jl4o7NrGus20d9kY/mT7B1xHmJ8KBmLVR5aUDX2ZnVYd3BAz7Q6lbAZ5NmgbmJq2qOyCvvOGHmNb
QVRKU8dQzYTUQJF4Ss1y489TLYmOsRfua8QIAqfKOliriqTce3Vn3pjaYFw8Odl3k+bqu8w3222D
Hf6+XRo7xS4Z5WJPvlKWbbVGR9gQsYLC9FOxgoKZQW/oI8kJGndR2rbPMyogxsJ9Frocmy9LBps8
pDnXOVvmJPF5xPRaPzdmZ9ynbNtrwmPu3GjGkZok41a0c4U/qDi00GxRa3RP3XB2FnBIMhIX1/Or
i0VIB42ZFqFqNFEGN3EUEjmBCiRCjkQG1rTJy2oMTMtlcTcknzDfj7s5Gb/ohVmHXmNiVZyN20jU
4zWBVkaI2vpz7H7GJuZfzQbrK8edDcYEXANmCWmdrOK9q8o7ZhH3Scm2Ysq8Wz2CbqZy1yF6HA1W
X1vuqXMm54DWB65hbF6RQnaPIYA7L9bNs8b9vxVL9SVrS239HSHPnivigtR4y3X+tOhV/M1Gbn9s
+2UIxqxcTigDmU9g43rWPTFvEr2ev/kl1t8QkH9lhm3TiQSsTEzm93/6vO8u+X+vz4O78fd93uVd
Ym5/m9/+otHjC/97++/a9GoO7nU6uu9U2F8aPc//wJQLOhNFlPvrn/w2/3Q+MJjEcg62mABrx/9h
AGp/ACvIqciunmXGSnb5zeX/6xQSQMDfp4SaPxN9uCrW4R8Zyp7FX2Yxnv1xAMg6o8Nf7TqHxm8s
eTDqFB0U1LWpYfkfq69TmmVXPM9TdWRi1z9Y+uzJrTPqybLDYmc+1QldYtE5hEJVToqNII812DH2
2E31PteU+eS3uKujcRTIxjX0W6ZdsAxwQf31JNFZiX9oy9KD5Th7dXUWWonuFKBkaNtSSZwPSGla
mzBcWH9ZF/a9rj1iWK9PXu/2L6D3MqLdPH+riywN68K7F9AJsdCJa8J2hwB/Zw3tsx2aLzWeKKSI
7NFqjj8pzyIhX4baRF/OtmorAsQsahLIChCBliw/uH2T39RGbBwi2yM8yl7MwwzH9YCMc4UrzhN2
7Gx27kZl+o9eCWB01NPxUhHZFyZzPgSmbwo0yHlFK+kjZlUOayDGpoQ5e2N/H5VT5QZ1W97r3FlM
uqp4JkmN0bc4G5xA7F+Lcbirhwy3hSzY757ruEvGfeQNA+jnMZOo2op6kptWj1avl8bSLMDL1TGB
02fkStmAF/Bugew83zTSc4o7HY8ifl1RR80hTbQmovvz9OXYiw6FYDSMPhLnJNKHbd+j1t2ZxLG+
EPVV23dYETqDXSPtDutkMBu0T0Y6B+bSDv0uctph73ZCfRVlJd0wr3J/XzS9/myD922gqUi5Ihq/
+Wjgem2sb43CM85lM1eUUkIjmtMbXpCWTwEu7FsIQU7AzdLh7ZlyWqFm3ORzHd9ReVGRCqJsSlCL
UI9tFP6tVbRfzXxwD6WhqXgfD0usb7JS1BvsmN4jdzC2xNllAbvJ4857INpnPpNoCGMItd46DMoe
OrK8NszlkIGznN6DJiqvhMsmE8Ks3IrYu6KMWxXE+vIY4Y7ZDXVpXyF+ZOubaHvsP+JGen2Ylm37
MFskdimmdjea1CNSVkaZo0Cj3bCyhlinslRuHtRIPuW+ZGV3Zq7jYVhmBjKzij43taVjIU+s+JGn
tT+VzIpgWBosVOFdxclxlulYkXLZbxhAOEFWyf4ohzG98b1oeO343UaBLCO9DTHZoG6Zx2kCHquN
KDmbVdKfu89THOd39VzuS2wj29oXyzMiyPirbWiETHtu9ZD3suXa6xN+7sm8dxLMk66PGCHTlv5S
dfN72fdVHlSzkW+9KeoOJJIkOwd4TPqCtNN5GMsZa7uuUvdTNeP72orcsY6rmYP5wNSjv2HH6mhG
v7WHut+Juqn3uPHHsJlsJKC6yV55SnBxNzI7ZL52JRApcsLk08WxRf8SiZZ1bSuzW+mb9VVbJcVV
PSv/Zh3WvlnjQNDyf67Ff/9aXEMj/v5aDBWzz5jtoPrzvbh+5a97QecDEcgMHolCBzzlrNq3X+5F
1/mAFI7FEKHs0NJWudyv16IpPrjkqUKC4cpatXS/zz/5I8dzuUkdtuK0NSAtf7oG/9W1qK+33u+N
9DqUpZUWK5NzvR/JvfnpVlSOm4t8fdrHpn7KwWS+1C7QE8/gvkQS20yvGPs/R6nevFNIFp/GFanh
DEr1W6sdy607lM3WpTF7afShvBrySm50L86+2pnsP/7nYfwHDyO/m79/GDdv+VvxfWGNRe4vnke+
+Nfncd1Gk0WzIvpYQf5Qp7niA/XZDytsnrrf6jQeSJPpOFkgBDCQ48Jf99tAnhU2FmCeVfa+AAVg
MvyDB9JfNbo/PpAwSk0LkSj/w2lg/0mk2WiQygvdIpUj/ta7zrXb2PvK8R+TiLtTJGBoZmbqA+I0
HJWEeDuvdMP73v+kRlaKuiZPqHKe097Zg+rf6aT5JmfY9FfdaINLy2irhguRXs+1gfeqk7tqsffJ
0qCwC0vFYi2rTnoTOr23A6ewTYhZyZLmgGHqmDrmndPY17Zj7sfaurMiHdBzsOb2TFLt5soH9l4/
eFr1sEwkRVH7WaoMUxgSWfd5yR5mCQ8lxzk/OTvXGi9u5WE5y896ZV0X1vRcmcCAu+KWs35bzfM+
yx2SGzvgZ9HjQvoa4jDrsXXkoRmTmzyyUOkrP2c32RyWiPlsIrO7TroHs2rx+NnDp67xH7FdvyQW
PzLGxgS6Okf8AVsMFF9wTtCM5meL6/CHJ++vJADrqfGnX+LqGcFRpfPUrEuXH5S2M6DOVgnNIkeq
3uBh/g7rlmN9Y8/zjdtAI1cKDeTibjUy8QZ+M//6A1g/Ffvf9Q4CSjv7Js44EmD++AEYpFGjGnG0
JSFxqdgTen2zmwQjimG2Mf8o48aKUmffR8ttUi/PQxGbZxQa2jF3WDK4wfuMk3a3oAcgytSMd64e
5duoXM5T1hzw9dPjelI7CvR3+cL+HGNpvtnjasNo0KD6JbVoO5IdQnKpQ/0T2YfIN0/1xGoAtgjd
c2t8mbF6BnCY7noR75eWASrv3kezNk7ocC9e0p8KXOBXZV3J0z8/SP89Wc/f/lf/N8rYOTLIYBA8
DH9/TuLHeuu6uP3Ttf37F/9yTnrWB2tV36wHEpek+H1x6YkP0EbJyQbKzzn6faX52zlpfdAFh+sq
tPnuLeSz/HpO6u4Hms41TsnCqu+66I/+wTlJOfDTO+ZghOW+9g3PWEmrP8tHgJqSsZsMJKJbpTJ2
k942MLASA/WZDwMsMCv8slvosrRJg4zY/blu1S8bazImLcDVBFec9eu5oJELyh68T9BHgKZQ+WUP
aTxqj/a605dTuSYfFurU5K6Qu8Z28z1efn/rmhzIbdGqrwj4FhYpnFAKJjRZKNEEMwXyM2aZCIL8
SeqFBTvAcNAk89DfOVOZg+haHmRvztiTD9A4ey8wBox5fdw0J+XRQ05cD8ZupuhOWUZJgE9uNmP7
LyA0XsP8QbTYZ4t4iOw4ezGnST6UBn4yRxjkhHqzvMwZ/G10rsPyWZa+/Wki0RR6AjaHEcIS4Trp
0U4M3OMNgUZhmehgxMCzFbdT26K8WdJkW5AiGRTGdJKiQ4WcKyKUzIbOEL15aPUQJyHY6Z9XRAi0
obKHPEZIc3qulZN+Hh0QLQgzMv+rLDX5ZNDyKEgFeJDAb2iGvpHGUGw6urqtb6ZWIMx4Qp4ljauE
XwAWBaAktKrDCWLd8xyz8tq4xgTdaGmLKcySQpThMtUFPtQlNdcgYffSO2PyFhdW/i6MCGl1M8yV
BsZgQHEr/Lk9495mX2O3qCvyfIGo7A+dnEKnwAREVw3VzXBGeSF4zb+acFm/qjZquzAHuixQMcdl
zfyclFDgQeqF9s2StLSGOpgt/44+m8WwSZvRI+Fd4olYDWcFtjjCBYF9wpU+sBDqvyKLHtXOhJN1
6GPN37u9y5rCkM4MVL+HSuSaHrwqjHvtUwer8BbXmHWOnL59VIUq3yQJB0ngAKfzT1x5JvItb6q+
1Lk9v7a+KvWNzdadkUHSVJ/0HspcsOhrtmWSFM0DwYv+rQULOdos1eifE9rY21zVuFO9QumEsxIl
fMcIYXpuLTiFaGmF9g7C2Eawq+vNi+Wm+WcHBOfem7jt0PP642NbFGYOMStnNt50iZoPrM0Rog6a
KrBZII0nWwuDAfMiIs3H8dl3xure7srlaDKp5b1N6wMzeA2rX+Uw3xUoITa1tKc6jISRfpa8XOuX
RtxjVpNl9UHE5KtvrcHxjoPNzD5DEsz83Mom8VHWs3hZO/YZy0e5rHsVfoEeVj+kVLNnM/yqyZpr
RTPqAZsHeVhaBYMpct6jzFheRzlt9ahkuzqaX8rBRx0m0qT5bLsTiDOs3dPrNCTFpu4VEiOtHR+R
s1dn5ZnRISVi86ogRRgDgOz4Yzem5waS9HFpXTwQssWtbxDoBGWjK69csThdgIIBWhPwGxzfJj45
1M4HyLV7PveyLVlZUylMRoCrs0FcBvN7Mdzo2TcQSRUdy0Koub4Tajp3Kzy7pqpD5hD1hlRvoqKs
JRZ6mI9TXm4NZM05I6o6fk/6Sj0trlInkeqp3LIgMLJAs4zxReNFIRoKpUYfpHXdv+ZmohpekU7T
gzReeLWX3K5v4WXm867oE0TB+VJB0dCqDiiNzcHCXKm/rut0xk1XlOWxy9v2pV319ezhvqYkCaP7
bjinhyxjS+ynqyS61yC5IJR8Ep2RwIAmiyrw1TR8tCLZnM1IqVedtSXTQDtftr2Bj4EHluE7xMRc
oOGrF/dLW3jZQVLmiTq2YBUWNGdcJSw4JJyJr5YmWRZoTc/6sejG8RL3vWQZZMvZZsIGRSvUoJyr
0BoTqGF8n4576P1MeUGbSN3cpMJv32erRTc2Tm4A1oFbxiIYtMmb+ipy4oIhKK0jUSBgiDf5mKXd
Hv5jqw4lYV07K3Y6cciXgnVrgiI6xtPq2MjYepCFfPfCajc8mvW3icg1dmmlsdFbWBEBRmwOJz8r
HgqN1w3ucDxtsrGuX2O3hWmNSty766rGeGYEBrXDqVPjLFRpPEHxqF+g+ntXXpJJBlluB5DNq6R5
UwHYvnHYPj3VMxs7jg2Hx8dth8ykrtfTfNPGw2V2O2cdolnymbmsyDdT6erfRE0s34lPqExMPDao
NuXN3msHSw3pW2a0F95bOz9EloHwrxlt55GzqTkPuZ9cj1Fp7BCJkioT4c0gD6pZIIhosabCbMn0
nVaXMSKZyP04J2IMMsw4N2nii5AxJQnwYxnfUn8XoVp0nVLWKdnWqfq5lyJ9qnyz2uhz/1oJ13zs
gBrcpuTybPo0MQ+1nYtHcC3au5EQ+BAY0iDF3CzNI84DHAfgcaLHXEj31i3jx7IU2m1UzoSzzgVx
iYNK0lstMcBKW1XZhyOCUkSmPkkI21gUJHB1/NgIB3eTVUWbISbgScjM6g1cbIRAoZfsjN2U/fZS
jnAM8XFhBAabk43Ll0zpMbKcmrzfoi/VTelk7TmvBndbjU78Ke6ABVVy2U+9P+2jmI2k6+TxW9TP
2BW8Mb33wGbvMUYsB3tQxa7G5+dAEDO0X6LL5l6ZzKjB2TUX187zT5ka0Ot4ujEhusxSNtNgBlbU
XcXh0pqedUT42j3WC0rMQmsUWljRbLvVEpKT4RkHaYmMS7SWubc4gEKCeYZHm6vlztIyU5KeMaZR
oFIMDKUY27cFcNHFa/Hs4Stp1XEoI3UtxWA8CKuvbrHGJTjPJYtvTFRA2GxFCmFmpfoeE7yxT7zJ
u4buIDsSoiMB/kao7OIkQLphlkWvPdSW+44p0remzkyXW5lSgva2wruh1+uOTZ8brQpt2RfZbTwR
xBPYCFq4v3OWfE3bxeACrXL+aCywrbHqVrdphdeesCW3hnrb6uabM1A0b7pEqmfHalWzG2m6NHIs
cKpZMlk2LXFI0d5k9luEMK3m8eiTmVViWEycjwPhRU9FHg/3pGPW+y7N9ZvRUAY4QLvtoqDXOB7A
3Mu9k2fdKxya8q5BS+WjOe5JEKpFfXJUyru6yDw5u7M5nxtm6OBf0SrcUcCOoCb8Qb0oMlkRuI0D
vi0rVeajSKb6o2kk1a3fYsRGuLRce70jh4Bry5o2dg0blJyAeMkxyrtfS8ti6ksaz3ytDVFx5VeF
2JNKjVqqGTsNO4jrfFkWr9OJC7Hmt051CLJY7Ghba66Gz4mBP37HmnkNIFf+IUHmcDeknd7/8l2y
SCVgHBk14Bf30USrH4ww1z/ycmKzq+OiuvVWG6eq8yc7ze4zlePVz2R79nOFztgkSZfkgAHRRw7m
LAQu0W0K0+AXH0WO/7HSMaAEUTVKulYLpnhAy24+J05Un32CCu79snTuBwgEF5qX7NzKOXvRMKIl
oQNv+Us6L2qPA9WGN0+G0DVyumEAzddNn7x4FvNVOZnDjIRbH9IrVRg6Ml8p50OHFP9LlElAqYVA
plgAuiK4pIKlGBiN518XtcQYxc31rumt8y5l1PTbIUlZ3fcLc4uNQ1IuSXWDGRt7o/TjJ/Btxg7w
cPKyaNpyD4QHbilUFp+7TQ3POryBe1bZ2TVApOV2ic3u3fx++TZRsgaZLHA3Rxndz2puP0+l115c
kFqPDUw+vZbSCdApOG8K/hnEP8tTyC0jQidCw8HkCtHLvIHFOG7IkZEqUPGMl6jNbL8PRGGl6aHv
k9X2XrccGnWJ8SnrDftFSL1GBVp3bROIuBmDWojqi6XV3QEaS3zBwVjexflYf2wwNn1ta0QRWZHq
z4MukAlMLN+O/tC33U4fQWqEOcCco+Zbi3YkM1AcDBfbRNqYkJvsWXWfFE1yFkxN159jZebVPnW8
jlhQvU3OtARwgZrROFSTqFPSOiFX6LaiDp0H/MKqL6pqY1arfzbBikiGhqvxqyMK4irPE5TeAzrO
bGNEenkLnXE59MioqG7MPtnbok0Onl1AIR013biXPJmHUXeKz1655J/WLrvjX4A6vektU3sQfdPf
5pnefMQ9Ox9T3cwpVbnwQ9zMS1ghoOJPBkGJoRnlqRVzdS59iS0SHUQZhWVWJm95mTXqYHSxvMG2
x7eQpliYeR+S5K73828N3AOT1yXfk12egB6Dax7MYJHDZrHtk1STDhcNM+Qj6RP+/WQky9byFsNC
od476SlhJ9kjljPbqzbG0bFxFstarY1OdWg7qCaDXcQaralicZMZcW4fmq7lV0MZL3IfdKk9Mn3k
RnqLWTk7YRFHbRTgLCdxoIDqa61CuWhA9UKywjJ2ybrEddQK1QPRGIjU2WK1VafWwI7cpMPyNfd0
Z7dMU96tZWRebd1eNV6Iiik++il12STT8iKb7w53oszuat0VT7m99hQswTNsdtziofD05sbqkWrk
8IcP6KCLwwDj8Fj0s6rBPOfTM6NaQ+yB3ZRHDS46E0UvxsPhLNmlgNdtHM2mQWjq9lNHAeiO7GH/
+ajq/0uT2q/zKBY2fz/Meuq6t+YtXfdQfxj5//61v86y9A/CMjx0k+S0sDNa56G/7qDcD7ZLCgC2
NXZRP66g9A8WA39U8RYoDZ/Qy/+eZBneB/5gjRL7ruZYv+ofTLLAdv00ydIJ7dIJTGU6wYCMidsf
h7UqmqsGyYWxl4mdQyLGmbWgEyuRR0au/dbOkXGnzxTTdZWKECQTsw+Rzg6Fs8WhONruePYJSsdU
T4UcJdBfVfXUL8WmGOD8u6QFbpTDAN+lBP6s4r47iiQ2ma13ksxfn6hfhPGevRw1wqTT0IMEdE+P
be6Krl5uDMbp0NpBpCWghMuA1YAKEqefkOKPB2BGzbtkyBJ2VLM4j/IY3b+ve9ei6+OzZKS7nY3k
v9g7s+XGkTRLv0o/wKAMcGyOy+EukpKofbmBKRZh3x1wAE8/H5RV3ZlZmVnT02NjfTFxlxaRFAWC
jn855zuUs37f7AqBh9RRRbLtVCpPKVTPdRDP7bqx2KrHqR38SGHSwaKkecegFzr7aurNB58u5zar
vWa/OCI2hT0SSOIoPR8Ni5BEerFuJ2a/FERzR1WyguHzkZMySERllKf7QjZU4dEwZXodOwO2aLeX
dzpPQfI2NcBK6dTfTMKabpwMVMHsvavAvJ6rhDx6Jz+weyCsC+qiO93FBpECrtNfsEFdU2m0m9Hx
4TW3jLC9CBC+pKPfVYaX5wwFihqJyKjVJs5C71FBY0PFlw+hucHxQ1xSegK3TkayLJxNSAfB/KWS
/S4uJvYaKmjNYVX2ovqgppuup7YN34N0dGE5yvoydxaH+CwM7zEHInts06k7jJ5hXuOeA/pgKhsU
ulTEyIpl1OcVo38YusY/sJkcnga2BgDmIjeD9jsPJEEZ1pl1qXFVicb43tmK/JnMJU+bO61b9aX2
X3TuiVMJgRbwQozKz+OKwGcskh8J+9OtyV15YPiETL5y43JvVm75PmCOvvWJ1lnlQAW+tXX1puTk
v5GB4+8pjbP7gtrtQivhPUP6ycFMxuYZLbB/RocaIfz24g0QqTMSmug8mGO5axvbOAQmqbAwD8Qd
D2hagBGjRU2Byx3tZt0iDuxvGGZl1/noMCnNMzGuLb+wzhNycJC3pN4/K5+Ke90FaPCqJpkeIL6O
V4XurAtFXO8AiK6HD9uV+siyxEEa2aXYS2b1rotQn0N69wNmU/uxM6URs/OoNOrKtH3PKS3bdZbO
XbMmps1tbgIzw7gXatKfN8Q1Es+bZQZ0ew1SJdQkmJJMOqJ4NvgxJIfoy+B5xbNTQQpddQYfRZON
OK+7iLRHAhHsCgQo4iYbhsTRTzFNG4kpbzkuEIJmiUhu0pjGRYJcvmg1q/MAD+bCk57RnPDd6QHY
kXV0MtXR0jRW9R14TXRrqilm+mmlYje0TbdNRt/Ea2P5xgknPNkX2tKVxQ8t01uBj/86HObs0rUa
EEw4lluVWznLb2c8+L6GnqkMXd/JWoe30kezHxfMU4Za0Wx38B52mBapCPHkJ2eRhmLnV5N3tuJu
PJmtivfYg9W5NGt9HTNlfXdrOmPqNSqRtZieaqTgUI0p/h+ttgAlJWai0TVqLZQ97YNbMohKHKbL
CQGHe4xBfLcmXWQ3YZTrO0Dj4x2bMI3LqGrVugb6SmcPi8VXB6MxW7gkQ4zrIzSJHYPwpXyjuVhe
UFwS13efG6huzyB7qp/aphFf4R9EOjZL48GfenE7dMJ9tsLGcNcW2UwnUCtEJyk/PaHP45YubfsT
chYx2Zaun93KtDYGaL7nJIZjl9lZr1aQeuetbU3EVqJCxR6bxTuzi/V6mKNu3TgtDbKB6v3B8Ytw
F8dSEcUg9XRVZaV9jopk3k+F5+7JZJHsktt5E1mpdZWCx3+lgycRtBP9fRO04YX/DBeptP+aaKvY
F1Eb71DkNjfCwzeJwar8xuRn2DmWKN4xPAXvgSyKS+8NyZ5dCr3YzOIgQzi9LYbWZtBg+OKKSo2k
r4akw7WbZzHx3Xl/ZATTYJKV7ZUzWwBk8XCu4Yt8F+0omcB3xzpGEuTzVCvC6r2252ZEcu3fRw34
zmKcrkAORo9Nmg8/CabVG6+1x71qdYkJrBeNtfWmmU7RJHAjRu6H1cSYbC9aq9auz7VvqPXswJVo
e3IDcon8jLlyeXAJP0PN6K4c+7Wd2qPLSP7aqoZDEUl2zEl0zViqPXBUb62JZr5IcXSjcWcC0rIr
Byta1lusRQkkXWJY82Nmq85kDIbrLCauGFRb3BNzqdL8CnnV8rtYUbltR1T5cdu+s07jZO4rH7Gy
tkdG9Sbe3babJ/oEMW9Fo91dGRTDvW3gntuiBQ4OYCHwGeDpo5ofg5WGFDEzoMjJPb8wiKm/1b2d
sXUFys8yqDiONZcHL4TLUKuwuWNr5xoppL2ZmBIyWyynk6XFXtnzfPCGcWaZK/JXutMfVO28bPgR
j3530AUSAlkaB1URruhE68atYCZbTrUeHcO+J+GxPzppZT44ONvkqjXS8TYmkp5MHunCinNj09mw
WbCA5BC0RKaL8TmGrXe0oO888/1ozr6s+4M9L7vlqK9+FKoYDlLU/lGJekaORIgkyUiXRZSzuPrm
bTQU4QMfQME1FRKpXYa7SQrCFJyuiW+sCD0+/9Bm7j5a+9qcqwvwY/PcoYl71SB9tkMc1eRtGsNQ
7zQBwwfhKUZ2AaCDz8KwbdDbBkSkLHNQvtstht9I6mSL1c5z9rAD46vSgQtIMACIwHh0hkOJ4M1k
iFx6OUylsrqnvkjK6zwii2xjFDB6YNLZ6/jK7JBZbkTTpPo2GMf2iIIyx9VuJz8LTpxpBStIr/OR
SPPO9pInmz50m1LuguywLBxZA+47gYWa//btQ0E65s5OBYyUKkGSCiN13UgBja9ICO30Wbkwjbtd
ki9K1Oj8wO6qrcZq04MgWUlzpCmmtKCBz6I1nu7xh07G8VPX4gf9X/sOQfzDqweTiZkTVbeBEXmk
ZPXqMPtJsi4rW599u8VDV5vDaXZEC2OeMaHfxWQ55TyeOrO3j3YjH8WssdIIiOACS+YmbMtuE3dQ
b/O6izZu7pa7uOuTU1qW+lZZobEP4QQj3SzUHnqfB5UAK4rHcPgHqxxoCi1CmDKebT6GvnhM3Arg
ny2ji1nE476bB7UzUrw1WBu8h8hfdgklj851KuZ04zoqxxA6BNGRVPVh1/kMGVocj98slsxbRC3h
pUiYz5i68tctRxR2jNS96QlbWRt5CBSmge4Z5jZ+CC3LgPFIMrrbOcfK4BJRU61Fov1tHJrxLlU+
Md99ptFbBJVz8mU7gAEbnUMxwu0MVRBv29oEUmWI8OBOTrbPJm1B1I8qLImdDYN50FdJHlYXX+cM
PnqPTSYSFyN5dZNWHRqd1fcm2SubUTAZcJLSX0l/dp550NFxe62kO0g8sXWIDDhCf5cHP1TYfgA1
fsoyk9de5+ZPA3mRUFpKc9tgbz7MmeNeBc3k7NDYmgQ/1cDEszDgUTOBeKEasHFZleO5M9Ud05Ad
dSreSR/eIgCqF4PAP9RN8c0wGW94ouKVHVVYPEs0Ip5sgZ9XNC215y8p0eZ4rMEZbNsQs+lqdECh
9su2hSaelCJuDCZqhcr1vZmxUTCd2d1MkQr5DVjHQJIKj7/qLP9A1APw/V/0ab8T1RigilJtEo7C
no8dme1mGwPEI0timeyES1QqnB/jCQrv+CgtK3id5FDfiniOTnISzVuY6JRdJQU++CIR7eN+qh9H
O5h3pksIAtFE7IlIYb8QqCVivrSJyChoF6pT4FBKQPFNXh0obgZFTUnWiFDlnqXAEkGVkcuQGN8j
r4o2tkEIgJECtgZz9Nw3HaQkVbtkwgXWq+h7bCsWTI+0IdsSiyFfWpLrb5ycEFXgRq27KRo545z0
/Xcq9WjvigHweKo/qsG99AprABXKasog9GFTnDbuHE93Q18SAJHNZyjF8IcJQo7Z3xLpQFcaw5XI
iSXh2I5a94dQDSMoA+gmD/eConA7GFb1MosiF5s6kaDH29gbziGRO1cxm3ubVYDw7oiUHW474J0L
IdoKMaFl4qeLeOhHHc7DpnYMfwv3TdxXc4YOCdgGQWIesvxqGrwTtkfj4ApIWF06Vw24aVzOwAfN
8efQja9dPDcsMd1k57RFvnPHJt+Rks7Gn6XByiaVA2eDCzC+QRnvk+HFmqqvhm6LpyC5nbOSJzSz
32NI/3pJQJkRszAOyT1f9OBqDEZ9JSoHTxuLCqgZU/dZx4pSsNB6fIwLTdp1T71AzEtT9v5awnk/
i6XOHr5K7vyr/BZLJc5TmKI8rYl+4UKKnUkvT0qYjuNbe6nkMY1xNsmlvre+Kn1Qfkxfl/pfG1Kd
g6UnyJbuIF/6hD4fBISmiFiiLiWmq66CjkQHGoz2q9dAo88H1C4tiP3VjfRLY8IsTV+Kr24F6u7I
aDHmYe1psZbxkvBq942xjWKEbsFXyyO/2h/Lb8v6oBp/xJTlWcexdZHYO3XKB55x4+LgIMXNtfwP
NgxiFRAARUjKoC4OurH9JKECcIjRb83N/FDja9vkRn1viCQ51AYXzIa8c49C3iHAg0rZmDqUPhWl
8NGHoH0aYpo0pw2VB9WwJ+RKUoZhm1OEJUWm9YLvwV33CJIvgQRB2/AZTCtzaRkJQhrXoILoI1EA
ZNdxppgU0GQSMUKs81fn6X11ocHSkNYI2ffN0qT2S7uKZB83Bx1svbSyABX42Jf2lje5NLq0vO3S
/IL6HxalEdu7pTV2jUi+lU7zNrKk+eYtDXS/tNKE95bv5dJey69OG8b5dIiX9jtYGvHpqyfPl/a8
WBp1DCXiBG7efxmXNl59dfSY8UIQN7T589LwpxzSRYjfVGF+L8CVLJOBbBkS9Mu4wF0GB0L1weav
T9QvHu2vZZKWI0jztDxGqBZQUvn78OMA0Q/ZIcZ+UtI5lkxvlQglIWpGsBVLvALKL/diOovgAI8S
oUhJ7+4H4VtvHW5HYoMqP/oxDb0+kmc1nQxpdRfJNO+VwqB6tmV97pOSQFmT9AiKJ33fktwCBduo
Mz7T1F4s/WTeQJLsaAVUyhraiwz/2EksOFs18a7sQAxUVuFcfpCrlJPEorwYU81ykGVfZxqYUc63
+eusc77OvXg5AoPlMPzrC/Zl6/7NBfuaFFJMi2XM5bu/05UGBIhMDqCFPfqgh/nVfm0+jNfmXt90
d5Ahylsjv/nrn+gsH8HvfqJlQsxa+F0clf7vfqJmwMJwPAn3SGzCbzkOVIWjKp1usjGZBQHjBAi2
U4NLwwI9+c1yZwLMkJZ+4kMa7dU0JeGuTDXqO+FTUW/n0OYZLki0MPdEfhkv8B68R4/M9gy8R6UJ
93V8mUGomtrD2FTNGbhBdvTKebyikuF8Ypyywql734+z3GN5ihg2FOkOXHWzmzqNW6xy53dEYOFV
p8P8amhcuVdTbjwViW7PSKGyO7Zc0UnkPeEXzOzrhzjwZuwjSQpzVo9E6oxJ+wxvdjm/CpG/fF3U
/2dInf/G0tO/tFEe44/2T2f1/+6jlP7fAleiEf0nv4i0AeaYGAVt+7d2EQFjR/qS/8FBioCDnsrs
H+p8628B3xXU+T7+YRcW4n9mVu/jLvnt98FD0g2jWWIZkfgHvgI1fqXsNgszJfRuAvZpOYytgcdX
JWeTxVi7690+YG4fei98Tc1807Vewrehy4CPQnKNrM2SH7hsopvhQZu471a+q9ydyo3iWo79st+M
1X2FloTFWIWBEX0T6oMJ2HlMDtCJN1Rs4E3ogw6QOV5PTCbHs1eZ7amGsZrcuoiYIMp6pEjQ76Y+
olXf7wQh3lV+D7XDnZBsTYSLkK9giy04zjLYk1w82ytStxCroUph4UyIoDyYQekOh2wI0/uhd5tD
Q1uUkZBUvsK1G4N1D+P9B78c31jZhcvK2+4f/c5zIeEboPZWurDCvXZrP13jDUPqpsH37FzHG1DR
2o1f7ZJZk3LfjWFykyiL3UUWM6ffRH49m0cqNXLXQj0yBmBfF/qHFA6GeXBm+sFt2DoJZ6ynvXFN
rJ/xjvQ0wKWeT8m5ClmLNkwXzrCNHOItq8pPTqNAZbchjh4uRGH7rYdKs+1Qbg2hfI101b/lItMO
6w1V/RSwtz5jx4c4Q+kMLXVOpusRnjIORTfomlVPVABD5HrMDpYhNJGqxnCHoa/4bhexQUhuGkf5
FjKK8dqRjGRswsbrqr3TdN4Fzg4TF+FEOeKNjnnemqFm/ljZ+UC9oUzSYFlB1BWrdWl9erUZLKsE
K3+DCUF+Q29AICEscwZNi8WcEULNYgDPeoaLvA+N4GQldb2zaoSoou0WgZ5RX+KBCZatquY+TqV5
0+CENFbQXAu9yV1XbjO3qD/MTo03OOjtHqjLBF669rOjgRN06zlZjciuRpSW0NWs5qmc9sppql3l
WtMujrLxxSfN4NqMSmy+TOCfx7pKCDFK2R7ZMxgBaS4g8VDND1Y1jheADR0rHEQkmRXo29Ti1M8z
N0H72WTXvQXmqOe1WIcRLUnQabmHDSQZiJXmIp8UWz23YjsZCURuBmKLwjY8kg5dHUQRk6ltk0sB
KqN4bi30f5W0nzybJRA6d8gNQb1qhhOVBHc+G6sJWRqqqWBw7ask5jfVvSk3iUy6E95ZcxMy2nuq
oxIwSd+PR1uVi3puHtaN6bHx9aY2ADbtcP0zARHVgklzZ4tBbqaS6Rf3ur0nGsCvNzHF26fUjrrr
w1ps0t61Hgi4mJ8R2QIS8OXEkCltfPzEY10+53QUL4QP189ZpfpPttzps2+5V56WUNwzXjs16SrX
Xaa8C67M5q0RRXdXFo71oYOQjMVG+MGDSJhElXFOcmRa0OKsAs4UMg1TmxwEe2I0zPbxQ88p+ea1
0TlPQjTMDAao3K0eCtw9qX+L+817Tynpt3HhhuCj8ADf29JHo1onBPShQ/jhdyHzqqoxBVFMhjvd
pn6Jriww0/pTJI31vNwIj/bsz5+xr3W9kdrMn4gB8e+mYlyEdgSXjbEq2jWbDM3vydJ9k0MUfbPJ
jTH2PYmM7ibI8/AGrGF/nDgj7kPWNj+LOIM+w+ByeskI3CAehaP5YEPiA7tgh/Zn1lboamBoLeGQ
mfAesWmjdO7pAtdg0CNqw6j88IiK/iloZrHbSjj0ZuINgvUAEeywMMYzfbtC8zcn826sVbAhiYEe
HeAHal7aMjZi6BYoiHb0AYg9IO23R6a5Dbz2nJZnU1r9fMhRHzfMYuN+qVZzUEQZX5Lac4kelkp0
95HIm30CxbdaDUnfPaTMjLeeR/oqzZx3sr08vI9yx3ljZpYdS3MO3w3dPYBeGc9p1OORrc0pvQNq
khWHSmfJCvW7QIdoYxymagX+jSdaXFnI1c9eJtV13mQxElTwireZOwY3UAnowNLZ6LkQuTPfaa+L
9EEkSj0gockf4yFy30WKd3gYIv/EqtW8Y5ymjwmF5DkX7KWSrC9QYxFZu82yMbgtymk6DBVwHZoo
A7dGP5Rg2UydGEgJlWfs0FYk7hrbQAP5YxJPXtxVd1GTUqypwTsi7Ss+RmKOPhAV9ns8zLxnbdvt
D0sRQo02SDwOFrG9s1OSH93EEiJXW3+Pwkh/QPJkABHZLmytzGCbtZoH3R68KQHLk6gcUadVfoZd
1WZMqn0JJo5onYEubtoIt3OvWHFV51Rn9o48Mq7oZCfxytcuuPF5YlBB1X9HNoCBM8CURb1Lxozn
rSSn6CZA7b4kALiFtYr1oNnn5gwI4kKE97Ga+k97gOt4a2U9bXQlHRIlEbyxX0uclKFEMt21IMp4
srdde1dWfhGsO/p01Iqp76wzhqRnBF8ND6/By266bowgCxXVMXY7UgscpsE/fISN3QrrtTbXoW0n
J9BLOtgJMZhPnp8nzzyzAb2TgqHYpQTVQI9puKc8l/U+AFBBNhVeMDp4xKaySsHEZ6I3TnkSzuZV
MnTlo10S6bhC5ZWe5sYwnVNcTvZLVZveuEEUeZV0nlev3K7EJbvU6aryxf1oSnF0gjjbhZ1JlKOM
gONUs77MZccFCTh0V4av1ItLVtJnLIf5xdStt8+xVlx1s0TLM8vyPggb5+y3Nl3E5HXeixJtDMNa
wzFDgO+4IYuvmmlwHCc3edhkLxXeYlBKXLN9yMQFqWQX5Odg6uVbMGNCGRPvlZCcej952UiSn8Pt
HDkg9draeTRSYp9idJmA8BFHsJBFAvnE/qsvtzVwlj0bivytjEz9LDg6a+Ih2voUIPLdxmo2zVU2
i/Egxjw+eklFSOFkyGWY4+3D0Nglvc3kCmc9qQqJHt4nMZHfnGSOt0bLmr3JqS2/ZGTy0IamvLFR
8wrW5ObwM3S7YNuP6bqlMNqadQKJ3+4+yqSWB625/Xv6/5Ol5CNox3avg+HB8of6pYVTsB+cFgCD
P0hOrHRwzf1odBVnUx7lDwm3yUszmsCu2PkeMOcMxRa0YAI6NRjGI5L9IF1Xfa2iLcpL5zXo1PSt
9tk7wKhI2EvpHEY+jx9QrPgsaiIJyIxt12aUM+3lY55XY9i7Hcd2nb8ljae5iAEyy0nw+NyHi9J6
jskWT7/k18GixK4mw7h4iLOBI/mXaNFrJ1/SbTKo7Kve0aDPvqTd9aLyrhe9N6gE+5AuGvAUsNIu
Ii52nZMs9Kidq3CBGczAc+uic6+7wmQoYmpnS/gQa5LApOcu4+KqIHl47aNJvHRS1RvDs258khhu
QKKEcH5NfRcukvVsEa8jRkDHriyesSv9pW/3G+1vhkX03i/yd4v1yzlqCnYgRreI5AtMQ9ftTLG4
amlnnt0vQf38Ja4XU2mAtaNARN7eenJjL0r8hrOOJ9jk3tc+m6uN3VMl7qymzIdVaMgAivyi62cD
HNxo7CSXyF9k/xgdiF8fyPA9snxoXjvP8p4k9JGzR7YWQopy8J47r3LvOOzY2hTEtb3xBTZ39qRJ
62MphvlgsSH4iyGhzlxsIrxPsWHWIo+CX/wz8IYC6YuOfKbb1JtXpS4wOuRfpgdUM515qBcvhN0t
togir+2SU3OyjE3fsXlfRWj8EduxvsEGFkXYifuOOFm0A65AvegYH4bhdA8l6H1iJKjZNzVywNvZ
z/u3yvdI12xIZb3upc/CXBJx36UGJc7kDOat7Lz8rWOKoTCPQba57crYJPq0aXJ348YOTorACEPc
LMMI5cYsY7YuY82ek29EgJthEMFLCMU5XA1+iFonQ3fLzI1xe3U0cofAG8hzJv6L2XrpOqbde+WZ
8hRMTHxZOUXJU2XIYrojuQzkLxtT57OD/lHtaybM0y40FYwn9Diw8tkZdvGtsh1ajjyvcPPI2Jp5
6OWB5lk13fOd0SvXLrpxreKZWoPT/6Riouz7ojyNOM5fOJbce6/icZCkYXAqh0k9jOAbmeHn84ue
I58o9zgZgc7BlFm3sZmjtmi82fv/gsZfIqH+BWgK3EAA6cISwlkoAaQJogP8c2njHwP4/+1/lj/+
7U9RB3/4I35RQC50foaGSEUc1+WuseAO/F0BuVAPLOAF4PmZrnzxOf7h5oV6gPqR4wEDo3DYdf/H
XMVEUUkmESgFnG685H8qm8qyF43jr+eMv2APTB4ZKPBdtk78/a/mKg05HGmEshgx1FM/VdfBo7WL
dgyxW5Law7Vc/PzoX+7tJ9JDgh523FPXJNC9X8JRbZKQjPnBQRVZvAch/ssYUBuaNWPHZnU/1HIV
dsVVLL9NI2rjmnyqPnnp9Tvl7NaY2Oab84ONe1OL6dbGyWEbR8I6WiymB2R7g7iJfsRITEr3PDGN
KPV11fbr0Pskg2OdtRieqCAtDzMtgg9yt26GotxMGFjzeNoXXoZRc+yRRxAoY+xNL213JC1FPC7z
mzF+LwlH9kr9jYHLU6fMu6KZ2RJEvuQbPdXbjvmJU35X+a0nB4iVGCdYxtFTR7ihKBRaPPS+uGBZ
e4hynJR2uzMncVgqlgzXARaGsz2CE+rq+rbrKW6bqCUqx9guQY4ItlZjnaZsM6ufLr31umycNxMt
Jh/TdqiiLXrzVRrqndNlu4nYsJagndRrN3nWXduJuijPBpBqf8987zJWvFeeMe6qtgTAoYkjbt6J
gmxI6F9McRzKX4ArlKm8ahQnl6ggA75BvblyZHLTQJBPx+tffW3+YG9r/dPUfPnekeBp+hbMD589
w2/vLVSxHa5ddgrjXDy1ik2843SXcXAPMVUSka3NJve9o8rKfV7fsu3Yu5ZzwsbabyaTHUHRkeMU
hsGVl+Qgj0wqNL0j8R2TTmhf7KECbuQ+2I7LWi7tNg3FdVOezN7Zt3V5YjpiUd7h60TZON+5eXxA
C79treBG8RHinvx0Wvfezd4MLjM10Br29i5KM7Be8RpRCyvzBdPVnWUArh+hRtQaByZkl9Ztd4Pt
XCYzOHsOIiU8GsGIgCtWj2mNxdLyoCsdHevdc4FjzP2R4/zGrJjzGVXU4IcfiVTmrkQMv6sHIBHE
jTWoVQBsu4X8VqjpkOfmIdIL3NOA8pD183ke1VbK8GOq3V1FGFjBC65YwtJcWBMiHudFiOgmLR9F
2163GCA6Sz+W4/ucuuOpJj8dsKXlvzWhzRo8xmiT2tu4tsBNcYtoz9nRhB4aejpz5D0OxXQbwYtd
ybCi8Vd2f2owNtXe/P7Xt4lYNhm/OYG4SzDJ2kyhQBIFX9v/X51Ac2VKbNsl8TNV9jMiFSrk8oWt
9d60MaENLdvU9r4Js5u5H26jrr1K9XiT4BOzsq7ZsdRELRikm7Srryi1bmNBUGai7jsZgLZVFK7x
8Fm75b+4u5l9/+59w7BBOW5ygPOAsdAc/vbu7mqMwYNFJELjtz6dBhhKfIczsx+COFktktQQYlvd
Y7HY1Gh1DORUtKL9B9EfzJj2TZxPK9+YXWCi6M5rGM4nKxKw6RKweKnADQ9nPBkeOFj3dj5ekrR/
qA3raUZeDOjkB/7sh8LpGC5ItaniVq3QAfCDPVVtRyk5Ggfxafb0Y5FSBvscRJfpjEU4r/V9PAwX
hlmn2gujVeKVpBqEIMW84L3xZ2vFfvDRs/Jb0khZt7v1J96aeOva9aNWxidxyflaJt4nu9eHzktf
iznZt0PH+t76rHP6MLB9Qck7iJqrlj5txpWPF/WZ0fQesSRxfO03HRuw7yV7Yr2FZk/TBgM8XieZ
+1LWONHQeziMdwpXXaOuuXSKp0dt0kDI4GBYGAfjvn9JW/XE1Itz3Hmds+YpSsZbco3nzdAjOTTU
wU6bdROZB5eURDfWB5OGp1Tp99CsH/JYHXuBeRbRR5u6gOHkJSrNK5imF+0gDcvlQ2EJhruFt2GX
uQ1QzSf4R6PY3PHRn03i6JkqLHCCF3Rih8FHkOtjb2QcW51VOG+hf+/wDK9znyFP95rODwudJ0vk
Ju5PQZ1dpWX4QowEW3YybnE+YfxG+SOzeRsztkfyBjc9juHrepce/R4OwbeGoLoVDsLyIMDTrmcb
aVzq+eolLfy7Cu7tyoB+UzJZZd44oJtN4TI6qFbFZyIL2q3gxelyepTqByiZHWwOZOPEJpd8DUnF
qy6qyQ74L3dpVT8U2rvPovTkCLKsUHWsGqTn6K4s/n+1Cap+h3phE0ZdyZPpNRWaWKnxUPTEupBT
xeRLFU92XL5GnXseW/s5V7Jaud6rOzePY9GrLXf1VRP6n7OwT2Efe1uNwgjJenSaMP3ROE/TBqpi
vnWd+cxufIXV+BahTLv3W/PD6eZ8C1PjvrKnj6wBuYeG99XMwdVarKLXCakkraOehlkeBx9tqm0m
WyO7ytAJYxghc88a1yJOH/EBvvaiP5nj+K0Y2f4YJZLq3D4YmimKaV7IstwgS34uMLHKNmMZG9x7
vXEdZW+oIhge9esAL203JHeEQG4n7naH6eucwATgio1jQNlvo3VI9pVC5WM196HxbcjkZzCb7yOU
4UiMO6sPvqeEsCQFCd+R696Hwc+CCZkfbB3jppU3tXXj2rdlfw9C8NIaxaa3aXXse2LgVzg7noqx
Y67PSABZIhDQ1YAcW6Q/swSst2bb0L36waN2cbKN4KjzTwikG0u89dGDH6E4k+1KOncMxfGZkSLT
C24X4zo1sacl9SqezyYbJ3/CpMszKoExiKDZdYpt9oW8IBzcu7X0dxJfsCfbrwq2ijfxvc7Eqwwu
xaixq92Zi7eSs/KlCUW27iFDRsk3jZGk6D/HtAJqGXwbbTvfBUP3jcS0Q9JGB3rhHwO50us+iOn5
qoDMhYxQx0BvGNOsVFDJqzTGnIIyjDDDqHhOJpjro5icH0YrrJVE6VgB3NlpcL+gQR7jqPE3c2o9
BpnxVk3TS5XNj0ta5BwqAvcAy69t4iavIpXl2zKX5ZbE7X4z6PJ71c97OfsHxZ4a/zfTFISz1FXj
g+GQjtqapEDTxxZItxQDhd5qmaiHwMUViyfP/1YMwxHvw0859Y+ATup1k4pDmkKRrhj2EiJUZNvQ
X3QYgELSQT3m9kxpV2wp1M/giD8zk+gfax8p7+iwybOq9hpQJacv0uLGBcuq9igzxcZh8LzDGoz8
BqXTBpV+AvWlNdadEyi2Psa0+h/xHIrc7ynTaje4ZGLJDZU9E53iFYcdDMuK2WjUhfd2bB25NiRx
BxOuwRqIVOX7wHFKkgtNA88PkoWH/1sr+//CMv7vgoHNh/rYfmHw7vqf7XT/E+ys+neI4fK3lyop
1WP1f/aP/mFN++MX+nuc8S+9KzdMqZZ3EJGl9RtD3VJT/6ZX/XpLX+/3r14h/1CJ6n+Qs0OWMUMZ
6SG++eUPRTh8+ejvf+0HXxA9aTq2+fXnF4bVr67Qn12Dv/71frmYf/1vfvML/HkekGex+HeX8ut/
50L87nX+40KAwZKmuRCd/+kKUHVK0hHIn1z+8Nf8oP9OV8BkdgFN7r94AXBPkkKN7Bwj5tcfxiC/
vhP8v+GF/F/MXUtv2zAM/itBDzsWUeI6NYYWaDFg7dp0wRZgZ9YWauVZ2DGG7Nfvk2x5Ua08ZvqQ
q518pGk+JJoiUeNzJUo5oALjvOQQoGdpyVTZfbs2rKY57NeC6DLAxlL3PfUKIUQbtesIifJSBrot
+HkJQYQoNmVqggjQ/xXncgN8CvVpAoSAwi/MB6x8Rml6Z2QRowhn0IbIpLE8AlxjGA1C5Cb8YhCX
mPDSD2EVZ2oQGNMZlgrKMAic0Bah6GP37bqDa3QhHPXRCP8/IsIJKlLHV/TxWSQmsiqZ+wLwvh/Y
oNK8XwWUx+TmQiejnB/qQFvSlnXn21vHTRiXv3PThgBDp/p79YBN0g4t+1T24oOSGWUx5nsa0hWb
emrtzQXyyikGvk4ySmSeOrH/KtS1eTW3jZl5tfIfxM9zWloYLZmB0BkWLuy9Qk2hhdGwKMeFPXJh
Hyjb0ooskHmTOOYLr89GVkuKMUzCK2l0akV05ZL4RmgW2ftEy/fPvSfCsSrlSAj+NIIn5VJ5omyF
pencFVIZFdjY0NPFB+BATy7kAj/TPE8p+S3luwUz73aEoRj2gvczzkk6PqYk3fptCPgdaPv3RIF9
y6ixIuT8OniZkyIp4lRm2dYBD4dC2AvtxTIpVjN6tTiGaxw26YDrHzSjfIPmHw42PnJ1gP1TzefK
cVhIDOsYxFXBKS3VovdCSWGxtESqEMoFN/1QfK5liE91HWj4L5lvevdyhbGnDvd6cWIvtFeUMcGZ
w2FtMkfHq/U2VzZfixnQN5ZNLfV6/cbGXjsca1ycabGk2ksEUblua/+i4vUrJrE/5nrkbG7By+cQ
QnSh9Xeo3tofnvoCS7ROHKX6s87c5QCgcYA06iDCTlGihg7Gu/KpwDuwXv9X+QYtfEm319q//CPT
hZkLsrGu+irclYHZ4OvBUVx7ODYwi8n7F7lIleVSGwBecJWa4HK+t7aiItFBPDw6NoUpnVM6vDNJ
mDhzuO8Wk8LRs0JM/KmEF337uMb/l+Pj6tEzJZDPro6OApxOGaCGZoB+eyinQX26vd3eR/j9UZsq
oYPy9O0369xkcxdqs66+v7lbbP2LeCEpu/0LAAD//w==</cx:binary>
              </cx:geoCache>
            </cx:geography>
          </cx:layoutPr>
        </cx:series>
      </cx:plotAreaRegion>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49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30000"/>
          </a:schemeClr>
        </a:solidFill>
        <a:round/>
      </a:ln>
    </cs:spPr>
  </cs:gridlineMajor>
  <cs:gridlineMinor>
    <cs:lnRef idx="0"/>
    <cs:fillRef idx="0"/>
    <cs:effectRef idx="0"/>
    <cs:fontRef idx="minor">
      <a:schemeClr val="lt1"/>
    </cs:fontRef>
    <cs:spPr>
      <a:ln>
        <a:solidFill>
          <a:schemeClr val="lt1">
            <a:lumMod val="95000"/>
            <a:alpha val="3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microsoft.com/office/2014/relationships/chartEx" Target="../charts/chartEx1.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8" Type="http://schemas.openxmlformats.org/officeDocument/2006/relationships/chart" Target="../charts/chart6.xml"/><Relationship Id="rId13" Type="http://schemas.openxmlformats.org/officeDocument/2006/relationships/chart" Target="../charts/chart10.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9.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8.xml"/><Relationship Id="rId5" Type="http://schemas.openxmlformats.org/officeDocument/2006/relationships/image" Target="../media/image5.png"/><Relationship Id="rId10" Type="http://schemas.microsoft.com/office/2014/relationships/chartEx" Target="../charts/chartEx2.xml"/><Relationship Id="rId4" Type="http://schemas.openxmlformats.org/officeDocument/2006/relationships/image" Target="../media/image4.png"/><Relationship Id="rId9" Type="http://schemas.openxmlformats.org/officeDocument/2006/relationships/chart" Target="../charts/chart7.xml"/><Relationship Id="rId14" Type="http://schemas.openxmlformats.org/officeDocument/2006/relationships/image" Target="../media/image8.emf"/></Relationships>
</file>

<file path=xl/drawings/drawing1.xml><?xml version="1.0" encoding="utf-8"?>
<xdr:wsDr xmlns:xdr="http://schemas.openxmlformats.org/drawingml/2006/spreadsheetDrawing" xmlns:a="http://schemas.openxmlformats.org/drawingml/2006/main">
  <xdr:twoCellAnchor>
    <xdr:from>
      <xdr:col>2</xdr:col>
      <xdr:colOff>14287</xdr:colOff>
      <xdr:row>16</xdr:row>
      <xdr:rowOff>104774</xdr:rowOff>
    </xdr:from>
    <xdr:to>
      <xdr:col>4</xdr:col>
      <xdr:colOff>85725</xdr:colOff>
      <xdr:row>25</xdr:row>
      <xdr:rowOff>171450</xdr:rowOff>
    </xdr:to>
    <xdr:graphicFrame macro="">
      <xdr:nvGraphicFramePr>
        <xdr:cNvPr id="2" name="Chart 1">
          <a:extLst>
            <a:ext uri="{FF2B5EF4-FFF2-40B4-BE49-F238E27FC236}">
              <a16:creationId xmlns:a16="http://schemas.microsoft.com/office/drawing/2014/main" id="{EE8BD9F6-918D-4CF5-A814-A868C6F729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19050</xdr:colOff>
      <xdr:row>8</xdr:row>
      <xdr:rowOff>133350</xdr:rowOff>
    </xdr:from>
    <xdr:to>
      <xdr:col>6</xdr:col>
      <xdr:colOff>0</xdr:colOff>
      <xdr:row>14</xdr:row>
      <xdr:rowOff>76200</xdr:rowOff>
    </xdr:to>
    <xdr:graphicFrame macro="">
      <xdr:nvGraphicFramePr>
        <xdr:cNvPr id="3" name="Chart 2">
          <a:extLst>
            <a:ext uri="{FF2B5EF4-FFF2-40B4-BE49-F238E27FC236}">
              <a16:creationId xmlns:a16="http://schemas.microsoft.com/office/drawing/2014/main" id="{3A748496-4DD7-4945-BE1D-FC513846E3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24</xdr:col>
      <xdr:colOff>157162</xdr:colOff>
      <xdr:row>11</xdr:row>
      <xdr:rowOff>95250</xdr:rowOff>
    </xdr:from>
    <xdr:to>
      <xdr:col>27</xdr:col>
      <xdr:colOff>38100</xdr:colOff>
      <xdr:row>19</xdr:row>
      <xdr:rowOff>104775</xdr:rowOff>
    </xdr:to>
    <mc:AlternateContent xmlns:mc="http://schemas.openxmlformats.org/markup-compatibility/2006">
      <mc:Choice xmlns:cx4="http://schemas.microsoft.com/office/drawing/2016/5/10/chartex" Requires="cx4">
        <xdr:graphicFrame macro="">
          <xdr:nvGraphicFramePr>
            <xdr:cNvPr id="4" name="Chart 3">
              <a:extLst>
                <a:ext uri="{FF2B5EF4-FFF2-40B4-BE49-F238E27FC236}">
                  <a16:creationId xmlns:a16="http://schemas.microsoft.com/office/drawing/2014/main" id="{689AF06C-9C19-40F2-A865-E695CB4D37C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20426362" y="2085975"/>
              <a:ext cx="2100263" cy="145732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27</xdr:col>
      <xdr:colOff>128587</xdr:colOff>
      <xdr:row>10</xdr:row>
      <xdr:rowOff>152401</xdr:rowOff>
    </xdr:from>
    <xdr:to>
      <xdr:col>30</xdr:col>
      <xdr:colOff>19050</xdr:colOff>
      <xdr:row>20</xdr:row>
      <xdr:rowOff>9525</xdr:rowOff>
    </xdr:to>
    <xdr:graphicFrame macro="">
      <xdr:nvGraphicFramePr>
        <xdr:cNvPr id="6" name="Chart 5">
          <a:extLst>
            <a:ext uri="{FF2B5EF4-FFF2-40B4-BE49-F238E27FC236}">
              <a16:creationId xmlns:a16="http://schemas.microsoft.com/office/drawing/2014/main" id="{0AB226CF-3EA7-4B6E-ADC9-5249D92CD3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766762</xdr:colOff>
      <xdr:row>19</xdr:row>
      <xdr:rowOff>66675</xdr:rowOff>
    </xdr:from>
    <xdr:to>
      <xdr:col>9</xdr:col>
      <xdr:colOff>695325</xdr:colOff>
      <xdr:row>27</xdr:row>
      <xdr:rowOff>66675</xdr:rowOff>
    </xdr:to>
    <xdr:graphicFrame macro="">
      <xdr:nvGraphicFramePr>
        <xdr:cNvPr id="7" name="Chart 6">
          <a:extLst>
            <a:ext uri="{FF2B5EF4-FFF2-40B4-BE49-F238E27FC236}">
              <a16:creationId xmlns:a16="http://schemas.microsoft.com/office/drawing/2014/main" id="{BA4366AE-1159-4416-9534-16CCAD370B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28575</xdr:colOff>
      <xdr:row>9</xdr:row>
      <xdr:rowOff>161925</xdr:rowOff>
    </xdr:from>
    <xdr:to>
      <xdr:col>21</xdr:col>
      <xdr:colOff>590550</xdr:colOff>
      <xdr:row>25</xdr:row>
      <xdr:rowOff>9525</xdr:rowOff>
    </xdr:to>
    <xdr:graphicFrame macro="">
      <xdr:nvGraphicFramePr>
        <xdr:cNvPr id="8" name="Chart 7">
          <a:extLst>
            <a:ext uri="{FF2B5EF4-FFF2-40B4-BE49-F238E27FC236}">
              <a16:creationId xmlns:a16="http://schemas.microsoft.com/office/drawing/2014/main" id="{C2DF8527-B661-45F1-B4B1-7DED6AFEEF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8</xdr:col>
      <xdr:colOff>76200</xdr:colOff>
      <xdr:row>2</xdr:row>
      <xdr:rowOff>85725</xdr:rowOff>
    </xdr:from>
    <xdr:to>
      <xdr:col>10</xdr:col>
      <xdr:colOff>114300</xdr:colOff>
      <xdr:row>16</xdr:row>
      <xdr:rowOff>76200</xdr:rowOff>
    </xdr:to>
    <mc:AlternateContent xmlns:mc="http://schemas.openxmlformats.org/markup-compatibility/2006" xmlns:a14="http://schemas.microsoft.com/office/drawing/2010/main">
      <mc:Choice Requires="a14">
        <xdr:graphicFrame macro="">
          <xdr:nvGraphicFramePr>
            <xdr:cNvPr id="9" name="Seller">
              <a:extLst>
                <a:ext uri="{FF2B5EF4-FFF2-40B4-BE49-F238E27FC236}">
                  <a16:creationId xmlns:a16="http://schemas.microsoft.com/office/drawing/2014/main" id="{F52018F5-1B53-4625-81BC-BC8C02C8C62D}"/>
                </a:ext>
              </a:extLst>
            </xdr:cNvPr>
            <xdr:cNvGraphicFramePr/>
          </xdr:nvGraphicFramePr>
          <xdr:xfrm>
            <a:off x="0" y="0"/>
            <a:ext cx="0" cy="0"/>
          </xdr:xfrm>
          <a:graphic>
            <a:graphicData uri="http://schemas.microsoft.com/office/drawing/2010/slicer">
              <sle:slicer xmlns:sle="http://schemas.microsoft.com/office/drawing/2010/slicer" name="Seller"/>
            </a:graphicData>
          </a:graphic>
        </xdr:graphicFrame>
      </mc:Choice>
      <mc:Fallback xmlns="">
        <xdr:sp macro="" textlink="">
          <xdr:nvSpPr>
            <xdr:cNvPr id="0" name=""/>
            <xdr:cNvSpPr>
              <a:spLocks noTextEdit="1"/>
            </xdr:cNvSpPr>
          </xdr:nvSpPr>
          <xdr:spPr>
            <a:xfrm>
              <a:off x="7839075" y="4476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552450</xdr:colOff>
      <xdr:row>5</xdr:row>
      <xdr:rowOff>19050</xdr:rowOff>
    </xdr:from>
    <xdr:to>
      <xdr:col>10</xdr:col>
      <xdr:colOff>590550</xdr:colOff>
      <xdr:row>19</xdr:row>
      <xdr:rowOff>9525</xdr:rowOff>
    </xdr:to>
    <mc:AlternateContent xmlns:mc="http://schemas.openxmlformats.org/markup-compatibility/2006" xmlns:a14="http://schemas.microsoft.com/office/drawing/2010/main">
      <mc:Choice Requires="a14">
        <xdr:graphicFrame macro="">
          <xdr:nvGraphicFramePr>
            <xdr:cNvPr id="10" name="Payment_Method">
              <a:extLst>
                <a:ext uri="{FF2B5EF4-FFF2-40B4-BE49-F238E27FC236}">
                  <a16:creationId xmlns:a16="http://schemas.microsoft.com/office/drawing/2014/main" id="{9A88284C-1F62-4CF5-B201-597F59876918}"/>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mlns="">
        <xdr:sp macro="" textlink="">
          <xdr:nvSpPr>
            <xdr:cNvPr id="0" name=""/>
            <xdr:cNvSpPr>
              <a:spLocks noTextEdit="1"/>
            </xdr:cNvSpPr>
          </xdr:nvSpPr>
          <xdr:spPr>
            <a:xfrm>
              <a:off x="8315325" y="9239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9525</xdr:colOff>
      <xdr:row>6</xdr:row>
      <xdr:rowOff>76200</xdr:rowOff>
    </xdr:from>
    <xdr:to>
      <xdr:col>8</xdr:col>
      <xdr:colOff>133350</xdr:colOff>
      <xdr:row>20</xdr:row>
      <xdr:rowOff>66675</xdr:rowOff>
    </xdr:to>
    <mc:AlternateContent xmlns:mc="http://schemas.openxmlformats.org/markup-compatibility/2006" xmlns:a14="http://schemas.microsoft.com/office/drawing/2010/main">
      <mc:Choice Requires="a14">
        <xdr:graphicFrame macro="">
          <xdr:nvGraphicFramePr>
            <xdr:cNvPr id="11" name="Sales">
              <a:extLst>
                <a:ext uri="{FF2B5EF4-FFF2-40B4-BE49-F238E27FC236}">
                  <a16:creationId xmlns:a16="http://schemas.microsoft.com/office/drawing/2014/main" id="{587F554D-C42C-4417-BF73-44BD474C9AB6}"/>
                </a:ext>
              </a:extLst>
            </xdr:cNvPr>
            <xdr:cNvGraphicFramePr/>
          </xdr:nvGraphicFramePr>
          <xdr:xfrm>
            <a:off x="0" y="0"/>
            <a:ext cx="0" cy="0"/>
          </xdr:xfrm>
          <a:graphic>
            <a:graphicData uri="http://schemas.microsoft.com/office/drawing/2010/slicer">
              <sle:slicer xmlns:sle="http://schemas.microsoft.com/office/drawing/2010/slicer" name="Sales"/>
            </a:graphicData>
          </a:graphic>
        </xdr:graphicFrame>
      </mc:Choice>
      <mc:Fallback xmlns="">
        <xdr:sp macro="" textlink="">
          <xdr:nvSpPr>
            <xdr:cNvPr id="0" name=""/>
            <xdr:cNvSpPr>
              <a:spLocks noTextEdit="1"/>
            </xdr:cNvSpPr>
          </xdr:nvSpPr>
          <xdr:spPr>
            <a:xfrm>
              <a:off x="6067425" y="11620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85725</xdr:colOff>
      <xdr:row>5</xdr:row>
      <xdr:rowOff>57150</xdr:rowOff>
    </xdr:from>
    <xdr:to>
      <xdr:col>12</xdr:col>
      <xdr:colOff>314325</xdr:colOff>
      <xdr:row>19</xdr:row>
      <xdr:rowOff>47625</xdr:rowOff>
    </xdr:to>
    <mc:AlternateContent xmlns:mc="http://schemas.openxmlformats.org/markup-compatibility/2006" xmlns:a14="http://schemas.microsoft.com/office/drawing/2010/main">
      <mc:Choice Requires="a14">
        <xdr:graphicFrame macro="">
          <xdr:nvGraphicFramePr>
            <xdr:cNvPr id="12" name="Month">
              <a:extLst>
                <a:ext uri="{FF2B5EF4-FFF2-40B4-BE49-F238E27FC236}">
                  <a16:creationId xmlns:a16="http://schemas.microsoft.com/office/drawing/2014/main" id="{073A1BCF-06B7-4D50-917E-D78E27972CDF}"/>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9639300" y="9620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247649</xdr:colOff>
      <xdr:row>0</xdr:row>
      <xdr:rowOff>57149</xdr:rowOff>
    </xdr:from>
    <xdr:to>
      <xdr:col>15</xdr:col>
      <xdr:colOff>104774</xdr:colOff>
      <xdr:row>4</xdr:row>
      <xdr:rowOff>161925</xdr:rowOff>
    </xdr:to>
    <xdr:sp macro="" textlink="">
      <xdr:nvSpPr>
        <xdr:cNvPr id="2" name="Rectangle: Rounded Corners 1">
          <a:extLst>
            <a:ext uri="{FF2B5EF4-FFF2-40B4-BE49-F238E27FC236}">
              <a16:creationId xmlns:a16="http://schemas.microsoft.com/office/drawing/2014/main" id="{383BB190-F24B-40CA-B5BA-BDBFEE9B8005}"/>
            </a:ext>
          </a:extLst>
        </xdr:cNvPr>
        <xdr:cNvSpPr/>
      </xdr:nvSpPr>
      <xdr:spPr>
        <a:xfrm>
          <a:off x="247649" y="57149"/>
          <a:ext cx="10144125" cy="828676"/>
        </a:xfrm>
        <a:prstGeom prst="roundRect">
          <a:avLst/>
        </a:prstGeom>
        <a:solidFill>
          <a:srgbClr val="00206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76200</xdr:colOff>
      <xdr:row>5</xdr:row>
      <xdr:rowOff>38099</xdr:rowOff>
    </xdr:from>
    <xdr:to>
      <xdr:col>2</xdr:col>
      <xdr:colOff>28576</xdr:colOff>
      <xdr:row>33</xdr:row>
      <xdr:rowOff>19050</xdr:rowOff>
    </xdr:to>
    <xdr:sp macro="" textlink="">
      <xdr:nvSpPr>
        <xdr:cNvPr id="3" name="Rectangle: Rounded Corners 2">
          <a:extLst>
            <a:ext uri="{FF2B5EF4-FFF2-40B4-BE49-F238E27FC236}">
              <a16:creationId xmlns:a16="http://schemas.microsoft.com/office/drawing/2014/main" id="{F7DD66CB-6E43-4DEE-AB6C-7EF7F2A75652}"/>
            </a:ext>
          </a:extLst>
        </xdr:cNvPr>
        <xdr:cNvSpPr/>
      </xdr:nvSpPr>
      <xdr:spPr>
        <a:xfrm>
          <a:off x="76200" y="942974"/>
          <a:ext cx="1323976" cy="5048251"/>
        </a:xfrm>
        <a:prstGeom prst="roundRect">
          <a:avLst/>
        </a:prstGeom>
        <a:solidFill>
          <a:srgbClr val="00206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447676</xdr:colOff>
      <xdr:row>0</xdr:row>
      <xdr:rowOff>85725</xdr:rowOff>
    </xdr:from>
    <xdr:to>
      <xdr:col>2</xdr:col>
      <xdr:colOff>676276</xdr:colOff>
      <xdr:row>5</xdr:row>
      <xdr:rowOff>81863</xdr:rowOff>
    </xdr:to>
    <xdr:pic>
      <xdr:nvPicPr>
        <xdr:cNvPr id="5" name="Picture 4">
          <a:extLst>
            <a:ext uri="{FF2B5EF4-FFF2-40B4-BE49-F238E27FC236}">
              <a16:creationId xmlns:a16="http://schemas.microsoft.com/office/drawing/2014/main" id="{CD66E063-F501-4CB5-9540-475B1EC8FFC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47676" y="85725"/>
          <a:ext cx="1600200" cy="901013"/>
        </a:xfrm>
        <a:prstGeom prst="rect">
          <a:avLst/>
        </a:prstGeom>
      </xdr:spPr>
    </xdr:pic>
    <xdr:clientData/>
  </xdr:twoCellAnchor>
  <xdr:twoCellAnchor editAs="oneCell">
    <xdr:from>
      <xdr:col>13</xdr:col>
      <xdr:colOff>161926</xdr:colOff>
      <xdr:row>0</xdr:row>
      <xdr:rowOff>47625</xdr:rowOff>
    </xdr:from>
    <xdr:to>
      <xdr:col>14</xdr:col>
      <xdr:colOff>400051</xdr:colOff>
      <xdr:row>5</xdr:row>
      <xdr:rowOff>66675</xdr:rowOff>
    </xdr:to>
    <xdr:pic>
      <xdr:nvPicPr>
        <xdr:cNvPr id="7" name="Picture 6">
          <a:extLst>
            <a:ext uri="{FF2B5EF4-FFF2-40B4-BE49-F238E27FC236}">
              <a16:creationId xmlns:a16="http://schemas.microsoft.com/office/drawing/2014/main" id="{9ABEC5D4-4FFF-4E51-BC6D-E6820F199B2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077326" y="47625"/>
          <a:ext cx="923925" cy="923925"/>
        </a:xfrm>
        <a:prstGeom prst="rect">
          <a:avLst/>
        </a:prstGeom>
      </xdr:spPr>
    </xdr:pic>
    <xdr:clientData/>
  </xdr:twoCellAnchor>
  <xdr:twoCellAnchor>
    <xdr:from>
      <xdr:col>4</xdr:col>
      <xdr:colOff>638175</xdr:colOff>
      <xdr:row>5</xdr:row>
      <xdr:rowOff>104775</xdr:rowOff>
    </xdr:from>
    <xdr:to>
      <xdr:col>7</xdr:col>
      <xdr:colOff>285750</xdr:colOff>
      <xdr:row>10</xdr:row>
      <xdr:rowOff>47625</xdr:rowOff>
    </xdr:to>
    <xdr:sp macro="" textlink="">
      <xdr:nvSpPr>
        <xdr:cNvPr id="9" name="Rectangle: Rounded Corners 8">
          <a:extLst>
            <a:ext uri="{FF2B5EF4-FFF2-40B4-BE49-F238E27FC236}">
              <a16:creationId xmlns:a16="http://schemas.microsoft.com/office/drawing/2014/main" id="{6CB52102-A770-4D7A-B385-8C191529DA1D}"/>
            </a:ext>
          </a:extLst>
        </xdr:cNvPr>
        <xdr:cNvSpPr/>
      </xdr:nvSpPr>
      <xdr:spPr>
        <a:xfrm>
          <a:off x="3381375" y="1009650"/>
          <a:ext cx="1704975" cy="847725"/>
        </a:xfrm>
        <a:prstGeom prst="roundRect">
          <a:avLst/>
        </a:prstGeom>
        <a:gradFill flip="none" rotWithShape="1">
          <a:gsLst>
            <a:gs pos="72568">
              <a:srgbClr val="22C55E"/>
            </a:gs>
            <a:gs pos="0">
              <a:srgbClr val="22C55E"/>
            </a:gs>
            <a:gs pos="46000">
              <a:srgbClr val="86EFAC"/>
            </a:gs>
            <a:gs pos="100000">
              <a:srgbClr val="22C55E"/>
            </a:gs>
          </a:gsLst>
          <a:path path="circle">
            <a:fillToRect t="100000" r="100000"/>
          </a:path>
          <a:tileRect l="-100000" b="-100000"/>
        </a:gradFill>
        <a:ln>
          <a:noFill/>
        </a:ln>
        <a:effectLst>
          <a:outerShdw blurRad="50800" dist="38100" dir="18900000" algn="bl" rotWithShape="0">
            <a:prstClr val="black">
              <a:alpha val="40000"/>
            </a:prst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390525</xdr:colOff>
      <xdr:row>5</xdr:row>
      <xdr:rowOff>76201</xdr:rowOff>
    </xdr:from>
    <xdr:to>
      <xdr:col>10</xdr:col>
      <xdr:colOff>66675</xdr:colOff>
      <xdr:row>10</xdr:row>
      <xdr:rowOff>9525</xdr:rowOff>
    </xdr:to>
    <xdr:sp macro="" textlink="">
      <xdr:nvSpPr>
        <xdr:cNvPr id="10" name="Rectangle: Rounded Corners 9">
          <a:extLst>
            <a:ext uri="{FF2B5EF4-FFF2-40B4-BE49-F238E27FC236}">
              <a16:creationId xmlns:a16="http://schemas.microsoft.com/office/drawing/2014/main" id="{BC7BD79C-7CFB-40AE-BAA7-778DAB5C106C}"/>
            </a:ext>
          </a:extLst>
        </xdr:cNvPr>
        <xdr:cNvSpPr/>
      </xdr:nvSpPr>
      <xdr:spPr>
        <a:xfrm>
          <a:off x="5191125" y="981076"/>
          <a:ext cx="1733550" cy="838199"/>
        </a:xfrm>
        <a:prstGeom prst="roundRect">
          <a:avLst/>
        </a:prstGeom>
        <a:gradFill flip="none" rotWithShape="1">
          <a:gsLst>
            <a:gs pos="59000">
              <a:srgbClr val="FFE194"/>
            </a:gs>
            <a:gs pos="14000">
              <a:srgbClr val="F59E0B"/>
            </a:gs>
            <a:gs pos="55000">
              <a:srgbClr val="FFE194"/>
            </a:gs>
            <a:gs pos="95000">
              <a:srgbClr val="F5C04A"/>
            </a:gs>
          </a:gsLst>
          <a:lin ang="0" scaled="1"/>
          <a:tileRect/>
        </a:gradFill>
        <a:ln>
          <a:noFill/>
        </a:ln>
        <a:effectLst>
          <a:outerShdw blurRad="50800" dist="38100" dir="18900000" algn="bl" rotWithShape="0">
            <a:prstClr val="black">
              <a:alpha val="40000"/>
            </a:prst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190501</xdr:colOff>
      <xdr:row>5</xdr:row>
      <xdr:rowOff>66675</xdr:rowOff>
    </xdr:from>
    <xdr:to>
      <xdr:col>12</xdr:col>
      <xdr:colOff>495301</xdr:colOff>
      <xdr:row>9</xdr:row>
      <xdr:rowOff>171450</xdr:rowOff>
    </xdr:to>
    <xdr:sp macro="" textlink="">
      <xdr:nvSpPr>
        <xdr:cNvPr id="11" name="Rectangle: Rounded Corners 10">
          <a:extLst>
            <a:ext uri="{FF2B5EF4-FFF2-40B4-BE49-F238E27FC236}">
              <a16:creationId xmlns:a16="http://schemas.microsoft.com/office/drawing/2014/main" id="{BA2729E6-6707-4150-9BC7-6FC309C5E46A}"/>
            </a:ext>
          </a:extLst>
        </xdr:cNvPr>
        <xdr:cNvSpPr/>
      </xdr:nvSpPr>
      <xdr:spPr>
        <a:xfrm>
          <a:off x="7048501" y="971550"/>
          <a:ext cx="1676400" cy="828675"/>
        </a:xfrm>
        <a:prstGeom prst="roundRect">
          <a:avLst/>
        </a:prstGeom>
        <a:gradFill>
          <a:gsLst>
            <a:gs pos="30000">
              <a:srgbClr val="885CF6"/>
            </a:gs>
            <a:gs pos="0">
              <a:srgbClr val="C4D5FA"/>
            </a:gs>
            <a:gs pos="66400">
              <a:srgbClr val="8768E8"/>
            </a:gs>
            <a:gs pos="100000">
              <a:srgbClr val="DD88F5"/>
            </a:gs>
          </a:gsLst>
          <a:lin ang="5400000" scaled="1"/>
        </a:gradFill>
        <a:ln>
          <a:noFill/>
        </a:ln>
        <a:effectLst>
          <a:outerShdw blurRad="50800" dist="38100" dir="18900000" algn="bl" rotWithShape="0">
            <a:prstClr val="black">
              <a:alpha val="40000"/>
            </a:prst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12</xdr:col>
      <xdr:colOff>638174</xdr:colOff>
      <xdr:row>5</xdr:row>
      <xdr:rowOff>76202</xdr:rowOff>
    </xdr:from>
    <xdr:to>
      <xdr:col>15</xdr:col>
      <xdr:colOff>171449</xdr:colOff>
      <xdr:row>10</xdr:row>
      <xdr:rowOff>0</xdr:rowOff>
    </xdr:to>
    <xdr:sp macro="" textlink="">
      <xdr:nvSpPr>
        <xdr:cNvPr id="12" name="Rectangle: Rounded Corners 11">
          <a:extLst>
            <a:ext uri="{FF2B5EF4-FFF2-40B4-BE49-F238E27FC236}">
              <a16:creationId xmlns:a16="http://schemas.microsoft.com/office/drawing/2014/main" id="{0F1F45A0-4B76-42E9-B765-C64BF5F8BF0F}"/>
            </a:ext>
          </a:extLst>
        </xdr:cNvPr>
        <xdr:cNvSpPr/>
      </xdr:nvSpPr>
      <xdr:spPr>
        <a:xfrm>
          <a:off x="8867774" y="981077"/>
          <a:ext cx="1590675" cy="828673"/>
        </a:xfrm>
        <a:prstGeom prst="roundRect">
          <a:avLst/>
        </a:prstGeom>
        <a:gradFill flip="none" rotWithShape="1">
          <a:gsLst>
            <a:gs pos="72544">
              <a:srgbClr val="FFB6C5"/>
            </a:gs>
            <a:gs pos="19000">
              <a:srgbClr val="F43F5E"/>
            </a:gs>
            <a:gs pos="48000">
              <a:srgbClr val="FB3185"/>
            </a:gs>
            <a:gs pos="100000">
              <a:srgbClr val="FF6B85"/>
            </a:gs>
          </a:gsLst>
          <a:lin ang="16200000" scaled="1"/>
          <a:tileRect/>
        </a:gradFill>
        <a:ln>
          <a:noFill/>
        </a:ln>
        <a:effectLst>
          <a:outerShdw blurRad="50800" dist="38100" dir="18900000" algn="bl" rotWithShape="0">
            <a:prstClr val="black">
              <a:alpha val="40000"/>
            </a:prst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2</xdr:col>
      <xdr:colOff>142876</xdr:colOff>
      <xdr:row>10</xdr:row>
      <xdr:rowOff>114301</xdr:rowOff>
    </xdr:from>
    <xdr:to>
      <xdr:col>6</xdr:col>
      <xdr:colOff>504826</xdr:colOff>
      <xdr:row>20</xdr:row>
      <xdr:rowOff>171451</xdr:rowOff>
    </xdr:to>
    <xdr:sp macro="" textlink="">
      <xdr:nvSpPr>
        <xdr:cNvPr id="39" name="Rectangle: Rounded Corners 38">
          <a:extLst>
            <a:ext uri="{FF2B5EF4-FFF2-40B4-BE49-F238E27FC236}">
              <a16:creationId xmlns:a16="http://schemas.microsoft.com/office/drawing/2014/main" id="{8CDF29BF-7DCD-45C8-88DB-898ECF0764B9}"/>
            </a:ext>
          </a:extLst>
        </xdr:cNvPr>
        <xdr:cNvSpPr/>
      </xdr:nvSpPr>
      <xdr:spPr>
        <a:xfrm>
          <a:off x="1514476" y="1924051"/>
          <a:ext cx="3105150" cy="1866900"/>
        </a:xfrm>
        <a:prstGeom prst="roundRect">
          <a:avLst/>
        </a:prstGeom>
        <a:gradFill>
          <a:gsLst>
            <a:gs pos="0">
              <a:schemeClr val="accent1">
                <a:lumMod val="5000"/>
                <a:lumOff val="95000"/>
              </a:schemeClr>
            </a:gs>
            <a:gs pos="10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561976</xdr:colOff>
      <xdr:row>10</xdr:row>
      <xdr:rowOff>161926</xdr:rowOff>
    </xdr:from>
    <xdr:to>
      <xdr:col>11</xdr:col>
      <xdr:colOff>238126</xdr:colOff>
      <xdr:row>21</xdr:row>
      <xdr:rowOff>38101</xdr:rowOff>
    </xdr:to>
    <xdr:sp macro="" textlink="">
      <xdr:nvSpPr>
        <xdr:cNvPr id="40" name="Rectangle: Rounded Corners 39">
          <a:extLst>
            <a:ext uri="{FF2B5EF4-FFF2-40B4-BE49-F238E27FC236}">
              <a16:creationId xmlns:a16="http://schemas.microsoft.com/office/drawing/2014/main" id="{AD85243A-33EE-4FD5-A7D5-E8476C71AC54}"/>
            </a:ext>
          </a:extLst>
        </xdr:cNvPr>
        <xdr:cNvSpPr/>
      </xdr:nvSpPr>
      <xdr:spPr>
        <a:xfrm>
          <a:off x="4676776" y="1971676"/>
          <a:ext cx="3105150" cy="1866900"/>
        </a:xfrm>
        <a:prstGeom prst="roundRect">
          <a:avLst/>
        </a:prstGeom>
        <a:gradFill flip="none" rotWithShape="1">
          <a:gsLst>
            <a:gs pos="0">
              <a:schemeClr val="accent5">
                <a:lumMod val="5000"/>
                <a:lumOff val="95000"/>
              </a:schemeClr>
            </a:gs>
            <a:gs pos="74000">
              <a:schemeClr val="accent5">
                <a:lumMod val="45000"/>
                <a:lumOff val="55000"/>
              </a:schemeClr>
            </a:gs>
            <a:gs pos="83000">
              <a:schemeClr val="accent5">
                <a:lumMod val="45000"/>
                <a:lumOff val="55000"/>
              </a:schemeClr>
            </a:gs>
            <a:gs pos="100000">
              <a:schemeClr val="accent5">
                <a:lumMod val="30000"/>
                <a:lumOff val="70000"/>
              </a:schemeClr>
            </a:gs>
          </a:gsLst>
          <a:lin ang="5400000" scaled="1"/>
          <a:tileRect/>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333376</xdr:colOff>
      <xdr:row>10</xdr:row>
      <xdr:rowOff>85726</xdr:rowOff>
    </xdr:from>
    <xdr:to>
      <xdr:col>16</xdr:col>
      <xdr:colOff>9526</xdr:colOff>
      <xdr:row>20</xdr:row>
      <xdr:rowOff>142876</xdr:rowOff>
    </xdr:to>
    <xdr:sp macro="" textlink="">
      <xdr:nvSpPr>
        <xdr:cNvPr id="41" name="Rectangle: Rounded Corners 40">
          <a:extLst>
            <a:ext uri="{FF2B5EF4-FFF2-40B4-BE49-F238E27FC236}">
              <a16:creationId xmlns:a16="http://schemas.microsoft.com/office/drawing/2014/main" id="{0D963F67-3610-45FB-BE13-9E6C7F40AB4E}"/>
            </a:ext>
          </a:extLst>
        </xdr:cNvPr>
        <xdr:cNvSpPr/>
      </xdr:nvSpPr>
      <xdr:spPr>
        <a:xfrm>
          <a:off x="7877176" y="1895476"/>
          <a:ext cx="3105150" cy="1866900"/>
        </a:xfrm>
        <a:prstGeom prst="roundRect">
          <a:avLst/>
        </a:prstGeom>
        <a:gradFill flip="none" rotWithShape="1">
          <a:gsLst>
            <a:gs pos="0">
              <a:schemeClr val="accent6">
                <a:lumMod val="5000"/>
                <a:lumOff val="95000"/>
              </a:schemeClr>
            </a:gs>
            <a:gs pos="74000">
              <a:schemeClr val="accent6">
                <a:lumMod val="45000"/>
                <a:lumOff val="55000"/>
              </a:schemeClr>
            </a:gs>
            <a:gs pos="83000">
              <a:schemeClr val="accent6">
                <a:lumMod val="45000"/>
                <a:lumOff val="55000"/>
              </a:schemeClr>
            </a:gs>
            <a:gs pos="100000">
              <a:schemeClr val="accent6">
                <a:lumMod val="30000"/>
                <a:lumOff val="70000"/>
              </a:schemeClr>
            </a:gs>
          </a:gsLst>
          <a:lin ang="5400000" scaled="1"/>
          <a:tileRect/>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180976</xdr:colOff>
      <xdr:row>21</xdr:row>
      <xdr:rowOff>47626</xdr:rowOff>
    </xdr:from>
    <xdr:to>
      <xdr:col>6</xdr:col>
      <xdr:colOff>542926</xdr:colOff>
      <xdr:row>31</xdr:row>
      <xdr:rowOff>104776</xdr:rowOff>
    </xdr:to>
    <xdr:sp macro="" textlink="">
      <xdr:nvSpPr>
        <xdr:cNvPr id="42" name="Rectangle: Rounded Corners 41">
          <a:extLst>
            <a:ext uri="{FF2B5EF4-FFF2-40B4-BE49-F238E27FC236}">
              <a16:creationId xmlns:a16="http://schemas.microsoft.com/office/drawing/2014/main" id="{2AEC49E3-8BE1-4A0C-BEF6-4767FE80BF5E}"/>
            </a:ext>
          </a:extLst>
        </xdr:cNvPr>
        <xdr:cNvSpPr/>
      </xdr:nvSpPr>
      <xdr:spPr>
        <a:xfrm>
          <a:off x="1552576" y="3848101"/>
          <a:ext cx="3105150" cy="1866900"/>
        </a:xfrm>
        <a:prstGeom prst="roundRect">
          <a:avLst/>
        </a:prstGeom>
        <a:gradFill flip="none" rotWithShape="1">
          <a:gsLst>
            <a:gs pos="0">
              <a:schemeClr val="accent2">
                <a:lumMod val="0"/>
                <a:lumOff val="100000"/>
              </a:schemeClr>
            </a:gs>
            <a:gs pos="35000">
              <a:schemeClr val="accent2">
                <a:lumMod val="0"/>
                <a:lumOff val="100000"/>
              </a:schemeClr>
            </a:gs>
            <a:gs pos="100000">
              <a:schemeClr val="accent2">
                <a:lumMod val="100000"/>
              </a:schemeClr>
            </a:gs>
          </a:gsLst>
          <a:path path="circle">
            <a:fillToRect l="50000" t="-80000" r="50000" b="180000"/>
          </a:path>
          <a:tileRect/>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619125</xdr:colOff>
      <xdr:row>21</xdr:row>
      <xdr:rowOff>104775</xdr:rowOff>
    </xdr:from>
    <xdr:to>
      <xdr:col>11</xdr:col>
      <xdr:colOff>295275</xdr:colOff>
      <xdr:row>31</xdr:row>
      <xdr:rowOff>161925</xdr:rowOff>
    </xdr:to>
    <xdr:sp macro="" textlink="">
      <xdr:nvSpPr>
        <xdr:cNvPr id="43" name="Rectangle: Rounded Corners 42">
          <a:extLst>
            <a:ext uri="{FF2B5EF4-FFF2-40B4-BE49-F238E27FC236}">
              <a16:creationId xmlns:a16="http://schemas.microsoft.com/office/drawing/2014/main" id="{63EC2A54-25C0-48F2-B454-C0C9D1A6058B}"/>
            </a:ext>
          </a:extLst>
        </xdr:cNvPr>
        <xdr:cNvSpPr/>
      </xdr:nvSpPr>
      <xdr:spPr>
        <a:xfrm>
          <a:off x="4733925" y="3905250"/>
          <a:ext cx="3105150" cy="1866900"/>
        </a:xfrm>
        <a:prstGeom prst="roundRect">
          <a:avLst/>
        </a:prstGeom>
        <a:gradFill flip="none" rotWithShape="1">
          <a:gsLst>
            <a:gs pos="0">
              <a:schemeClr val="accent6">
                <a:lumMod val="40000"/>
                <a:lumOff val="60000"/>
              </a:schemeClr>
            </a:gs>
            <a:gs pos="35000">
              <a:schemeClr val="accent6">
                <a:lumMod val="95000"/>
                <a:lumOff val="5000"/>
              </a:schemeClr>
            </a:gs>
            <a:gs pos="100000">
              <a:schemeClr val="accent6">
                <a:lumMod val="60000"/>
              </a:schemeClr>
            </a:gs>
          </a:gsLst>
          <a:path path="circle">
            <a:fillToRect l="50000" t="130000" r="50000" b="-30000"/>
          </a:path>
          <a:tileRect/>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409575</xdr:colOff>
      <xdr:row>21</xdr:row>
      <xdr:rowOff>76200</xdr:rowOff>
    </xdr:from>
    <xdr:to>
      <xdr:col>16</xdr:col>
      <xdr:colOff>85725</xdr:colOff>
      <xdr:row>31</xdr:row>
      <xdr:rowOff>133350</xdr:rowOff>
    </xdr:to>
    <xdr:sp macro="" textlink="">
      <xdr:nvSpPr>
        <xdr:cNvPr id="44" name="Rectangle: Rounded Corners 43">
          <a:extLst>
            <a:ext uri="{FF2B5EF4-FFF2-40B4-BE49-F238E27FC236}">
              <a16:creationId xmlns:a16="http://schemas.microsoft.com/office/drawing/2014/main" id="{52A9B160-234D-4E3C-A24A-CD1CCF466886}"/>
            </a:ext>
          </a:extLst>
        </xdr:cNvPr>
        <xdr:cNvSpPr/>
      </xdr:nvSpPr>
      <xdr:spPr>
        <a:xfrm>
          <a:off x="7953375" y="3876675"/>
          <a:ext cx="3105150" cy="1866900"/>
        </a:xfrm>
        <a:prstGeom prst="roundRect">
          <a:avLst/>
        </a:prstGeom>
        <a:gradFill flip="none" rotWithShape="1">
          <a:gsLst>
            <a:gs pos="0">
              <a:schemeClr val="accent5">
                <a:lumMod val="89000"/>
              </a:schemeClr>
            </a:gs>
            <a:gs pos="23000">
              <a:schemeClr val="accent5">
                <a:lumMod val="89000"/>
              </a:schemeClr>
            </a:gs>
            <a:gs pos="69000">
              <a:schemeClr val="accent5">
                <a:lumMod val="75000"/>
              </a:schemeClr>
            </a:gs>
            <a:gs pos="97000">
              <a:schemeClr val="accent5">
                <a:lumMod val="70000"/>
              </a:schemeClr>
            </a:gs>
          </a:gsLst>
          <a:path path="circle">
            <a:fillToRect l="50000" t="50000" r="50000" b="50000"/>
          </a:path>
          <a:tileRect/>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552450</xdr:colOff>
      <xdr:row>0</xdr:row>
      <xdr:rowOff>142875</xdr:rowOff>
    </xdr:from>
    <xdr:to>
      <xdr:col>12</xdr:col>
      <xdr:colOff>523875</xdr:colOff>
      <xdr:row>3</xdr:row>
      <xdr:rowOff>142875</xdr:rowOff>
    </xdr:to>
    <xdr:sp macro="" textlink="">
      <xdr:nvSpPr>
        <xdr:cNvPr id="45" name="TextBox 44">
          <a:extLst>
            <a:ext uri="{FF2B5EF4-FFF2-40B4-BE49-F238E27FC236}">
              <a16:creationId xmlns:a16="http://schemas.microsoft.com/office/drawing/2014/main" id="{C7E11EDE-786D-4117-86E5-1D72A05A7FE3}"/>
            </a:ext>
          </a:extLst>
        </xdr:cNvPr>
        <xdr:cNvSpPr txBox="1"/>
      </xdr:nvSpPr>
      <xdr:spPr>
        <a:xfrm>
          <a:off x="1924050" y="142875"/>
          <a:ext cx="6829425" cy="542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200">
              <a:solidFill>
                <a:schemeClr val="bg1"/>
              </a:solidFill>
              <a:latin typeface="Arial Black" panose="020B0A04020102020204" pitchFamily="34" charset="0"/>
            </a:rPr>
            <a:t>Amazon</a:t>
          </a:r>
          <a:r>
            <a:rPr lang="en-IN" sz="3200" baseline="0">
              <a:latin typeface="Arial Black" panose="020B0A04020102020204" pitchFamily="34" charset="0"/>
            </a:rPr>
            <a:t> </a:t>
          </a:r>
          <a:r>
            <a:rPr lang="en-IN" sz="3200" baseline="0">
              <a:solidFill>
                <a:srgbClr val="FFC000"/>
              </a:solidFill>
              <a:latin typeface="Arial Black" panose="020B0A04020102020204" pitchFamily="34" charset="0"/>
            </a:rPr>
            <a:t>Sales Dasboard</a:t>
          </a:r>
          <a:endParaRPr lang="en-IN" sz="3200">
            <a:solidFill>
              <a:srgbClr val="FFC000"/>
            </a:solidFill>
            <a:latin typeface="Arial Black" panose="020B0A04020102020204" pitchFamily="34" charset="0"/>
          </a:endParaRPr>
        </a:p>
      </xdr:txBody>
    </xdr:sp>
    <xdr:clientData/>
  </xdr:twoCellAnchor>
  <xdr:twoCellAnchor>
    <xdr:from>
      <xdr:col>2</xdr:col>
      <xdr:colOff>142875</xdr:colOff>
      <xdr:row>5</xdr:row>
      <xdr:rowOff>104775</xdr:rowOff>
    </xdr:from>
    <xdr:to>
      <xdr:col>4</xdr:col>
      <xdr:colOff>571499</xdr:colOff>
      <xdr:row>10</xdr:row>
      <xdr:rowOff>47625</xdr:rowOff>
    </xdr:to>
    <xdr:grpSp>
      <xdr:nvGrpSpPr>
        <xdr:cNvPr id="80" name="Group 79">
          <a:extLst>
            <a:ext uri="{FF2B5EF4-FFF2-40B4-BE49-F238E27FC236}">
              <a16:creationId xmlns:a16="http://schemas.microsoft.com/office/drawing/2014/main" id="{D2CDAB20-D988-4622-9198-C414FC8F52DE}"/>
            </a:ext>
          </a:extLst>
        </xdr:cNvPr>
        <xdr:cNvGrpSpPr/>
      </xdr:nvGrpSpPr>
      <xdr:grpSpPr>
        <a:xfrm>
          <a:off x="1514475" y="1009650"/>
          <a:ext cx="1800224" cy="847725"/>
          <a:chOff x="1504950" y="1000125"/>
          <a:chExt cx="1800224" cy="847725"/>
        </a:xfrm>
      </xdr:grpSpPr>
      <xdr:sp macro="" textlink="">
        <xdr:nvSpPr>
          <xdr:cNvPr id="8" name="Rectangle: Rounded Corners 7">
            <a:extLst>
              <a:ext uri="{FF2B5EF4-FFF2-40B4-BE49-F238E27FC236}">
                <a16:creationId xmlns:a16="http://schemas.microsoft.com/office/drawing/2014/main" id="{973D444B-FF51-411D-B2AA-19E10888446F}"/>
              </a:ext>
            </a:extLst>
          </xdr:cNvPr>
          <xdr:cNvSpPr/>
        </xdr:nvSpPr>
        <xdr:spPr>
          <a:xfrm>
            <a:off x="1504950" y="1000126"/>
            <a:ext cx="1771649" cy="847724"/>
          </a:xfrm>
          <a:prstGeom prst="roundRect">
            <a:avLst/>
          </a:prstGeom>
          <a:gradFill>
            <a:gsLst>
              <a:gs pos="78742">
                <a:srgbClr val="7DBFF0"/>
              </a:gs>
              <a:gs pos="59276">
                <a:srgbClr val="7089F8"/>
              </a:gs>
              <a:gs pos="31900">
                <a:srgbClr val="4C98FA"/>
              </a:gs>
              <a:gs pos="0">
                <a:schemeClr val="accent1">
                  <a:lumMod val="5000"/>
                  <a:lumOff val="95000"/>
                </a:schemeClr>
              </a:gs>
              <a:gs pos="100000">
                <a:schemeClr val="accent1">
                  <a:lumMod val="30000"/>
                  <a:lumOff val="70000"/>
                </a:schemeClr>
              </a:gs>
            </a:gsLst>
            <a:lin ang="5400000" scaled="1"/>
          </a:gradFill>
          <a:ln>
            <a:noFill/>
          </a:ln>
          <a:effectLst>
            <a:outerShdw blurRad="50800" dist="38100" dir="16200000" rotWithShape="0">
              <a:prstClr val="black">
                <a:alpha val="40000"/>
              </a:prst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pic>
        <xdr:nvPicPr>
          <xdr:cNvPr id="22" name="Picture 21">
            <a:extLst>
              <a:ext uri="{FF2B5EF4-FFF2-40B4-BE49-F238E27FC236}">
                <a16:creationId xmlns:a16="http://schemas.microsoft.com/office/drawing/2014/main" id="{4B4FC7A3-F686-4176-9983-449C64449509}"/>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571626" y="1009650"/>
            <a:ext cx="514349" cy="565975"/>
          </a:xfrm>
          <a:prstGeom prst="rect">
            <a:avLst/>
          </a:prstGeom>
        </xdr:spPr>
      </xdr:pic>
      <xdr:sp macro="" textlink="PIVOT!A11">
        <xdr:nvSpPr>
          <xdr:cNvPr id="47" name="TextBox 46">
            <a:extLst>
              <a:ext uri="{FF2B5EF4-FFF2-40B4-BE49-F238E27FC236}">
                <a16:creationId xmlns:a16="http://schemas.microsoft.com/office/drawing/2014/main" id="{D2AFFF60-FDDD-4C42-BCB8-3636F4770954}"/>
              </a:ext>
            </a:extLst>
          </xdr:cNvPr>
          <xdr:cNvSpPr txBox="1"/>
        </xdr:nvSpPr>
        <xdr:spPr>
          <a:xfrm>
            <a:off x="2095499" y="1000125"/>
            <a:ext cx="866775" cy="47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FD52F41-6D02-4D8F-8B21-405CD88B4975}" type="TxLink">
              <a:rPr lang="en-US" sz="2400" b="0" i="0" u="none" strike="noStrike">
                <a:solidFill>
                  <a:srgbClr val="000000"/>
                </a:solidFill>
                <a:latin typeface="Times New Roman" panose="02020603050405020304" pitchFamily="18" charset="0"/>
                <a:cs typeface="Times New Roman" panose="02020603050405020304" pitchFamily="18" charset="0"/>
              </a:rPr>
              <a:pPr algn="ctr"/>
              <a:t>23M</a:t>
            </a:fld>
            <a:endParaRPr lang="en-IN" sz="2400" b="0">
              <a:solidFill>
                <a:srgbClr val="FFC000"/>
              </a:solidFill>
              <a:latin typeface="Times New Roman" panose="02020603050405020304" pitchFamily="18" charset="0"/>
              <a:cs typeface="Times New Roman" panose="02020603050405020304" pitchFamily="18" charset="0"/>
            </a:endParaRPr>
          </a:p>
        </xdr:txBody>
      </xdr:sp>
      <xdr:sp macro="" textlink="PIVOT!A11">
        <xdr:nvSpPr>
          <xdr:cNvPr id="48" name="TextBox 47">
            <a:extLst>
              <a:ext uri="{FF2B5EF4-FFF2-40B4-BE49-F238E27FC236}">
                <a16:creationId xmlns:a16="http://schemas.microsoft.com/office/drawing/2014/main" id="{218E7592-0A0A-4C99-B98B-61C05CDAD02E}"/>
              </a:ext>
            </a:extLst>
          </xdr:cNvPr>
          <xdr:cNvSpPr txBox="1"/>
        </xdr:nvSpPr>
        <xdr:spPr>
          <a:xfrm>
            <a:off x="1685923" y="1562100"/>
            <a:ext cx="1619251" cy="161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0">
                <a:solidFill>
                  <a:sysClr val="windowText" lastClr="000000"/>
                </a:solidFill>
                <a:latin typeface="Times New Roman" panose="02020603050405020304" pitchFamily="18" charset="0"/>
                <a:cs typeface="Times New Roman" panose="02020603050405020304" pitchFamily="18" charset="0"/>
              </a:rPr>
              <a:t>Total Sales</a:t>
            </a:r>
          </a:p>
        </xdr:txBody>
      </xdr:sp>
    </xdr:grpSp>
    <xdr:clientData/>
  </xdr:twoCellAnchor>
  <xdr:twoCellAnchor>
    <xdr:from>
      <xdr:col>4</xdr:col>
      <xdr:colOff>600076</xdr:colOff>
      <xdr:row>5</xdr:row>
      <xdr:rowOff>66676</xdr:rowOff>
    </xdr:from>
    <xdr:to>
      <xdr:col>7</xdr:col>
      <xdr:colOff>257175</xdr:colOff>
      <xdr:row>9</xdr:row>
      <xdr:rowOff>161925</xdr:rowOff>
    </xdr:to>
    <xdr:grpSp>
      <xdr:nvGrpSpPr>
        <xdr:cNvPr id="82" name="Group 81">
          <a:extLst>
            <a:ext uri="{FF2B5EF4-FFF2-40B4-BE49-F238E27FC236}">
              <a16:creationId xmlns:a16="http://schemas.microsoft.com/office/drawing/2014/main" id="{BC579259-76A6-4855-99D2-BCDF654B8ABF}"/>
            </a:ext>
          </a:extLst>
        </xdr:cNvPr>
        <xdr:cNvGrpSpPr/>
      </xdr:nvGrpSpPr>
      <xdr:grpSpPr>
        <a:xfrm>
          <a:off x="3343276" y="971551"/>
          <a:ext cx="1714499" cy="819149"/>
          <a:chOff x="3343276" y="971551"/>
          <a:chExt cx="1714499" cy="819149"/>
        </a:xfrm>
      </xdr:grpSpPr>
      <xdr:pic>
        <xdr:nvPicPr>
          <xdr:cNvPr id="16" name="Picture 15">
            <a:extLst>
              <a:ext uri="{FF2B5EF4-FFF2-40B4-BE49-F238E27FC236}">
                <a16:creationId xmlns:a16="http://schemas.microsoft.com/office/drawing/2014/main" id="{D514140B-0897-4F75-82BB-A8E610C0BAC5}"/>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3343276" y="971551"/>
            <a:ext cx="685799" cy="612021"/>
          </a:xfrm>
          <a:prstGeom prst="rect">
            <a:avLst/>
          </a:prstGeom>
        </xdr:spPr>
      </xdr:pic>
      <xdr:sp macro="" textlink="">
        <xdr:nvSpPr>
          <xdr:cNvPr id="49" name="TextBox 48">
            <a:extLst>
              <a:ext uri="{FF2B5EF4-FFF2-40B4-BE49-F238E27FC236}">
                <a16:creationId xmlns:a16="http://schemas.microsoft.com/office/drawing/2014/main" id="{D7BCBE65-849D-4A3A-AA32-C84DAB9713B0}"/>
              </a:ext>
            </a:extLst>
          </xdr:cNvPr>
          <xdr:cNvSpPr txBox="1"/>
        </xdr:nvSpPr>
        <xdr:spPr>
          <a:xfrm>
            <a:off x="3467098" y="1476375"/>
            <a:ext cx="1590677"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0" i="0" u="none" strike="noStrike">
                <a:solidFill>
                  <a:sysClr val="windowText" lastClr="000000"/>
                </a:solidFill>
                <a:latin typeface="Times New Roman" panose="02020603050405020304" pitchFamily="18" charset="0"/>
                <a:cs typeface="Times New Roman" panose="02020603050405020304" pitchFamily="18" charset="0"/>
              </a:rPr>
              <a:t>Total</a:t>
            </a:r>
            <a:r>
              <a:rPr lang="en-IN" sz="1600" b="0" i="0" u="none" strike="noStrike" baseline="0">
                <a:solidFill>
                  <a:sysClr val="windowText" lastClr="000000"/>
                </a:solidFill>
                <a:latin typeface="Times New Roman" panose="02020603050405020304" pitchFamily="18" charset="0"/>
                <a:cs typeface="Times New Roman" panose="02020603050405020304" pitchFamily="18" charset="0"/>
              </a:rPr>
              <a:t> Orders</a:t>
            </a:r>
            <a:endParaRPr lang="en-IN" sz="1600" b="0" i="0" u="none" strike="noStrike">
              <a:solidFill>
                <a:sysClr val="windowText" lastClr="000000"/>
              </a:solidFill>
              <a:latin typeface="Times New Roman" panose="02020603050405020304" pitchFamily="18" charset="0"/>
              <a:cs typeface="Times New Roman" panose="02020603050405020304" pitchFamily="18" charset="0"/>
            </a:endParaRPr>
          </a:p>
        </xdr:txBody>
      </xdr:sp>
      <xdr:sp macro="" textlink="PIVOT!A12">
        <xdr:nvSpPr>
          <xdr:cNvPr id="54" name="TextBox 53">
            <a:extLst>
              <a:ext uri="{FF2B5EF4-FFF2-40B4-BE49-F238E27FC236}">
                <a16:creationId xmlns:a16="http://schemas.microsoft.com/office/drawing/2014/main" id="{F15A794B-279B-48F7-8FCE-6FB193F4D875}"/>
              </a:ext>
            </a:extLst>
          </xdr:cNvPr>
          <xdr:cNvSpPr txBox="1"/>
        </xdr:nvSpPr>
        <xdr:spPr>
          <a:xfrm>
            <a:off x="3952874" y="981075"/>
            <a:ext cx="866775" cy="47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669EE44-76A6-4B58-B789-29A6EBE893C4}" type="TxLink">
              <a:rPr lang="en-US" sz="2400" b="0" i="0" u="none" strike="noStrike">
                <a:solidFill>
                  <a:srgbClr val="000000"/>
                </a:solidFill>
                <a:latin typeface="Times New Roman" panose="02020603050405020304" pitchFamily="18" charset="0"/>
                <a:ea typeface="+mn-ea"/>
                <a:cs typeface="Times New Roman" panose="02020603050405020304" pitchFamily="18" charset="0"/>
              </a:rPr>
              <a:pPr marL="0" indent="0" algn="ctr"/>
              <a:t>500</a:t>
            </a:fld>
            <a:endParaRPr lang="en-IN" sz="2400" b="0" i="0" u="none" strike="noStrike">
              <a:solidFill>
                <a:srgbClr val="000000"/>
              </a:solidFill>
              <a:latin typeface="Times New Roman" panose="02020603050405020304" pitchFamily="18" charset="0"/>
              <a:ea typeface="+mn-ea"/>
              <a:cs typeface="Times New Roman" panose="02020603050405020304" pitchFamily="18" charset="0"/>
            </a:endParaRPr>
          </a:p>
        </xdr:txBody>
      </xdr:sp>
    </xdr:grpSp>
    <xdr:clientData/>
  </xdr:twoCellAnchor>
  <xdr:twoCellAnchor>
    <xdr:from>
      <xdr:col>7</xdr:col>
      <xdr:colOff>409577</xdr:colOff>
      <xdr:row>4</xdr:row>
      <xdr:rowOff>161927</xdr:rowOff>
    </xdr:from>
    <xdr:to>
      <xdr:col>9</xdr:col>
      <xdr:colOff>657226</xdr:colOff>
      <xdr:row>9</xdr:row>
      <xdr:rowOff>114301</xdr:rowOff>
    </xdr:to>
    <xdr:grpSp>
      <xdr:nvGrpSpPr>
        <xdr:cNvPr id="85" name="Group 84">
          <a:extLst>
            <a:ext uri="{FF2B5EF4-FFF2-40B4-BE49-F238E27FC236}">
              <a16:creationId xmlns:a16="http://schemas.microsoft.com/office/drawing/2014/main" id="{F3FD2327-86FE-41F4-8DCC-1271C257FB33}"/>
            </a:ext>
          </a:extLst>
        </xdr:cNvPr>
        <xdr:cNvGrpSpPr/>
      </xdr:nvGrpSpPr>
      <xdr:grpSpPr>
        <a:xfrm>
          <a:off x="5210177" y="885827"/>
          <a:ext cx="1619249" cy="857249"/>
          <a:chOff x="5210177" y="885827"/>
          <a:chExt cx="1619249" cy="857249"/>
        </a:xfrm>
      </xdr:grpSpPr>
      <xdr:pic>
        <xdr:nvPicPr>
          <xdr:cNvPr id="38" name="Picture 37">
            <a:extLst>
              <a:ext uri="{FF2B5EF4-FFF2-40B4-BE49-F238E27FC236}">
                <a16:creationId xmlns:a16="http://schemas.microsoft.com/office/drawing/2014/main" id="{0354100A-2E30-4F78-8D6B-17E84DB2CBA8}"/>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5210177" y="885827"/>
            <a:ext cx="710953" cy="676273"/>
          </a:xfrm>
          <a:prstGeom prst="rect">
            <a:avLst/>
          </a:prstGeom>
        </xdr:spPr>
      </xdr:pic>
      <xdr:sp macro="" textlink="PIVOT!A11">
        <xdr:nvSpPr>
          <xdr:cNvPr id="50" name="TextBox 49">
            <a:extLst>
              <a:ext uri="{FF2B5EF4-FFF2-40B4-BE49-F238E27FC236}">
                <a16:creationId xmlns:a16="http://schemas.microsoft.com/office/drawing/2014/main" id="{1871EEF9-C733-400C-95A0-2E60F0962F7D}"/>
              </a:ext>
            </a:extLst>
          </xdr:cNvPr>
          <xdr:cNvSpPr txBox="1"/>
        </xdr:nvSpPr>
        <xdr:spPr>
          <a:xfrm>
            <a:off x="5362574" y="1457326"/>
            <a:ext cx="1466852"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0">
                <a:solidFill>
                  <a:sysClr val="windowText" lastClr="000000"/>
                </a:solidFill>
                <a:latin typeface="Times New Roman" panose="02020603050405020304" pitchFamily="18" charset="0"/>
                <a:cs typeface="Times New Roman" panose="02020603050405020304" pitchFamily="18" charset="0"/>
              </a:rPr>
              <a:t>Total</a:t>
            </a:r>
            <a:r>
              <a:rPr lang="en-IN" sz="1600" b="0" baseline="0">
                <a:solidFill>
                  <a:sysClr val="windowText" lastClr="000000"/>
                </a:solidFill>
                <a:latin typeface="Times New Roman" panose="02020603050405020304" pitchFamily="18" charset="0"/>
                <a:cs typeface="Times New Roman" panose="02020603050405020304" pitchFamily="18" charset="0"/>
              </a:rPr>
              <a:t> Quantity</a:t>
            </a:r>
            <a:endParaRPr lang="en-IN" sz="1600" b="0">
              <a:solidFill>
                <a:sysClr val="windowText" lastClr="000000"/>
              </a:solidFill>
              <a:latin typeface="Times New Roman" panose="02020603050405020304" pitchFamily="18" charset="0"/>
              <a:cs typeface="Times New Roman" panose="02020603050405020304" pitchFamily="18" charset="0"/>
            </a:endParaRPr>
          </a:p>
        </xdr:txBody>
      </xdr:sp>
      <xdr:sp macro="" textlink="PIVOT!A13">
        <xdr:nvSpPr>
          <xdr:cNvPr id="55" name="TextBox 54">
            <a:extLst>
              <a:ext uri="{FF2B5EF4-FFF2-40B4-BE49-F238E27FC236}">
                <a16:creationId xmlns:a16="http://schemas.microsoft.com/office/drawing/2014/main" id="{D06675D9-205B-410F-B2AC-1F3036247C75}"/>
              </a:ext>
            </a:extLst>
          </xdr:cNvPr>
          <xdr:cNvSpPr txBox="1"/>
        </xdr:nvSpPr>
        <xdr:spPr>
          <a:xfrm>
            <a:off x="5762624" y="952500"/>
            <a:ext cx="866775" cy="47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27A8289-2AE2-40DA-B672-AF771E888F08}" type="TxLink">
              <a:rPr lang="en-US" sz="2400" b="0" i="0" u="none" strike="noStrike">
                <a:solidFill>
                  <a:srgbClr val="000000"/>
                </a:solidFill>
                <a:latin typeface="Times New Roman" panose="02020603050405020304" pitchFamily="18" charset="0"/>
                <a:ea typeface="+mn-ea"/>
                <a:cs typeface="Times New Roman" panose="02020603050405020304" pitchFamily="18" charset="0"/>
              </a:rPr>
              <a:pPr marL="0" indent="0" algn="ctr"/>
              <a:t>05.K</a:t>
            </a:fld>
            <a:endParaRPr lang="en-IN" sz="2400" b="0" i="0" u="none" strike="noStrike">
              <a:solidFill>
                <a:srgbClr val="000000"/>
              </a:solidFill>
              <a:latin typeface="Times New Roman" panose="02020603050405020304" pitchFamily="18" charset="0"/>
              <a:ea typeface="+mn-ea"/>
              <a:cs typeface="Times New Roman" panose="02020603050405020304" pitchFamily="18" charset="0"/>
            </a:endParaRPr>
          </a:p>
        </xdr:txBody>
      </xdr:sp>
    </xdr:grpSp>
    <xdr:clientData/>
  </xdr:twoCellAnchor>
  <xdr:twoCellAnchor>
    <xdr:from>
      <xdr:col>10</xdr:col>
      <xdr:colOff>238123</xdr:colOff>
      <xdr:row>5</xdr:row>
      <xdr:rowOff>19050</xdr:rowOff>
    </xdr:from>
    <xdr:to>
      <xdr:col>12</xdr:col>
      <xdr:colOff>457200</xdr:colOff>
      <xdr:row>9</xdr:row>
      <xdr:rowOff>95250</xdr:rowOff>
    </xdr:to>
    <xdr:grpSp>
      <xdr:nvGrpSpPr>
        <xdr:cNvPr id="86" name="Group 85">
          <a:extLst>
            <a:ext uri="{FF2B5EF4-FFF2-40B4-BE49-F238E27FC236}">
              <a16:creationId xmlns:a16="http://schemas.microsoft.com/office/drawing/2014/main" id="{B185D0D8-98F4-4A02-ACCF-5557D0CAA9FB}"/>
            </a:ext>
          </a:extLst>
        </xdr:cNvPr>
        <xdr:cNvGrpSpPr/>
      </xdr:nvGrpSpPr>
      <xdr:grpSpPr>
        <a:xfrm>
          <a:off x="7096123" y="923925"/>
          <a:ext cx="1590677" cy="800100"/>
          <a:chOff x="7096123" y="923925"/>
          <a:chExt cx="1590677" cy="800100"/>
        </a:xfrm>
      </xdr:grpSpPr>
      <xdr:pic>
        <xdr:nvPicPr>
          <xdr:cNvPr id="18" name="Picture 17">
            <a:extLst>
              <a:ext uri="{FF2B5EF4-FFF2-40B4-BE49-F238E27FC236}">
                <a16:creationId xmlns:a16="http://schemas.microsoft.com/office/drawing/2014/main" id="{AB531195-F8FD-47E6-86FA-45016053163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7115176" y="1019177"/>
            <a:ext cx="476249" cy="505922"/>
          </a:xfrm>
          <a:prstGeom prst="rect">
            <a:avLst/>
          </a:prstGeom>
        </xdr:spPr>
      </xdr:pic>
      <xdr:sp macro="" textlink="PIVOT!A11">
        <xdr:nvSpPr>
          <xdr:cNvPr id="51" name="TextBox 50">
            <a:extLst>
              <a:ext uri="{FF2B5EF4-FFF2-40B4-BE49-F238E27FC236}">
                <a16:creationId xmlns:a16="http://schemas.microsoft.com/office/drawing/2014/main" id="{82E82B7E-8630-4B97-BFC2-611633C81AE9}"/>
              </a:ext>
            </a:extLst>
          </xdr:cNvPr>
          <xdr:cNvSpPr txBox="1"/>
        </xdr:nvSpPr>
        <xdr:spPr>
          <a:xfrm>
            <a:off x="7096123" y="1409700"/>
            <a:ext cx="1590677"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0">
                <a:solidFill>
                  <a:sysClr val="windowText" lastClr="000000"/>
                </a:solidFill>
                <a:latin typeface="Times New Roman" panose="02020603050405020304" pitchFamily="18" charset="0"/>
                <a:cs typeface="Times New Roman" panose="02020603050405020304" pitchFamily="18" charset="0"/>
              </a:rPr>
              <a:t>Average</a:t>
            </a:r>
            <a:r>
              <a:rPr lang="en-IN" sz="1600" b="0" baseline="0">
                <a:solidFill>
                  <a:sysClr val="windowText" lastClr="000000"/>
                </a:solidFill>
                <a:latin typeface="Times New Roman" panose="02020603050405020304" pitchFamily="18" charset="0"/>
                <a:cs typeface="Times New Roman" panose="02020603050405020304" pitchFamily="18" charset="0"/>
              </a:rPr>
              <a:t> Rating</a:t>
            </a:r>
            <a:endParaRPr lang="en-IN" sz="1600" b="0">
              <a:solidFill>
                <a:sysClr val="windowText" lastClr="000000"/>
              </a:solidFill>
              <a:latin typeface="Times New Roman" panose="02020603050405020304" pitchFamily="18" charset="0"/>
              <a:cs typeface="Times New Roman" panose="02020603050405020304" pitchFamily="18" charset="0"/>
            </a:endParaRPr>
          </a:p>
        </xdr:txBody>
      </xdr:sp>
      <xdr:sp macro="" textlink="PIVOT!A14">
        <xdr:nvSpPr>
          <xdr:cNvPr id="56" name="TextBox 55">
            <a:extLst>
              <a:ext uri="{FF2B5EF4-FFF2-40B4-BE49-F238E27FC236}">
                <a16:creationId xmlns:a16="http://schemas.microsoft.com/office/drawing/2014/main" id="{8011C3AA-5010-41AA-9DC6-CADA737CEB62}"/>
              </a:ext>
            </a:extLst>
          </xdr:cNvPr>
          <xdr:cNvSpPr txBox="1"/>
        </xdr:nvSpPr>
        <xdr:spPr>
          <a:xfrm>
            <a:off x="7543799" y="923925"/>
            <a:ext cx="866775" cy="47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A6562D6-9D4F-4D9E-984C-A88AAF2A927E}" type="TxLink">
              <a:rPr lang="en-US" sz="2400" b="0" i="0" u="none" strike="noStrike">
                <a:solidFill>
                  <a:srgbClr val="000000"/>
                </a:solidFill>
                <a:latin typeface="Times New Roman" panose="02020603050405020304" pitchFamily="18" charset="0"/>
                <a:ea typeface="+mn-ea"/>
                <a:cs typeface="Times New Roman" panose="02020603050405020304" pitchFamily="18" charset="0"/>
              </a:rPr>
              <a:pPr marL="0" indent="0" algn="ctr"/>
              <a:t>4.12</a:t>
            </a:fld>
            <a:endParaRPr lang="en-IN" sz="2400" b="0" i="0" u="none" strike="noStrike">
              <a:solidFill>
                <a:srgbClr val="000000"/>
              </a:solidFill>
              <a:latin typeface="Times New Roman" panose="02020603050405020304" pitchFamily="18" charset="0"/>
              <a:ea typeface="+mn-ea"/>
              <a:cs typeface="Times New Roman" panose="02020603050405020304" pitchFamily="18" charset="0"/>
            </a:endParaRPr>
          </a:p>
        </xdr:txBody>
      </xdr:sp>
    </xdr:grpSp>
    <xdr:clientData/>
  </xdr:twoCellAnchor>
  <xdr:twoCellAnchor>
    <xdr:from>
      <xdr:col>12</xdr:col>
      <xdr:colOff>600073</xdr:colOff>
      <xdr:row>5</xdr:row>
      <xdr:rowOff>0</xdr:rowOff>
    </xdr:from>
    <xdr:to>
      <xdr:col>15</xdr:col>
      <xdr:colOff>209550</xdr:colOff>
      <xdr:row>9</xdr:row>
      <xdr:rowOff>123825</xdr:rowOff>
    </xdr:to>
    <xdr:grpSp>
      <xdr:nvGrpSpPr>
        <xdr:cNvPr id="87" name="Group 86">
          <a:extLst>
            <a:ext uri="{FF2B5EF4-FFF2-40B4-BE49-F238E27FC236}">
              <a16:creationId xmlns:a16="http://schemas.microsoft.com/office/drawing/2014/main" id="{3964168C-28F9-4FD6-8E05-26F24D79815E}"/>
            </a:ext>
          </a:extLst>
        </xdr:cNvPr>
        <xdr:cNvGrpSpPr/>
      </xdr:nvGrpSpPr>
      <xdr:grpSpPr>
        <a:xfrm>
          <a:off x="8829673" y="904875"/>
          <a:ext cx="1666877" cy="847725"/>
          <a:chOff x="8829673" y="904875"/>
          <a:chExt cx="1666877" cy="847725"/>
        </a:xfrm>
      </xdr:grpSpPr>
      <xdr:pic>
        <xdr:nvPicPr>
          <xdr:cNvPr id="24" name="Picture 23">
            <a:extLst>
              <a:ext uri="{FF2B5EF4-FFF2-40B4-BE49-F238E27FC236}">
                <a16:creationId xmlns:a16="http://schemas.microsoft.com/office/drawing/2014/main" id="{8E5CE205-B348-4C2A-A878-3F4D636987F1}"/>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8915401" y="904875"/>
            <a:ext cx="495299" cy="602257"/>
          </a:xfrm>
          <a:prstGeom prst="rect">
            <a:avLst/>
          </a:prstGeom>
        </xdr:spPr>
      </xdr:pic>
      <xdr:sp macro="" textlink="PIVOT!A11">
        <xdr:nvSpPr>
          <xdr:cNvPr id="53" name="TextBox 52">
            <a:extLst>
              <a:ext uri="{FF2B5EF4-FFF2-40B4-BE49-F238E27FC236}">
                <a16:creationId xmlns:a16="http://schemas.microsoft.com/office/drawing/2014/main" id="{B4A46470-06F1-41AD-A6AD-CB7331CD72BF}"/>
              </a:ext>
            </a:extLst>
          </xdr:cNvPr>
          <xdr:cNvSpPr txBox="1"/>
        </xdr:nvSpPr>
        <xdr:spPr>
          <a:xfrm>
            <a:off x="8829673" y="1400175"/>
            <a:ext cx="1666877"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0" baseline="0">
                <a:solidFill>
                  <a:sysClr val="windowText" lastClr="000000"/>
                </a:solidFill>
                <a:latin typeface="Times New Roman" panose="02020603050405020304" pitchFamily="18" charset="0"/>
                <a:cs typeface="Times New Roman" panose="02020603050405020304" pitchFamily="18" charset="0"/>
              </a:rPr>
              <a:t>Average Dilevery</a:t>
            </a:r>
            <a:endParaRPr lang="en-IN" sz="1600" b="0">
              <a:solidFill>
                <a:sysClr val="windowText" lastClr="000000"/>
              </a:solidFill>
              <a:latin typeface="Times New Roman" panose="02020603050405020304" pitchFamily="18" charset="0"/>
              <a:cs typeface="Times New Roman" panose="02020603050405020304" pitchFamily="18" charset="0"/>
            </a:endParaRPr>
          </a:p>
        </xdr:txBody>
      </xdr:sp>
      <xdr:sp macro="" textlink="PIVOT!A15">
        <xdr:nvSpPr>
          <xdr:cNvPr id="58" name="TextBox 57">
            <a:extLst>
              <a:ext uri="{FF2B5EF4-FFF2-40B4-BE49-F238E27FC236}">
                <a16:creationId xmlns:a16="http://schemas.microsoft.com/office/drawing/2014/main" id="{38CD868A-CFB1-4199-AB08-EDB9A73147CB}"/>
              </a:ext>
            </a:extLst>
          </xdr:cNvPr>
          <xdr:cNvSpPr txBox="1"/>
        </xdr:nvSpPr>
        <xdr:spPr>
          <a:xfrm>
            <a:off x="9372599" y="914400"/>
            <a:ext cx="866775" cy="47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E7B29DE-085C-4CAE-9199-666F9BEB1AED}" type="TxLink">
              <a:rPr lang="en-US" sz="2400" b="0" i="0" u="none" strike="noStrike">
                <a:solidFill>
                  <a:srgbClr val="000000"/>
                </a:solidFill>
                <a:latin typeface="Times New Roman" panose="02020603050405020304" pitchFamily="18" charset="0"/>
                <a:ea typeface="+mn-ea"/>
                <a:cs typeface="Times New Roman" panose="02020603050405020304" pitchFamily="18" charset="0"/>
              </a:rPr>
              <a:pPr marL="0" indent="0" algn="ctr"/>
              <a:t>2146</a:t>
            </a:fld>
            <a:endParaRPr lang="en-IN" sz="2400" b="0" i="0" u="none" strike="noStrike">
              <a:solidFill>
                <a:srgbClr val="000000"/>
              </a:solidFill>
              <a:latin typeface="Times New Roman" panose="02020603050405020304" pitchFamily="18" charset="0"/>
              <a:ea typeface="+mn-ea"/>
              <a:cs typeface="Times New Roman" panose="02020603050405020304" pitchFamily="18" charset="0"/>
            </a:endParaRPr>
          </a:p>
        </xdr:txBody>
      </xdr:sp>
    </xdr:grpSp>
    <xdr:clientData/>
  </xdr:twoCellAnchor>
  <xdr:twoCellAnchor>
    <xdr:from>
      <xdr:col>2</xdr:col>
      <xdr:colOff>257176</xdr:colOff>
      <xdr:row>11</xdr:row>
      <xdr:rowOff>38099</xdr:rowOff>
    </xdr:from>
    <xdr:to>
      <xdr:col>6</xdr:col>
      <xdr:colOff>295275</xdr:colOff>
      <xdr:row>20</xdr:row>
      <xdr:rowOff>114299</xdr:rowOff>
    </xdr:to>
    <xdr:graphicFrame macro="">
      <xdr:nvGraphicFramePr>
        <xdr:cNvPr id="60" name="Chart 59">
          <a:extLst>
            <a:ext uri="{FF2B5EF4-FFF2-40B4-BE49-F238E27FC236}">
              <a16:creationId xmlns:a16="http://schemas.microsoft.com/office/drawing/2014/main" id="{024938A5-049D-42E4-AD9D-CE15A95D2F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7</xdr:col>
      <xdr:colOff>9526</xdr:colOff>
      <xdr:row>10</xdr:row>
      <xdr:rowOff>142875</xdr:rowOff>
    </xdr:from>
    <xdr:to>
      <xdr:col>11</xdr:col>
      <xdr:colOff>200025</xdr:colOff>
      <xdr:row>22</xdr:row>
      <xdr:rowOff>0</xdr:rowOff>
    </xdr:to>
    <xdr:graphicFrame macro="">
      <xdr:nvGraphicFramePr>
        <xdr:cNvPr id="61" name="Chart 60">
          <a:extLst>
            <a:ext uri="{FF2B5EF4-FFF2-40B4-BE49-F238E27FC236}">
              <a16:creationId xmlns:a16="http://schemas.microsoft.com/office/drawing/2014/main" id="{8AAD5B60-2A6D-4679-A987-16B3AF966E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11</xdr:col>
      <xdr:colOff>228601</xdr:colOff>
      <xdr:row>10</xdr:row>
      <xdr:rowOff>161925</xdr:rowOff>
    </xdr:from>
    <xdr:to>
      <xdr:col>14</xdr:col>
      <xdr:colOff>76200</xdr:colOff>
      <xdr:row>20</xdr:row>
      <xdr:rowOff>38100</xdr:rowOff>
    </xdr:to>
    <mc:AlternateContent xmlns:mc="http://schemas.openxmlformats.org/markup-compatibility/2006">
      <mc:Choice xmlns:cx4="http://schemas.microsoft.com/office/drawing/2016/5/10/chartex" Requires="cx4">
        <xdr:graphicFrame macro="">
          <xdr:nvGraphicFramePr>
            <xdr:cNvPr id="63" name="Chart 62">
              <a:extLst>
                <a:ext uri="{FF2B5EF4-FFF2-40B4-BE49-F238E27FC236}">
                  <a16:creationId xmlns:a16="http://schemas.microsoft.com/office/drawing/2014/main" id="{7D3FD323-E6E9-4FED-B681-0CCA00E4919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7772401" y="1971675"/>
              <a:ext cx="1904999" cy="168592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13</xdr:col>
      <xdr:colOff>466725</xdr:colOff>
      <xdr:row>11</xdr:row>
      <xdr:rowOff>104775</xdr:rowOff>
    </xdr:from>
    <xdr:to>
      <xdr:col>16</xdr:col>
      <xdr:colOff>85724</xdr:colOff>
      <xdr:row>19</xdr:row>
      <xdr:rowOff>161925</xdr:rowOff>
    </xdr:to>
    <xdr:graphicFrame macro="">
      <xdr:nvGraphicFramePr>
        <xdr:cNvPr id="65" name="Chart 64">
          <a:extLst>
            <a:ext uri="{FF2B5EF4-FFF2-40B4-BE49-F238E27FC236}">
              <a16:creationId xmlns:a16="http://schemas.microsoft.com/office/drawing/2014/main" id="{9AF9BDC7-54FC-4B49-9B90-118AF1F483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xdr:col>
      <xdr:colOff>457202</xdr:colOff>
      <xdr:row>22</xdr:row>
      <xdr:rowOff>28577</xdr:rowOff>
    </xdr:from>
    <xdr:to>
      <xdr:col>6</xdr:col>
      <xdr:colOff>304800</xdr:colOff>
      <xdr:row>31</xdr:row>
      <xdr:rowOff>161925</xdr:rowOff>
    </xdr:to>
    <xdr:graphicFrame macro="">
      <xdr:nvGraphicFramePr>
        <xdr:cNvPr id="66" name="Chart 65">
          <a:extLst>
            <a:ext uri="{FF2B5EF4-FFF2-40B4-BE49-F238E27FC236}">
              <a16:creationId xmlns:a16="http://schemas.microsoft.com/office/drawing/2014/main" id="{F3C761F8-3735-4FCD-906D-80DD4B613F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12</xdr:col>
      <xdr:colOff>114299</xdr:colOff>
      <xdr:row>10</xdr:row>
      <xdr:rowOff>85726</xdr:rowOff>
    </xdr:from>
    <xdr:to>
      <xdr:col>15</xdr:col>
      <xdr:colOff>466725</xdr:colOff>
      <xdr:row>11</xdr:row>
      <xdr:rowOff>161925</xdr:rowOff>
    </xdr:to>
    <xdr:sp macro="" textlink="PIVOT!A14">
      <xdr:nvSpPr>
        <xdr:cNvPr id="67" name="TextBox 66">
          <a:extLst>
            <a:ext uri="{FF2B5EF4-FFF2-40B4-BE49-F238E27FC236}">
              <a16:creationId xmlns:a16="http://schemas.microsoft.com/office/drawing/2014/main" id="{BD287112-FA63-426B-89A2-6B8B8EF4BEC4}"/>
            </a:ext>
          </a:extLst>
        </xdr:cNvPr>
        <xdr:cNvSpPr txBox="1"/>
      </xdr:nvSpPr>
      <xdr:spPr>
        <a:xfrm>
          <a:off x="8343899" y="1895476"/>
          <a:ext cx="2409826" cy="2571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400" b="0" i="0" u="sng" strike="noStrike">
              <a:solidFill>
                <a:schemeClr val="tx1"/>
              </a:solidFill>
              <a:latin typeface="Times New Roman" panose="02020603050405020304" pitchFamily="18" charset="0"/>
              <a:ea typeface="+mn-ea"/>
              <a:cs typeface="Times New Roman" panose="02020603050405020304" pitchFamily="18" charset="0"/>
            </a:rPr>
            <a:t>sales</a:t>
          </a:r>
          <a:r>
            <a:rPr lang="en-IN" sz="1400" b="0" i="0" u="sng" strike="noStrike" baseline="0">
              <a:solidFill>
                <a:schemeClr val="tx1"/>
              </a:solidFill>
              <a:latin typeface="Times New Roman" panose="02020603050405020304" pitchFamily="18" charset="0"/>
              <a:ea typeface="+mn-ea"/>
              <a:cs typeface="Times New Roman" panose="02020603050405020304" pitchFamily="18" charset="0"/>
            </a:rPr>
            <a:t> by state %</a:t>
          </a:r>
          <a:endParaRPr lang="en-IN" sz="1400" b="0" i="0" u="sng" strike="noStrike">
            <a:solidFill>
              <a:schemeClr val="tx1"/>
            </a:solidFill>
            <a:latin typeface="Times New Roman" panose="02020603050405020304" pitchFamily="18" charset="0"/>
            <a:ea typeface="+mn-ea"/>
            <a:cs typeface="Times New Roman" panose="02020603050405020304" pitchFamily="18" charset="0"/>
          </a:endParaRPr>
        </a:p>
      </xdr:txBody>
    </xdr:sp>
    <xdr:clientData/>
  </xdr:twoCellAnchor>
  <xdr:twoCellAnchor>
    <xdr:from>
      <xdr:col>2</xdr:col>
      <xdr:colOff>523874</xdr:colOff>
      <xdr:row>21</xdr:row>
      <xdr:rowOff>47626</xdr:rowOff>
    </xdr:from>
    <xdr:to>
      <xdr:col>6</xdr:col>
      <xdr:colOff>190500</xdr:colOff>
      <xdr:row>22</xdr:row>
      <xdr:rowOff>123825</xdr:rowOff>
    </xdr:to>
    <xdr:sp macro="" textlink="PIVOT!A14">
      <xdr:nvSpPr>
        <xdr:cNvPr id="68" name="TextBox 67">
          <a:extLst>
            <a:ext uri="{FF2B5EF4-FFF2-40B4-BE49-F238E27FC236}">
              <a16:creationId xmlns:a16="http://schemas.microsoft.com/office/drawing/2014/main" id="{988309B0-9780-4C43-8831-1767D93A0C18}"/>
            </a:ext>
          </a:extLst>
        </xdr:cNvPr>
        <xdr:cNvSpPr txBox="1"/>
      </xdr:nvSpPr>
      <xdr:spPr>
        <a:xfrm>
          <a:off x="1895474" y="3848101"/>
          <a:ext cx="2409826" cy="2571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400" b="0" i="0" u="sng" strike="noStrike">
              <a:solidFill>
                <a:schemeClr val="tx1"/>
              </a:solidFill>
              <a:latin typeface="Times New Roman" panose="02020603050405020304" pitchFamily="18" charset="0"/>
              <a:ea typeface="+mn-ea"/>
              <a:cs typeface="Times New Roman" panose="02020603050405020304" pitchFamily="18" charset="0"/>
            </a:rPr>
            <a:t>sales</a:t>
          </a:r>
          <a:r>
            <a:rPr lang="en-IN" sz="1400" b="0" i="0" u="sng" strike="noStrike" baseline="0">
              <a:solidFill>
                <a:schemeClr val="tx1"/>
              </a:solidFill>
              <a:latin typeface="Times New Roman" panose="02020603050405020304" pitchFamily="18" charset="0"/>
              <a:ea typeface="+mn-ea"/>
              <a:cs typeface="Times New Roman" panose="02020603050405020304" pitchFamily="18" charset="0"/>
            </a:rPr>
            <a:t> by payment method </a:t>
          </a:r>
          <a:endParaRPr lang="en-IN" sz="1400" b="0" i="0" u="sng" strike="noStrike">
            <a:solidFill>
              <a:schemeClr val="tx1"/>
            </a:solidFill>
            <a:latin typeface="Times New Roman" panose="02020603050405020304" pitchFamily="18" charset="0"/>
            <a:ea typeface="+mn-ea"/>
            <a:cs typeface="Times New Roman" panose="02020603050405020304" pitchFamily="18" charset="0"/>
          </a:endParaRPr>
        </a:p>
      </xdr:txBody>
    </xdr:sp>
    <xdr:clientData/>
  </xdr:twoCellAnchor>
  <xdr:twoCellAnchor>
    <xdr:from>
      <xdr:col>7</xdr:col>
      <xdr:colOff>85725</xdr:colOff>
      <xdr:row>22</xdr:row>
      <xdr:rowOff>123825</xdr:rowOff>
    </xdr:from>
    <xdr:to>
      <xdr:col>11</xdr:col>
      <xdr:colOff>66675</xdr:colOff>
      <xdr:row>31</xdr:row>
      <xdr:rowOff>142875</xdr:rowOff>
    </xdr:to>
    <xdr:graphicFrame macro="">
      <xdr:nvGraphicFramePr>
        <xdr:cNvPr id="69" name="Chart 68">
          <a:extLst>
            <a:ext uri="{FF2B5EF4-FFF2-40B4-BE49-F238E27FC236}">
              <a16:creationId xmlns:a16="http://schemas.microsoft.com/office/drawing/2014/main" id="{9966C9AC-39B0-4538-82E5-4A965C60CD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7</xdr:col>
      <xdr:colOff>219074</xdr:colOff>
      <xdr:row>21</xdr:row>
      <xdr:rowOff>123826</xdr:rowOff>
    </xdr:from>
    <xdr:to>
      <xdr:col>10</xdr:col>
      <xdr:colOff>571500</xdr:colOff>
      <xdr:row>23</xdr:row>
      <xdr:rowOff>19050</xdr:rowOff>
    </xdr:to>
    <xdr:sp macro="" textlink="PIVOT!A14">
      <xdr:nvSpPr>
        <xdr:cNvPr id="70" name="TextBox 69">
          <a:extLst>
            <a:ext uri="{FF2B5EF4-FFF2-40B4-BE49-F238E27FC236}">
              <a16:creationId xmlns:a16="http://schemas.microsoft.com/office/drawing/2014/main" id="{1F374A86-B336-4B3E-B5D0-588AECEBE73F}"/>
            </a:ext>
          </a:extLst>
        </xdr:cNvPr>
        <xdr:cNvSpPr txBox="1"/>
      </xdr:nvSpPr>
      <xdr:spPr>
        <a:xfrm>
          <a:off x="5019674" y="3924301"/>
          <a:ext cx="2409826" cy="2571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400" b="0" i="0" u="sng" strike="noStrike">
              <a:solidFill>
                <a:schemeClr val="tx1"/>
              </a:solidFill>
              <a:latin typeface="Times New Roman" panose="02020603050405020304" pitchFamily="18" charset="0"/>
              <a:ea typeface="+mn-ea"/>
              <a:cs typeface="Times New Roman" panose="02020603050405020304" pitchFamily="18" charset="0"/>
            </a:rPr>
            <a:t>sales</a:t>
          </a:r>
          <a:r>
            <a:rPr lang="en-IN" sz="1400" b="0" i="0" u="sng" strike="noStrike" baseline="0">
              <a:solidFill>
                <a:schemeClr val="tx1"/>
              </a:solidFill>
              <a:latin typeface="Times New Roman" panose="02020603050405020304" pitchFamily="18" charset="0"/>
              <a:ea typeface="+mn-ea"/>
              <a:cs typeface="Times New Roman" panose="02020603050405020304" pitchFamily="18" charset="0"/>
            </a:rPr>
            <a:t> by producat</a:t>
          </a:r>
          <a:endParaRPr lang="en-IN" sz="1400" b="0" i="0" u="sng" strike="noStrike">
            <a:solidFill>
              <a:schemeClr val="tx1"/>
            </a:solidFill>
            <a:latin typeface="Times New Roman" panose="02020603050405020304" pitchFamily="18" charset="0"/>
            <a:ea typeface="+mn-ea"/>
            <a:cs typeface="Times New Roman" panose="02020603050405020304" pitchFamily="18" charset="0"/>
          </a:endParaRPr>
        </a:p>
      </xdr:txBody>
    </xdr:sp>
    <xdr:clientData/>
  </xdr:twoCellAnchor>
  <xdr:twoCellAnchor editAs="oneCell">
    <xdr:from>
      <xdr:col>11</xdr:col>
      <xdr:colOff>495301</xdr:colOff>
      <xdr:row>24</xdr:row>
      <xdr:rowOff>28575</xdr:rowOff>
    </xdr:from>
    <xdr:to>
      <xdr:col>16</xdr:col>
      <xdr:colOff>34225</xdr:colOff>
      <xdr:row>30</xdr:row>
      <xdr:rowOff>152400</xdr:rowOff>
    </xdr:to>
    <xdr:pic>
      <xdr:nvPicPr>
        <xdr:cNvPr id="72" name="Picture 71">
          <a:extLst>
            <a:ext uri="{FF2B5EF4-FFF2-40B4-BE49-F238E27FC236}">
              <a16:creationId xmlns:a16="http://schemas.microsoft.com/office/drawing/2014/main" id="{46C51C86-A396-4FE2-A2DE-DD11157FBC33}"/>
            </a:ext>
          </a:extLst>
        </xdr:cNvPr>
        <xdr:cNvPicPr>
          <a:picLocks noChangeAspect="1" noChangeArrowheads="1"/>
        </xdr:cNvPicPr>
      </xdr:nvPicPr>
      <xdr:blipFill>
        <a:blip xmlns:r="http://schemas.openxmlformats.org/officeDocument/2006/relationships" r:embed="rId14">
          <a:alphaModFix amt="90000"/>
          <a:extLst>
            <a:ext uri="{28A0092B-C50C-407E-A947-70E740481C1C}">
              <a14:useLocalDpi xmlns:a14="http://schemas.microsoft.com/office/drawing/2010/main" val="0"/>
            </a:ext>
          </a:extLst>
        </a:blip>
        <a:srcRect/>
        <a:stretch>
          <a:fillRect/>
        </a:stretch>
      </xdr:blipFill>
      <xdr:spPr bwMode="auto">
        <a:xfrm>
          <a:off x="8039101" y="4371975"/>
          <a:ext cx="2967924" cy="1209675"/>
        </a:xfrm>
        <a:prstGeom prst="rect">
          <a:avLst/>
        </a:prstGeom>
        <a:solidFill>
          <a:schemeClr val="bg1"/>
        </a:solidFill>
      </xdr:spPr>
    </xdr:pic>
    <xdr:clientData/>
  </xdr:twoCellAnchor>
  <xdr:twoCellAnchor>
    <xdr:from>
      <xdr:col>11</xdr:col>
      <xdr:colOff>647699</xdr:colOff>
      <xdr:row>21</xdr:row>
      <xdr:rowOff>142875</xdr:rowOff>
    </xdr:from>
    <xdr:to>
      <xdr:col>15</xdr:col>
      <xdr:colOff>447675</xdr:colOff>
      <xdr:row>23</xdr:row>
      <xdr:rowOff>47624</xdr:rowOff>
    </xdr:to>
    <xdr:sp macro="" textlink="PIVOT!A14">
      <xdr:nvSpPr>
        <xdr:cNvPr id="73" name="TextBox 72">
          <a:extLst>
            <a:ext uri="{FF2B5EF4-FFF2-40B4-BE49-F238E27FC236}">
              <a16:creationId xmlns:a16="http://schemas.microsoft.com/office/drawing/2014/main" id="{9333AD68-C03F-47ED-A573-8D0D61842369}"/>
            </a:ext>
          </a:extLst>
        </xdr:cNvPr>
        <xdr:cNvSpPr txBox="1"/>
      </xdr:nvSpPr>
      <xdr:spPr>
        <a:xfrm>
          <a:off x="8191499" y="3943350"/>
          <a:ext cx="2543176" cy="2666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400" b="0" i="0" u="sng" strike="noStrike">
              <a:solidFill>
                <a:schemeClr val="tx1"/>
              </a:solidFill>
              <a:latin typeface="Times New Roman" panose="02020603050405020304" pitchFamily="18" charset="0"/>
              <a:ea typeface="+mn-ea"/>
              <a:cs typeface="Times New Roman" panose="02020603050405020304" pitchFamily="18" charset="0"/>
            </a:rPr>
            <a:t>order</a:t>
          </a:r>
          <a:r>
            <a:rPr lang="en-IN" sz="1400" b="0" i="0" u="sng" strike="noStrike" baseline="0">
              <a:solidFill>
                <a:schemeClr val="tx1"/>
              </a:solidFill>
              <a:latin typeface="Times New Roman" panose="02020603050405020304" pitchFamily="18" charset="0"/>
              <a:ea typeface="+mn-ea"/>
              <a:cs typeface="Times New Roman" panose="02020603050405020304" pitchFamily="18" charset="0"/>
            </a:rPr>
            <a:t> details</a:t>
          </a:r>
          <a:endParaRPr lang="en-IN" sz="1400" b="0" i="0" u="sng" strike="noStrike">
            <a:solidFill>
              <a:schemeClr val="tx1"/>
            </a:solidFill>
            <a:latin typeface="Times New Roman" panose="02020603050405020304" pitchFamily="18" charset="0"/>
            <a:ea typeface="+mn-ea"/>
            <a:cs typeface="Times New Roman" panose="02020603050405020304" pitchFamily="18" charset="0"/>
          </a:endParaRPr>
        </a:p>
      </xdr:txBody>
    </xdr:sp>
    <xdr:clientData/>
  </xdr:twoCellAnchor>
  <xdr:twoCellAnchor editAs="oneCell">
    <xdr:from>
      <xdr:col>0</xdr:col>
      <xdr:colOff>180975</xdr:colOff>
      <xdr:row>24</xdr:row>
      <xdr:rowOff>85725</xdr:rowOff>
    </xdr:from>
    <xdr:to>
      <xdr:col>1</xdr:col>
      <xdr:colOff>625575</xdr:colOff>
      <xdr:row>31</xdr:row>
      <xdr:rowOff>64500</xdr:rowOff>
    </xdr:to>
    <mc:AlternateContent xmlns:mc="http://schemas.openxmlformats.org/markup-compatibility/2006" xmlns:a14="http://schemas.microsoft.com/office/drawing/2010/main">
      <mc:Choice Requires="a14">
        <xdr:graphicFrame macro="">
          <xdr:nvGraphicFramePr>
            <xdr:cNvPr id="74" name="Payment_Method 1">
              <a:extLst>
                <a:ext uri="{FF2B5EF4-FFF2-40B4-BE49-F238E27FC236}">
                  <a16:creationId xmlns:a16="http://schemas.microsoft.com/office/drawing/2014/main" id="{546AF52C-FD6E-47FC-B58F-8D69A14FAD2F}"/>
                </a:ext>
              </a:extLst>
            </xdr:cNvPr>
            <xdr:cNvGraphicFramePr/>
          </xdr:nvGraphicFramePr>
          <xdr:xfrm>
            <a:off x="0" y="0"/>
            <a:ext cx="0" cy="0"/>
          </xdr:xfrm>
          <a:graphic>
            <a:graphicData uri="http://schemas.microsoft.com/office/drawing/2010/slicer">
              <sle:slicer xmlns:sle="http://schemas.microsoft.com/office/drawing/2010/slicer" name="Payment_Method 1"/>
            </a:graphicData>
          </a:graphic>
        </xdr:graphicFrame>
      </mc:Choice>
      <mc:Fallback xmlns="">
        <xdr:sp macro="" textlink="">
          <xdr:nvSpPr>
            <xdr:cNvPr id="0" name=""/>
            <xdr:cNvSpPr>
              <a:spLocks noTextEdit="1"/>
            </xdr:cNvSpPr>
          </xdr:nvSpPr>
          <xdr:spPr>
            <a:xfrm>
              <a:off x="180975" y="4429125"/>
              <a:ext cx="1130400" cy="1245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142876</xdr:colOff>
      <xdr:row>15</xdr:row>
      <xdr:rowOff>95250</xdr:rowOff>
    </xdr:from>
    <xdr:to>
      <xdr:col>1</xdr:col>
      <xdr:colOff>628650</xdr:colOff>
      <xdr:row>24</xdr:row>
      <xdr:rowOff>9525</xdr:rowOff>
    </xdr:to>
    <mc:AlternateContent xmlns:mc="http://schemas.openxmlformats.org/markup-compatibility/2006" xmlns:a14="http://schemas.microsoft.com/office/drawing/2010/main">
      <mc:Choice Requires="a14">
        <xdr:graphicFrame macro="">
          <xdr:nvGraphicFramePr>
            <xdr:cNvPr id="76" name="Seller 1">
              <a:extLst>
                <a:ext uri="{FF2B5EF4-FFF2-40B4-BE49-F238E27FC236}">
                  <a16:creationId xmlns:a16="http://schemas.microsoft.com/office/drawing/2014/main" id="{1ED701B9-7663-4935-BA84-6D84B1348003}"/>
                </a:ext>
              </a:extLst>
            </xdr:cNvPr>
            <xdr:cNvGraphicFramePr/>
          </xdr:nvGraphicFramePr>
          <xdr:xfrm>
            <a:off x="0" y="0"/>
            <a:ext cx="0" cy="0"/>
          </xdr:xfrm>
          <a:graphic>
            <a:graphicData uri="http://schemas.microsoft.com/office/drawing/2010/slicer">
              <sle:slicer xmlns:sle="http://schemas.microsoft.com/office/drawing/2010/slicer" name="Seller 1"/>
            </a:graphicData>
          </a:graphic>
        </xdr:graphicFrame>
      </mc:Choice>
      <mc:Fallback xmlns="">
        <xdr:sp macro="" textlink="">
          <xdr:nvSpPr>
            <xdr:cNvPr id="0" name=""/>
            <xdr:cNvSpPr>
              <a:spLocks noTextEdit="1"/>
            </xdr:cNvSpPr>
          </xdr:nvSpPr>
          <xdr:spPr>
            <a:xfrm>
              <a:off x="142876" y="2809875"/>
              <a:ext cx="1171574" cy="15430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142875</xdr:colOff>
      <xdr:row>6</xdr:row>
      <xdr:rowOff>28575</xdr:rowOff>
    </xdr:from>
    <xdr:to>
      <xdr:col>1</xdr:col>
      <xdr:colOff>645075</xdr:colOff>
      <xdr:row>15</xdr:row>
      <xdr:rowOff>19800</xdr:rowOff>
    </xdr:to>
    <mc:AlternateContent xmlns:mc="http://schemas.openxmlformats.org/markup-compatibility/2006" xmlns:a14="http://schemas.microsoft.com/office/drawing/2010/main">
      <mc:Choice Requires="a14">
        <xdr:graphicFrame macro="">
          <xdr:nvGraphicFramePr>
            <xdr:cNvPr id="78" name="Month 1">
              <a:extLst>
                <a:ext uri="{FF2B5EF4-FFF2-40B4-BE49-F238E27FC236}">
                  <a16:creationId xmlns:a16="http://schemas.microsoft.com/office/drawing/2014/main" id="{6AF56599-B0B9-4664-A0DF-7F8657C97F36}"/>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142875" y="1114425"/>
              <a:ext cx="1188000" cy="162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278.563533217595" createdVersion="7" refreshedVersion="7" minRefreshableVersion="3" recordCount="500" xr:uid="{D04F2025-DE39-4F42-A11C-69C92B71FB18}">
  <cacheSource type="worksheet">
    <worksheetSource name="Table2"/>
  </cacheSource>
  <cacheFields count="13">
    <cacheField name="Order_ID" numFmtId="0">
      <sharedItems count="500">
        <s v="ORD10001"/>
        <s v="ORD10002"/>
        <s v="ORD10003"/>
        <s v="ORD10004"/>
        <s v="ORD10005"/>
        <s v="ORD10006"/>
        <s v="ORD10007"/>
        <s v="ORD10008"/>
        <s v="ORD10009"/>
        <s v="ORD10010"/>
        <s v="ORD10011"/>
        <s v="ORD10012"/>
        <s v="ORD10013"/>
        <s v="ORD10014"/>
        <s v="ORD10015"/>
        <s v="ORD10016"/>
        <s v="ORD10017"/>
        <s v="ORD10018"/>
        <s v="ORD10019"/>
        <s v="ORD10020"/>
        <s v="ORD10021"/>
        <s v="ORD10022"/>
        <s v="ORD10023"/>
        <s v="ORD10024"/>
        <s v="ORD10025"/>
        <s v="ORD10026"/>
        <s v="ORD10027"/>
        <s v="ORD10028"/>
        <s v="ORD10029"/>
        <s v="ORD10030"/>
        <s v="ORD10031"/>
        <s v="ORD10032"/>
        <s v="ORD10033"/>
        <s v="ORD10034"/>
        <s v="ORD10035"/>
        <s v="ORD10036"/>
        <s v="ORD10037"/>
        <s v="ORD10038"/>
        <s v="ORD10039"/>
        <s v="ORD10040"/>
        <s v="ORD10041"/>
        <s v="ORD10042"/>
        <s v="ORD10043"/>
        <s v="ORD10044"/>
        <s v="ORD10045"/>
        <s v="ORD10046"/>
        <s v="ORD10047"/>
        <s v="ORD10048"/>
        <s v="ORD10049"/>
        <s v="ORD10050"/>
        <s v="ORD10051"/>
        <s v="ORD10052"/>
        <s v="ORD10053"/>
        <s v="ORD10054"/>
        <s v="ORD10055"/>
        <s v="ORD10056"/>
        <s v="ORD10057"/>
        <s v="ORD10058"/>
        <s v="ORD10059"/>
        <s v="ORD10060"/>
        <s v="ORD10061"/>
        <s v="ORD10062"/>
        <s v="ORD10063"/>
        <s v="ORD10064"/>
        <s v="ORD10065"/>
        <s v="ORD10066"/>
        <s v="ORD10067"/>
        <s v="ORD10068"/>
        <s v="ORD10069"/>
        <s v="ORD10070"/>
        <s v="ORD10071"/>
        <s v="ORD10072"/>
        <s v="ORD10073"/>
        <s v="ORD10074"/>
        <s v="ORD10075"/>
        <s v="ORD10076"/>
        <s v="ORD10077"/>
        <s v="ORD10078"/>
        <s v="ORD10079"/>
        <s v="ORD10080"/>
        <s v="ORD10081"/>
        <s v="ORD10082"/>
        <s v="ORD10083"/>
        <s v="ORD10084"/>
        <s v="ORD10085"/>
        <s v="ORD10086"/>
        <s v="ORD10087"/>
        <s v="ORD10088"/>
        <s v="ORD10089"/>
        <s v="ORD10090"/>
        <s v="ORD10091"/>
        <s v="ORD10092"/>
        <s v="ORD10093"/>
        <s v="ORD10094"/>
        <s v="ORD10095"/>
        <s v="ORD10096"/>
        <s v="ORD10097"/>
        <s v="ORD10098"/>
        <s v="ORD10099"/>
        <s v="ORD10100"/>
        <s v="ORD10101"/>
        <s v="ORD10102"/>
        <s v="ORD10103"/>
        <s v="ORD10104"/>
        <s v="ORD10105"/>
        <s v="ORD10106"/>
        <s v="ORD10107"/>
        <s v="ORD10108"/>
        <s v="ORD10109"/>
        <s v="ORD10110"/>
        <s v="ORD10111"/>
        <s v="ORD10112"/>
        <s v="ORD10113"/>
        <s v="ORD10114"/>
        <s v="ORD10115"/>
        <s v="ORD10116"/>
        <s v="ORD10117"/>
        <s v="ORD10118"/>
        <s v="ORD10119"/>
        <s v="ORD10120"/>
        <s v="ORD10121"/>
        <s v="ORD10122"/>
        <s v="ORD10123"/>
        <s v="ORD10124"/>
        <s v="ORD10125"/>
        <s v="ORD10126"/>
        <s v="ORD10127"/>
        <s v="ORD10128"/>
        <s v="ORD10129"/>
        <s v="ORD10130"/>
        <s v="ORD10131"/>
        <s v="ORD10132"/>
        <s v="ORD10133"/>
        <s v="ORD10134"/>
        <s v="ORD10135"/>
        <s v="ORD10136"/>
        <s v="ORD10137"/>
        <s v="ORD10138"/>
        <s v="ORD10139"/>
        <s v="ORD10140"/>
        <s v="ORD10141"/>
        <s v="ORD10142"/>
        <s v="ORD10143"/>
        <s v="ORD10144"/>
        <s v="ORD10145"/>
        <s v="ORD10146"/>
        <s v="ORD10147"/>
        <s v="ORD10148"/>
        <s v="ORD10149"/>
        <s v="ORD10150"/>
        <s v="ORD10151"/>
        <s v="ORD10152"/>
        <s v="ORD10153"/>
        <s v="ORD10154"/>
        <s v="ORD10155"/>
        <s v="ORD10156"/>
        <s v="ORD10157"/>
        <s v="ORD10158"/>
        <s v="ORD10159"/>
        <s v="ORD10160"/>
        <s v="ORD10161"/>
        <s v="ORD10162"/>
        <s v="ORD10163"/>
        <s v="ORD10164"/>
        <s v="ORD10165"/>
        <s v="ORD10166"/>
        <s v="ORD10167"/>
        <s v="ORD10168"/>
        <s v="ORD10169"/>
        <s v="ORD10170"/>
        <s v="ORD10171"/>
        <s v="ORD10172"/>
        <s v="ORD10173"/>
        <s v="ORD10174"/>
        <s v="ORD10175"/>
        <s v="ORD10176"/>
        <s v="ORD10177"/>
        <s v="ORD10178"/>
        <s v="ORD10179"/>
        <s v="ORD10180"/>
        <s v="ORD10181"/>
        <s v="ORD10182"/>
        <s v="ORD10183"/>
        <s v="ORD10184"/>
        <s v="ORD10185"/>
        <s v="ORD10186"/>
        <s v="ORD10187"/>
        <s v="ORD10188"/>
        <s v="ORD10189"/>
        <s v="ORD10190"/>
        <s v="ORD10191"/>
        <s v="ORD10192"/>
        <s v="ORD10193"/>
        <s v="ORD10194"/>
        <s v="ORD10195"/>
        <s v="ORD10196"/>
        <s v="ORD10197"/>
        <s v="ORD10198"/>
        <s v="ORD10199"/>
        <s v="ORD10200"/>
        <s v="ORD10201"/>
        <s v="ORD10202"/>
        <s v="ORD10203"/>
        <s v="ORD10204"/>
        <s v="ORD10205"/>
        <s v="ORD10206"/>
        <s v="ORD10207"/>
        <s v="ORD10208"/>
        <s v="ORD10209"/>
        <s v="ORD10210"/>
        <s v="ORD10211"/>
        <s v="ORD10212"/>
        <s v="ORD10213"/>
        <s v="ORD10214"/>
        <s v="ORD10215"/>
        <s v="ORD10216"/>
        <s v="ORD10217"/>
        <s v="ORD10218"/>
        <s v="ORD10219"/>
        <s v="ORD10220"/>
        <s v="ORD10221"/>
        <s v="ORD10222"/>
        <s v="ORD10223"/>
        <s v="ORD10224"/>
        <s v="ORD10225"/>
        <s v="ORD10226"/>
        <s v="ORD10227"/>
        <s v="ORD10228"/>
        <s v="ORD10229"/>
        <s v="ORD10230"/>
        <s v="ORD10231"/>
        <s v="ORD10232"/>
        <s v="ORD10233"/>
        <s v="ORD10234"/>
        <s v="ORD10235"/>
        <s v="ORD10236"/>
        <s v="ORD10237"/>
        <s v="ORD10238"/>
        <s v="ORD10239"/>
        <s v="ORD10240"/>
        <s v="ORD10241"/>
        <s v="ORD10242"/>
        <s v="ORD10243"/>
        <s v="ORD10244"/>
        <s v="ORD10245"/>
        <s v="ORD10246"/>
        <s v="ORD10247"/>
        <s v="ORD10248"/>
        <s v="ORD10249"/>
        <s v="ORD10250"/>
        <s v="ORD10251"/>
        <s v="ORD10252"/>
        <s v="ORD10253"/>
        <s v="ORD10254"/>
        <s v="ORD10255"/>
        <s v="ORD10256"/>
        <s v="ORD10257"/>
        <s v="ORD10258"/>
        <s v="ORD10259"/>
        <s v="ORD10260"/>
        <s v="ORD10261"/>
        <s v="ORD10262"/>
        <s v="ORD10263"/>
        <s v="ORD10264"/>
        <s v="ORD10265"/>
        <s v="ORD10266"/>
        <s v="ORD10267"/>
        <s v="ORD10268"/>
        <s v="ORD10269"/>
        <s v="ORD10270"/>
        <s v="ORD10271"/>
        <s v="ORD10272"/>
        <s v="ORD10273"/>
        <s v="ORD10274"/>
        <s v="ORD10275"/>
        <s v="ORD10276"/>
        <s v="ORD10277"/>
        <s v="ORD10278"/>
        <s v="ORD10279"/>
        <s v="ORD10280"/>
        <s v="ORD10281"/>
        <s v="ORD10282"/>
        <s v="ORD10283"/>
        <s v="ORD10284"/>
        <s v="ORD10285"/>
        <s v="ORD10286"/>
        <s v="ORD10287"/>
        <s v="ORD10288"/>
        <s v="ORD10289"/>
        <s v="ORD10290"/>
        <s v="ORD10291"/>
        <s v="ORD10292"/>
        <s v="ORD10293"/>
        <s v="ORD10294"/>
        <s v="ORD10295"/>
        <s v="ORD10296"/>
        <s v="ORD10297"/>
        <s v="ORD10298"/>
        <s v="ORD10299"/>
        <s v="ORD10300"/>
        <s v="ORD10301"/>
        <s v="ORD10302"/>
        <s v="ORD10303"/>
        <s v="ORD10304"/>
        <s v="ORD10305"/>
        <s v="ORD10306"/>
        <s v="ORD10307"/>
        <s v="ORD10308"/>
        <s v="ORD10309"/>
        <s v="ORD10310"/>
        <s v="ORD10311"/>
        <s v="ORD10312"/>
        <s v="ORD10313"/>
        <s v="ORD10314"/>
        <s v="ORD10315"/>
        <s v="ORD10316"/>
        <s v="ORD10317"/>
        <s v="ORD10318"/>
        <s v="ORD10319"/>
        <s v="ORD10320"/>
        <s v="ORD10321"/>
        <s v="ORD10322"/>
        <s v="ORD10323"/>
        <s v="ORD10324"/>
        <s v="ORD10325"/>
        <s v="ORD10326"/>
        <s v="ORD10327"/>
        <s v="ORD10328"/>
        <s v="ORD10329"/>
        <s v="ORD10330"/>
        <s v="ORD10331"/>
        <s v="ORD10332"/>
        <s v="ORD10333"/>
        <s v="ORD10334"/>
        <s v="ORD10335"/>
        <s v="ORD10336"/>
        <s v="ORD10337"/>
        <s v="ORD10338"/>
        <s v="ORD10339"/>
        <s v="ORD10340"/>
        <s v="ORD10341"/>
        <s v="ORD10342"/>
        <s v="ORD10343"/>
        <s v="ORD10344"/>
        <s v="ORD10345"/>
        <s v="ORD10346"/>
        <s v="ORD10347"/>
        <s v="ORD10348"/>
        <s v="ORD10349"/>
        <s v="ORD10350"/>
        <s v="ORD10351"/>
        <s v="ORD10352"/>
        <s v="ORD10353"/>
        <s v="ORD10354"/>
        <s v="ORD10355"/>
        <s v="ORD10356"/>
        <s v="ORD10357"/>
        <s v="ORD10358"/>
        <s v="ORD10359"/>
        <s v="ORD10360"/>
        <s v="ORD10361"/>
        <s v="ORD10362"/>
        <s v="ORD10363"/>
        <s v="ORD10364"/>
        <s v="ORD10365"/>
        <s v="ORD10366"/>
        <s v="ORD10367"/>
        <s v="ORD10368"/>
        <s v="ORD10369"/>
        <s v="ORD10370"/>
        <s v="ORD10371"/>
        <s v="ORD10372"/>
        <s v="ORD10373"/>
        <s v="ORD10374"/>
        <s v="ORD10375"/>
        <s v="ORD10376"/>
        <s v="ORD10377"/>
        <s v="ORD10378"/>
        <s v="ORD10379"/>
        <s v="ORD10380"/>
        <s v="ORD10381"/>
        <s v="ORD10382"/>
        <s v="ORD10383"/>
        <s v="ORD10384"/>
        <s v="ORD10385"/>
        <s v="ORD10386"/>
        <s v="ORD10387"/>
        <s v="ORD10388"/>
        <s v="ORD10389"/>
        <s v="ORD10390"/>
        <s v="ORD10391"/>
        <s v="ORD10392"/>
        <s v="ORD10393"/>
        <s v="ORD10394"/>
        <s v="ORD10395"/>
        <s v="ORD10396"/>
        <s v="ORD10397"/>
        <s v="ORD10398"/>
        <s v="ORD10399"/>
        <s v="ORD10400"/>
        <s v="ORD10401"/>
        <s v="ORD10402"/>
        <s v="ORD10403"/>
        <s v="ORD10404"/>
        <s v="ORD10405"/>
        <s v="ORD10406"/>
        <s v="ORD10407"/>
        <s v="ORD10408"/>
        <s v="ORD10409"/>
        <s v="ORD10410"/>
        <s v="ORD10411"/>
        <s v="ORD10412"/>
        <s v="ORD10413"/>
        <s v="ORD10414"/>
        <s v="ORD10415"/>
        <s v="ORD10416"/>
        <s v="ORD10417"/>
        <s v="ORD10418"/>
        <s v="ORD10419"/>
        <s v="ORD10420"/>
        <s v="ORD10421"/>
        <s v="ORD10422"/>
        <s v="ORD10423"/>
        <s v="ORD10424"/>
        <s v="ORD10425"/>
        <s v="ORD10426"/>
        <s v="ORD10427"/>
        <s v="ORD10428"/>
        <s v="ORD10429"/>
        <s v="ORD10430"/>
        <s v="ORD10431"/>
        <s v="ORD10432"/>
        <s v="ORD10433"/>
        <s v="ORD10434"/>
        <s v="ORD10435"/>
        <s v="ORD10436"/>
        <s v="ORD10437"/>
        <s v="ORD10438"/>
        <s v="ORD10439"/>
        <s v="ORD10440"/>
        <s v="ORD10441"/>
        <s v="ORD10442"/>
        <s v="ORD10443"/>
        <s v="ORD10444"/>
        <s v="ORD10445"/>
        <s v="ORD10446"/>
        <s v="ORD10447"/>
        <s v="ORD10448"/>
        <s v="ORD10449"/>
        <s v="ORD10450"/>
        <s v="ORD10451"/>
        <s v="ORD10452"/>
        <s v="ORD10453"/>
        <s v="ORD10454"/>
        <s v="ORD10455"/>
        <s v="ORD10456"/>
        <s v="ORD10457"/>
        <s v="ORD10458"/>
        <s v="ORD10459"/>
        <s v="ORD10460"/>
        <s v="ORD10461"/>
        <s v="ORD10462"/>
        <s v="ORD10463"/>
        <s v="ORD10464"/>
        <s v="ORD10465"/>
        <s v="ORD10466"/>
        <s v="ORD10467"/>
        <s v="ORD10468"/>
        <s v="ORD10469"/>
        <s v="ORD10470"/>
        <s v="ORD10471"/>
        <s v="ORD10472"/>
        <s v="ORD10473"/>
        <s v="ORD10474"/>
        <s v="ORD10475"/>
        <s v="ORD10476"/>
        <s v="ORD10477"/>
        <s v="ORD10478"/>
        <s v="ORD10479"/>
        <s v="ORD10480"/>
        <s v="ORD10481"/>
        <s v="ORD10482"/>
        <s v="ORD10483"/>
        <s v="ORD10484"/>
        <s v="ORD10485"/>
        <s v="ORD10486"/>
        <s v="ORD10487"/>
        <s v="ORD10488"/>
        <s v="ORD10489"/>
        <s v="ORD10490"/>
        <s v="ORD10491"/>
        <s v="ORD10492"/>
        <s v="ORD10493"/>
        <s v="ORD10494"/>
        <s v="ORD10495"/>
        <s v="ORD10496"/>
        <s v="ORD10497"/>
        <s v="ORD10498"/>
        <s v="ORD10499"/>
        <s v="ORD10500"/>
      </sharedItems>
    </cacheField>
    <cacheField name="Date" numFmtId="0">
      <sharedItems/>
    </cacheField>
    <cacheField name="Customer_Name" numFmtId="0">
      <sharedItems count="20">
        <s v="Rohit"/>
        <s v="Kavya"/>
        <s v="Neha"/>
        <s v="Rahul"/>
        <s v="Akash"/>
        <s v="Anjali"/>
        <s v="Divya"/>
        <s v="Arjun"/>
        <s v="Ali"/>
        <s v="Vikas"/>
        <s v="Naveen"/>
        <s v="Priya"/>
        <s v="Pooja"/>
        <s v="Aman"/>
        <s v="Sanjay"/>
        <s v="Kiran"/>
        <s v="Vijay"/>
        <s v="Meena"/>
        <s v="Sneha"/>
        <s v="Ria"/>
      </sharedItems>
    </cacheField>
    <cacheField name="Product" numFmtId="0">
      <sharedItems count="21">
        <s v="Shampoo"/>
        <s v="Chair"/>
        <s v="iPhone 15"/>
        <s v="Shoes"/>
        <s v="Jeans"/>
        <s v="Business Book"/>
        <s v="Bedsheet"/>
        <s v="Python Book"/>
        <s v="Lamp"/>
        <s v="Mixer"/>
        <s v="Perfume"/>
        <s v="Watch"/>
        <s v="AirPods Pro"/>
        <s v="Cookbook"/>
        <s v="Laptop"/>
        <s v="Lipstick"/>
        <s v="MacBook Air"/>
        <s v="Novel"/>
        <s v="T-Shirt"/>
        <s v="Sony Headphones"/>
        <s v="Face Wash"/>
      </sharedItems>
    </cacheField>
    <cacheField name="Category" numFmtId="0">
      <sharedItems count="5">
        <s v="Beauty"/>
        <s v="Home"/>
        <s v="Electronics"/>
        <s v="Fashion"/>
        <s v="Books"/>
      </sharedItems>
    </cacheField>
    <cacheField name="State" numFmtId="0">
      <sharedItems count="6">
        <s v="Karnataka"/>
        <s v="Gujrat"/>
        <s v="Telangana"/>
        <s v="Maharashtra"/>
        <s v="Delhi"/>
        <s v="Tamil Nadu"/>
      </sharedItems>
    </cacheField>
    <cacheField name="Seller" numFmtId="0">
      <sharedItems count="4">
        <s v="BookWorld"/>
        <s v="TechStore"/>
        <s v="BeautyCare"/>
        <s v="HomeMart"/>
      </sharedItems>
    </cacheField>
    <cacheField name="Payment_Method" numFmtId="0">
      <sharedItems count="4">
        <s v="Cash"/>
        <s v="Net Banking"/>
        <s v="Card"/>
        <s v="UPI"/>
      </sharedItems>
    </cacheField>
    <cacheField name="Sales" numFmtId="0">
      <sharedItems containsSemiMixedTypes="0" containsString="0" containsNumber="1" containsInteger="1" minValue="307" maxValue="596816" count="492">
        <n v="3028"/>
        <n v="32636"/>
        <n v="313782"/>
        <n v="11375"/>
        <n v="14496"/>
        <n v="5745"/>
        <n v="24696"/>
        <n v="3536"/>
        <n v="25855"/>
        <n v="9432"/>
        <n v="1749"/>
        <n v="85904"/>
        <n v="9792"/>
        <n v="976"/>
        <n v="8338"/>
        <n v="5592"/>
        <n v="17208"/>
        <n v="159523"/>
        <n v="10632"/>
        <n v="5484"/>
        <n v="60040"/>
        <n v="5668"/>
        <n v="245328"/>
        <n v="307"/>
        <n v="4251"/>
        <n v="195428"/>
        <n v="11697"/>
        <n v="218908"/>
        <n v="4467"/>
        <n v="9621"/>
        <n v="23452"/>
        <n v="15564"/>
        <n v="5576"/>
        <n v="2196"/>
        <n v="6790"/>
        <n v="22584"/>
        <n v="20496"/>
        <n v="8466"/>
        <n v="25865"/>
        <n v="12481"/>
        <n v="10143"/>
        <n v="1016"/>
        <n v="2284"/>
        <n v="87227"/>
        <n v="46092"/>
        <n v="22540"/>
        <n v="23534"/>
        <n v="39584"/>
        <n v="258124"/>
        <n v="87718"/>
        <n v="23008"/>
        <n v="1414"/>
        <n v="3189"/>
        <n v="10584"/>
        <n v="5571"/>
        <n v="2880"/>
        <n v="319665"/>
        <n v="77892"/>
        <n v="25500"/>
        <n v="596816"/>
        <n v="8967"/>
        <n v="3245"/>
        <n v="6710"/>
        <n v="208160"/>
        <n v="190589"/>
        <n v="3419"/>
        <n v="6519"/>
        <n v="5170"/>
        <n v="14949"/>
        <n v="22210"/>
        <n v="26485"/>
        <n v="5104"/>
        <n v="5814"/>
        <n v="74214"/>
        <n v="2462"/>
        <n v="6504"/>
        <n v="3285"/>
        <n v="8085"/>
        <n v="2200"/>
        <n v="12868"/>
        <n v="310"/>
        <n v="20688"/>
        <n v="8211"/>
        <n v="246912"/>
        <n v="8868"/>
        <n v="3479"/>
        <n v="5100"/>
        <n v="4712"/>
        <n v="1125"/>
        <n v="46264"/>
        <n v="39215"/>
        <n v="1087"/>
        <n v="36939"/>
        <n v="8874"/>
        <n v="47628"/>
        <n v="55830"/>
        <n v="1674"/>
        <n v="11920"/>
        <n v="3240"/>
        <n v="6543"/>
        <n v="71538"/>
        <n v="236640"/>
        <n v="70704"/>
        <n v="3252"/>
        <n v="24584"/>
        <n v="15912"/>
        <n v="1389"/>
        <n v="1836"/>
        <n v="3246"/>
        <n v="10775"/>
        <n v="3424"/>
        <n v="13356"/>
        <n v="204624"/>
        <n v="7968"/>
        <n v="220384"/>
        <n v="33425"/>
        <n v="16930"/>
        <n v="4263"/>
        <n v="5703"/>
        <n v="29648"/>
        <n v="4914"/>
        <n v="26848"/>
        <n v="11008"/>
        <n v="3332"/>
        <n v="28805"/>
        <n v="582"/>
        <n v="41150"/>
        <n v="11898"/>
        <n v="121614"/>
        <n v="12104"/>
        <n v="7080"/>
        <n v="15456"/>
        <n v="8652"/>
        <n v="11757"/>
        <n v="32886"/>
        <n v="4214"/>
        <n v="4040"/>
        <n v="27996"/>
        <n v="385744"/>
        <n v="7230"/>
        <n v="1671"/>
        <n v="6594"/>
        <n v="2279"/>
        <n v="6416"/>
        <n v="51569"/>
        <n v="4856"/>
        <n v="3135"/>
        <n v="14240"/>
        <n v="20366"/>
        <n v="16856"/>
        <n v="16680"/>
        <n v="26544"/>
        <n v="7748"/>
        <n v="83099"/>
        <n v="19680"/>
        <n v="5920"/>
        <n v="336066"/>
        <n v="27167"/>
        <n v="52130"/>
        <n v="2560"/>
        <n v="512296"/>
        <n v="6328"/>
        <n v="5538"/>
        <n v="1756"/>
        <n v="2268"/>
        <n v="2379"/>
        <n v="5860"/>
        <n v="8748"/>
        <n v="43950"/>
        <n v="5037"/>
        <n v="6136"/>
        <n v="3234"/>
        <n v="3546"/>
        <n v="18816"/>
        <n v="77340"/>
        <n v="12486"/>
        <n v="22260"/>
        <n v="534835"/>
        <n v="11776"/>
        <n v="9814"/>
        <n v="1886"/>
        <n v="197331"/>
        <n v="192608"/>
        <n v="3372"/>
        <n v="16212"/>
        <n v="100890"/>
        <n v="7252"/>
        <n v="257145"/>
        <n v="6696"/>
        <n v="18112"/>
        <n v="18224"/>
        <n v="16336"/>
        <n v="12404"/>
        <n v="101355"/>
        <n v="4050"/>
        <n v="5900"/>
        <n v="9798"/>
        <n v="1246"/>
        <n v="55722"/>
        <n v="1142"/>
        <n v="3592"/>
        <n v="9840"/>
        <n v="6608"/>
        <n v="35610"/>
        <n v="176015"/>
        <n v="7935"/>
        <n v="28254"/>
        <n v="3987"/>
        <n v="5999"/>
        <n v="4932"/>
        <n v="12405"/>
        <n v="5424"/>
        <n v="316535"/>
        <n v="4266"/>
        <n v="24785"/>
        <n v="32753"/>
        <n v="3184"/>
        <n v="18248"/>
        <n v="7492"/>
        <n v="1644"/>
        <n v="6488"/>
        <n v="15631"/>
        <n v="30696"/>
        <n v="5478"/>
        <n v="3432"/>
        <n v="10314"/>
        <n v="2404"/>
        <n v="79388"/>
        <n v="199074"/>
        <n v="232746"/>
        <n v="6232"/>
        <n v="1275"/>
        <n v="16056"/>
        <n v="3204"/>
        <n v="6168"/>
        <n v="1417"/>
        <n v="111030"/>
        <n v="10549"/>
        <n v="37653"/>
        <n v="570"/>
        <n v="4806"/>
        <n v="10254"/>
        <n v="5685"/>
        <n v="161890"/>
        <n v="16555"/>
        <n v="33112"/>
        <n v="17616"/>
        <n v="724"/>
        <n v="64640"/>
        <n v="25400"/>
        <n v="22590"/>
        <n v="10913"/>
        <n v="6820"/>
        <n v="7560"/>
        <n v="21936"/>
        <n v="16092"/>
        <n v="196792"/>
        <n v="16331"/>
        <n v="4668"/>
        <n v="6729"/>
        <n v="5253"/>
        <n v="8624"/>
        <n v="8184"/>
        <n v="62524"/>
        <n v="4840"/>
        <n v="895"/>
        <n v="237105"/>
        <n v="674"/>
        <n v="24060"/>
        <n v="39788"/>
        <n v="23824"/>
        <n v="38192"/>
        <n v="6756"/>
        <n v="23560"/>
        <n v="5260"/>
        <n v="6968"/>
        <n v="15318"/>
        <n v="36309"/>
        <n v="4332"/>
        <n v="36218"/>
        <n v="1034"/>
        <n v="11921"/>
        <n v="18235"/>
        <n v="25320"/>
        <n v="22872"/>
        <n v="245874"/>
        <n v="4284"/>
        <n v="3824"/>
        <n v="11368"/>
        <n v="213440"/>
        <n v="2538"/>
        <n v="2501"/>
        <n v="2194"/>
        <n v="3595"/>
        <n v="154440"/>
        <n v="383140"/>
        <n v="9648"/>
        <n v="6156"/>
        <n v="33965"/>
        <n v="279552"/>
        <n v="11965"/>
        <n v="4195"/>
        <n v="32543"/>
        <n v="8214"/>
        <n v="8088"/>
        <n v="4074"/>
        <n v="15323"/>
        <n v="11286"/>
        <n v="19200"/>
        <n v="10920"/>
        <n v="257243"/>
        <n v="12048"/>
        <n v="1843"/>
        <n v="55013"/>
        <n v="3490"/>
        <n v="13076"/>
        <n v="311416"/>
        <n v="8605"/>
        <n v="6572"/>
        <n v="7470"/>
        <n v="5088"/>
        <n v="31806"/>
        <n v="8290"/>
        <n v="3462"/>
        <n v="7096"/>
        <n v="151312"/>
        <n v="1191"/>
        <n v="282350"/>
        <n v="419576"/>
        <n v="11982"/>
        <n v="7112"/>
        <n v="11384"/>
        <n v="6940"/>
        <n v="25585"/>
        <n v="22624"/>
        <n v="33808"/>
        <n v="20432"/>
        <n v="10432"/>
        <n v="26871"/>
        <n v="6960"/>
        <n v="282224"/>
        <n v="7372"/>
        <n v="15798"/>
        <n v="7072"/>
        <n v="65994"/>
        <n v="26395"/>
        <n v="68457"/>
        <n v="3526"/>
        <n v="20139"/>
        <n v="4816"/>
        <n v="30040"/>
        <n v="269370"/>
        <n v="5580"/>
        <n v="377090"/>
        <n v="167444"/>
        <n v="2960"/>
        <n v="1598"/>
        <n v="1508"/>
        <n v="141239"/>
        <n v="10212"/>
        <n v="6776"/>
        <n v="2667"/>
        <n v="82808"/>
        <n v="2272"/>
        <n v="4470"/>
        <n v="7144"/>
        <n v="236490"/>
        <n v="7990"/>
        <n v="308798"/>
        <n v="112085"/>
        <n v="9030"/>
        <n v="3288"/>
        <n v="24096"/>
        <n v="4084"/>
        <n v="248592"/>
        <n v="57631"/>
        <n v="4180"/>
        <n v="2526"/>
        <n v="10640"/>
        <n v="5777"/>
        <n v="45899"/>
        <n v="7608"/>
        <n v="209300"/>
        <n v="53724"/>
        <n v="12640"/>
        <n v="2958"/>
        <n v="13272"/>
        <n v="25445"/>
        <n v="4407"/>
        <n v="9880"/>
        <n v="14967"/>
        <n v="616"/>
        <n v="21328"/>
        <n v="96832"/>
        <n v="50400"/>
        <n v="9666"/>
        <n v="10104"/>
        <n v="9242"/>
        <n v="7966"/>
        <n v="8337"/>
        <n v="445504"/>
        <n v="861"/>
        <n v="44532"/>
        <n v="36295"/>
        <n v="7300"/>
        <n v="4172"/>
        <n v="5526"/>
        <n v="13944"/>
        <n v="19268"/>
        <n v="28728"/>
        <n v="4419"/>
        <n v="21805"/>
        <n v="595"/>
        <n v="2325"/>
        <n v="26803"/>
        <n v="36040"/>
        <n v="56403"/>
        <n v="2276"/>
        <n v="33795"/>
        <n v="1841"/>
        <n v="6712"/>
        <n v="6065"/>
        <n v="10192"/>
        <n v="94144"/>
        <n v="12047"/>
        <n v="66836"/>
        <n v="125158"/>
        <n v="797"/>
        <n v="1716"/>
        <n v="1524"/>
        <n v="3580"/>
        <n v="13167"/>
        <n v="26340"/>
        <n v="3444"/>
        <n v="12636"/>
        <n v="6948"/>
        <n v="34160"/>
        <n v="10452"/>
        <n v="11904"/>
        <n v="33656"/>
        <n v="40400"/>
        <n v="33012"/>
        <n v="29872"/>
        <n v="335296"/>
        <n v="14262"/>
        <n v="9910"/>
        <n v="13380"/>
        <n v="87816"/>
        <n v="880"/>
        <n v="10530"/>
        <n v="119661"/>
        <n v="213456"/>
        <n v="15905"/>
        <n v="4860"/>
        <n v="34086"/>
        <n v="12012"/>
        <n v="48552"/>
        <n v="38570"/>
        <n v="9906"/>
        <n v="41965"/>
        <n v="3921"/>
        <n v="81800"/>
        <n v="28296"/>
        <n v="17940"/>
        <n v="8744"/>
        <n v="5816"/>
        <n v="128788"/>
        <n v="702"/>
        <n v="6012"/>
        <n v="7876"/>
        <n v="21057"/>
        <n v="15792"/>
        <n v="31144"/>
        <n v="1088"/>
        <n v="9176"/>
        <n v="71576"/>
        <n v="366740"/>
        <n v="205456"/>
        <n v="150170"/>
        <n v="6972"/>
        <n v="135732"/>
        <n v="948"/>
        <n v="23855"/>
        <n v="5334"/>
        <n v="7390"/>
        <n v="5888"/>
        <n v="238268"/>
        <n v="4904"/>
        <n v="2895"/>
        <n v="28672"/>
        <n v="1882"/>
        <n v="333860"/>
      </sharedItems>
    </cacheField>
    <cacheField name="Quantity" numFmtId="0">
      <sharedItems containsSemiMixedTypes="0" containsString="0" containsNumber="1" containsInteger="1" minValue="1" maxValue="8"/>
    </cacheField>
    <cacheField name="Rating" numFmtId="0">
      <sharedItems containsSemiMixedTypes="0" containsString="0" containsNumber="1" minValue="3.2" maxValue="5"/>
    </cacheField>
    <cacheField name="Delivery" numFmtId="0">
      <sharedItems containsSemiMixedTypes="0" containsString="0" containsNumber="1" containsInteger="1" minValue="1" maxValue="8"/>
    </cacheField>
    <cacheField name="Month" numFmtId="0">
      <sharedItems count="12">
        <s v="May"/>
        <s v="Oct"/>
        <s v="Apr"/>
        <s v="Aug"/>
        <s v="Jul"/>
        <s v="Sep"/>
        <s v="Mar"/>
        <s v="Feb"/>
        <s v="Dec"/>
        <s v="Jun"/>
        <s v="Jan"/>
        <s v="Nov"/>
      </sharedItems>
    </cacheField>
  </cacheFields>
  <extLst>
    <ext xmlns:x14="http://schemas.microsoft.com/office/spreadsheetml/2009/9/main" uri="{725AE2AE-9491-48be-B2B4-4EB974FC3084}">
      <x14:pivotCacheDefinition pivotCacheId="189972845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x v="0"/>
    <s v="21/05/2025"/>
    <x v="0"/>
    <x v="0"/>
    <x v="0"/>
    <x v="0"/>
    <x v="0"/>
    <x v="0"/>
    <x v="0"/>
    <n v="4"/>
    <n v="4.3"/>
    <n v="1"/>
    <x v="0"/>
  </r>
  <r>
    <x v="1"/>
    <s v="15/10/2025"/>
    <x v="1"/>
    <x v="1"/>
    <x v="1"/>
    <x v="1"/>
    <x v="1"/>
    <x v="1"/>
    <x v="1"/>
    <n v="4"/>
    <n v="4.3"/>
    <n v="1"/>
    <x v="1"/>
  </r>
  <r>
    <x v="2"/>
    <s v="21/04/2025"/>
    <x v="2"/>
    <x v="2"/>
    <x v="2"/>
    <x v="1"/>
    <x v="1"/>
    <x v="2"/>
    <x v="2"/>
    <n v="6"/>
    <n v="4.7"/>
    <n v="5"/>
    <x v="2"/>
  </r>
  <r>
    <x v="3"/>
    <s v="10/10/2025"/>
    <x v="3"/>
    <x v="3"/>
    <x v="3"/>
    <x v="0"/>
    <x v="0"/>
    <x v="2"/>
    <x v="3"/>
    <n v="5"/>
    <n v="3.3"/>
    <n v="4"/>
    <x v="1"/>
  </r>
  <r>
    <x v="4"/>
    <s v="21/08/2025"/>
    <x v="4"/>
    <x v="4"/>
    <x v="3"/>
    <x v="1"/>
    <x v="0"/>
    <x v="0"/>
    <x v="4"/>
    <n v="6"/>
    <n v="3.7"/>
    <n v="2"/>
    <x v="3"/>
  </r>
  <r>
    <x v="5"/>
    <s v="14/07/2025"/>
    <x v="5"/>
    <x v="5"/>
    <x v="4"/>
    <x v="2"/>
    <x v="2"/>
    <x v="0"/>
    <x v="5"/>
    <n v="5"/>
    <n v="4.7"/>
    <n v="6"/>
    <x v="4"/>
  </r>
  <r>
    <x v="6"/>
    <s v="19/04/2025"/>
    <x v="6"/>
    <x v="6"/>
    <x v="1"/>
    <x v="3"/>
    <x v="1"/>
    <x v="1"/>
    <x v="6"/>
    <n v="8"/>
    <n v="3.6"/>
    <n v="5"/>
    <x v="2"/>
  </r>
  <r>
    <x v="7"/>
    <s v="18/09/2025"/>
    <x v="4"/>
    <x v="7"/>
    <x v="4"/>
    <x v="0"/>
    <x v="1"/>
    <x v="3"/>
    <x v="7"/>
    <n v="8"/>
    <n v="3.5"/>
    <n v="7"/>
    <x v="5"/>
  </r>
  <r>
    <x v="8"/>
    <s v="28/09/2025"/>
    <x v="7"/>
    <x v="8"/>
    <x v="1"/>
    <x v="2"/>
    <x v="1"/>
    <x v="0"/>
    <x v="8"/>
    <n v="5"/>
    <n v="4.5999999999999996"/>
    <n v="6"/>
    <x v="5"/>
  </r>
  <r>
    <x v="9"/>
    <s v="15/05/2025"/>
    <x v="8"/>
    <x v="3"/>
    <x v="3"/>
    <x v="2"/>
    <x v="0"/>
    <x v="2"/>
    <x v="9"/>
    <n v="3"/>
    <n v="4.0999999999999996"/>
    <n v="4"/>
    <x v="0"/>
  </r>
  <r>
    <x v="10"/>
    <s v="08/09/2025"/>
    <x v="9"/>
    <x v="6"/>
    <x v="1"/>
    <x v="1"/>
    <x v="1"/>
    <x v="2"/>
    <x v="10"/>
    <n v="1"/>
    <n v="3.6"/>
    <n v="2"/>
    <x v="5"/>
  </r>
  <r>
    <x v="11"/>
    <s v="07/03/2025"/>
    <x v="10"/>
    <x v="9"/>
    <x v="1"/>
    <x v="1"/>
    <x v="0"/>
    <x v="1"/>
    <x v="11"/>
    <n v="8"/>
    <n v="4"/>
    <n v="4"/>
    <x v="6"/>
  </r>
  <r>
    <x v="12"/>
    <s v="13/08/2025"/>
    <x v="6"/>
    <x v="4"/>
    <x v="3"/>
    <x v="4"/>
    <x v="2"/>
    <x v="2"/>
    <x v="12"/>
    <n v="8"/>
    <n v="3.2"/>
    <n v="4"/>
    <x v="3"/>
  </r>
  <r>
    <x v="13"/>
    <s v="04/02/2025"/>
    <x v="10"/>
    <x v="10"/>
    <x v="0"/>
    <x v="4"/>
    <x v="1"/>
    <x v="0"/>
    <x v="13"/>
    <n v="1"/>
    <n v="4.4000000000000004"/>
    <n v="4"/>
    <x v="7"/>
  </r>
  <r>
    <x v="14"/>
    <s v="08/04/2025"/>
    <x v="7"/>
    <x v="11"/>
    <x v="3"/>
    <x v="0"/>
    <x v="1"/>
    <x v="1"/>
    <x v="14"/>
    <n v="2"/>
    <n v="4"/>
    <n v="1"/>
    <x v="2"/>
  </r>
  <r>
    <x v="15"/>
    <s v="09/04/2025"/>
    <x v="9"/>
    <x v="10"/>
    <x v="0"/>
    <x v="3"/>
    <x v="2"/>
    <x v="2"/>
    <x v="15"/>
    <n v="4"/>
    <n v="3.7"/>
    <n v="4"/>
    <x v="2"/>
  </r>
  <r>
    <x v="16"/>
    <s v="17/02/2025"/>
    <x v="1"/>
    <x v="1"/>
    <x v="1"/>
    <x v="3"/>
    <x v="2"/>
    <x v="3"/>
    <x v="16"/>
    <n v="4"/>
    <n v="4.8"/>
    <n v="1"/>
    <x v="7"/>
  </r>
  <r>
    <x v="17"/>
    <s v="27/05/2025"/>
    <x v="6"/>
    <x v="12"/>
    <x v="2"/>
    <x v="1"/>
    <x v="2"/>
    <x v="1"/>
    <x v="17"/>
    <n v="7"/>
    <n v="3.6"/>
    <n v="1"/>
    <x v="0"/>
  </r>
  <r>
    <x v="18"/>
    <s v="27/10/2025"/>
    <x v="9"/>
    <x v="0"/>
    <x v="0"/>
    <x v="5"/>
    <x v="2"/>
    <x v="0"/>
    <x v="18"/>
    <n v="8"/>
    <n v="3.3"/>
    <n v="3"/>
    <x v="1"/>
  </r>
  <r>
    <x v="19"/>
    <s v="19/10/2025"/>
    <x v="11"/>
    <x v="3"/>
    <x v="3"/>
    <x v="5"/>
    <x v="3"/>
    <x v="0"/>
    <x v="19"/>
    <n v="4"/>
    <n v="4.4000000000000004"/>
    <n v="6"/>
    <x v="1"/>
  </r>
  <r>
    <x v="20"/>
    <s v="09/03/2025"/>
    <x v="9"/>
    <x v="12"/>
    <x v="2"/>
    <x v="5"/>
    <x v="0"/>
    <x v="1"/>
    <x v="20"/>
    <n v="5"/>
    <n v="4.3"/>
    <n v="2"/>
    <x v="6"/>
  </r>
  <r>
    <x v="21"/>
    <s v="05/02/2025"/>
    <x v="10"/>
    <x v="13"/>
    <x v="4"/>
    <x v="2"/>
    <x v="2"/>
    <x v="0"/>
    <x v="21"/>
    <n v="4"/>
    <n v="4.5"/>
    <n v="1"/>
    <x v="7"/>
  </r>
  <r>
    <x v="22"/>
    <s v="24/02/2025"/>
    <x v="12"/>
    <x v="14"/>
    <x v="2"/>
    <x v="3"/>
    <x v="3"/>
    <x v="2"/>
    <x v="22"/>
    <n v="3"/>
    <n v="3.6"/>
    <n v="5"/>
    <x v="7"/>
  </r>
  <r>
    <x v="23"/>
    <s v="22/05/2025"/>
    <x v="10"/>
    <x v="15"/>
    <x v="0"/>
    <x v="1"/>
    <x v="1"/>
    <x v="2"/>
    <x v="23"/>
    <n v="1"/>
    <n v="3.5"/>
    <n v="8"/>
    <x v="0"/>
  </r>
  <r>
    <x v="24"/>
    <s v="20/12/2025"/>
    <x v="2"/>
    <x v="0"/>
    <x v="0"/>
    <x v="2"/>
    <x v="3"/>
    <x v="2"/>
    <x v="24"/>
    <n v="3"/>
    <n v="3.5"/>
    <n v="3"/>
    <x v="8"/>
  </r>
  <r>
    <x v="25"/>
    <s v="16/12/2025"/>
    <x v="13"/>
    <x v="2"/>
    <x v="2"/>
    <x v="4"/>
    <x v="0"/>
    <x v="3"/>
    <x v="25"/>
    <n v="4"/>
    <n v="5"/>
    <n v="3"/>
    <x v="8"/>
  </r>
  <r>
    <x v="26"/>
    <s v="20/06/2025"/>
    <x v="14"/>
    <x v="10"/>
    <x v="0"/>
    <x v="4"/>
    <x v="0"/>
    <x v="3"/>
    <x v="26"/>
    <n v="7"/>
    <n v="3.9"/>
    <n v="1"/>
    <x v="9"/>
  </r>
  <r>
    <x v="27"/>
    <s v="27/04/2025"/>
    <x v="15"/>
    <x v="16"/>
    <x v="2"/>
    <x v="1"/>
    <x v="1"/>
    <x v="1"/>
    <x v="27"/>
    <n v="4"/>
    <n v="4.8"/>
    <n v="5"/>
    <x v="2"/>
  </r>
  <r>
    <x v="28"/>
    <s v="14/05/2025"/>
    <x v="16"/>
    <x v="0"/>
    <x v="0"/>
    <x v="5"/>
    <x v="2"/>
    <x v="3"/>
    <x v="28"/>
    <n v="3"/>
    <n v="4"/>
    <n v="6"/>
    <x v="0"/>
  </r>
  <r>
    <x v="29"/>
    <s v="11/05/2025"/>
    <x v="15"/>
    <x v="9"/>
    <x v="1"/>
    <x v="3"/>
    <x v="2"/>
    <x v="1"/>
    <x v="29"/>
    <n v="1"/>
    <n v="4.4000000000000004"/>
    <n v="4"/>
    <x v="0"/>
  </r>
  <r>
    <x v="30"/>
    <s v="06/12/2025"/>
    <x v="3"/>
    <x v="6"/>
    <x v="1"/>
    <x v="5"/>
    <x v="0"/>
    <x v="0"/>
    <x v="30"/>
    <n v="2"/>
    <n v="3.9"/>
    <n v="7"/>
    <x v="8"/>
  </r>
  <r>
    <x v="31"/>
    <s v="13/12/2025"/>
    <x v="16"/>
    <x v="11"/>
    <x v="3"/>
    <x v="5"/>
    <x v="3"/>
    <x v="3"/>
    <x v="31"/>
    <n v="3"/>
    <n v="3.7"/>
    <n v="4"/>
    <x v="8"/>
  </r>
  <r>
    <x v="32"/>
    <s v="12/12/2025"/>
    <x v="9"/>
    <x v="11"/>
    <x v="3"/>
    <x v="4"/>
    <x v="3"/>
    <x v="0"/>
    <x v="32"/>
    <n v="4"/>
    <n v="4.0999999999999996"/>
    <n v="6"/>
    <x v="8"/>
  </r>
  <r>
    <x v="33"/>
    <s v="13/01/2025"/>
    <x v="5"/>
    <x v="7"/>
    <x v="4"/>
    <x v="3"/>
    <x v="1"/>
    <x v="0"/>
    <x v="33"/>
    <n v="1"/>
    <n v="3.9"/>
    <n v="4"/>
    <x v="10"/>
  </r>
  <r>
    <x v="34"/>
    <s v="24/02/2025"/>
    <x v="17"/>
    <x v="17"/>
    <x v="4"/>
    <x v="4"/>
    <x v="1"/>
    <x v="1"/>
    <x v="34"/>
    <n v="7"/>
    <n v="4.2"/>
    <n v="2"/>
    <x v="7"/>
  </r>
  <r>
    <x v="35"/>
    <s v="08/10/2025"/>
    <x v="12"/>
    <x v="11"/>
    <x v="3"/>
    <x v="3"/>
    <x v="0"/>
    <x v="1"/>
    <x v="35"/>
    <n v="8"/>
    <n v="4.7"/>
    <n v="5"/>
    <x v="1"/>
  </r>
  <r>
    <x v="36"/>
    <s v="27/05/2025"/>
    <x v="5"/>
    <x v="3"/>
    <x v="3"/>
    <x v="1"/>
    <x v="0"/>
    <x v="0"/>
    <x v="36"/>
    <n v="4"/>
    <n v="3.4"/>
    <n v="4"/>
    <x v="0"/>
  </r>
  <r>
    <x v="37"/>
    <s v="28/07/2025"/>
    <x v="6"/>
    <x v="15"/>
    <x v="0"/>
    <x v="1"/>
    <x v="2"/>
    <x v="3"/>
    <x v="37"/>
    <n v="6"/>
    <n v="4.7"/>
    <n v="7"/>
    <x v="4"/>
  </r>
  <r>
    <x v="38"/>
    <s v="30/06/2025"/>
    <x v="13"/>
    <x v="3"/>
    <x v="3"/>
    <x v="2"/>
    <x v="1"/>
    <x v="3"/>
    <x v="38"/>
    <n v="5"/>
    <n v="4.8"/>
    <n v="8"/>
    <x v="9"/>
  </r>
  <r>
    <x v="39"/>
    <s v="22/06/2025"/>
    <x v="6"/>
    <x v="15"/>
    <x v="0"/>
    <x v="5"/>
    <x v="2"/>
    <x v="2"/>
    <x v="39"/>
    <n v="7"/>
    <n v="4.2"/>
    <n v="7"/>
    <x v="9"/>
  </r>
  <r>
    <x v="40"/>
    <s v="25/08/2025"/>
    <x v="5"/>
    <x v="18"/>
    <x v="3"/>
    <x v="2"/>
    <x v="1"/>
    <x v="1"/>
    <x v="40"/>
    <n v="3"/>
    <n v="4"/>
    <n v="6"/>
    <x v="3"/>
  </r>
  <r>
    <x v="41"/>
    <s v="10/01/2025"/>
    <x v="0"/>
    <x v="15"/>
    <x v="0"/>
    <x v="5"/>
    <x v="0"/>
    <x v="0"/>
    <x v="41"/>
    <n v="1"/>
    <n v="4.9000000000000004"/>
    <n v="4"/>
    <x v="10"/>
  </r>
  <r>
    <x v="42"/>
    <s v="09/12/2025"/>
    <x v="1"/>
    <x v="5"/>
    <x v="4"/>
    <x v="2"/>
    <x v="2"/>
    <x v="2"/>
    <x v="42"/>
    <n v="2"/>
    <n v="3.5"/>
    <n v="2"/>
    <x v="8"/>
  </r>
  <r>
    <x v="43"/>
    <s v="13/12/2025"/>
    <x v="4"/>
    <x v="19"/>
    <x v="2"/>
    <x v="0"/>
    <x v="2"/>
    <x v="1"/>
    <x v="43"/>
    <n v="7"/>
    <n v="3.6"/>
    <n v="5"/>
    <x v="8"/>
  </r>
  <r>
    <x v="44"/>
    <s v="05/12/2025"/>
    <x v="16"/>
    <x v="8"/>
    <x v="1"/>
    <x v="2"/>
    <x v="1"/>
    <x v="0"/>
    <x v="44"/>
    <n v="6"/>
    <n v="4.7"/>
    <n v="2"/>
    <x v="8"/>
  </r>
  <r>
    <x v="45"/>
    <s v="25/09/2025"/>
    <x v="18"/>
    <x v="18"/>
    <x v="3"/>
    <x v="4"/>
    <x v="2"/>
    <x v="1"/>
    <x v="45"/>
    <n v="5"/>
    <n v="4.7"/>
    <n v="5"/>
    <x v="5"/>
  </r>
  <r>
    <x v="46"/>
    <s v="26/08/2025"/>
    <x v="11"/>
    <x v="18"/>
    <x v="3"/>
    <x v="2"/>
    <x v="3"/>
    <x v="1"/>
    <x v="46"/>
    <n v="7"/>
    <n v="4.0999999999999996"/>
    <n v="6"/>
    <x v="3"/>
  </r>
  <r>
    <x v="47"/>
    <s v="22/09/2025"/>
    <x v="14"/>
    <x v="1"/>
    <x v="1"/>
    <x v="3"/>
    <x v="2"/>
    <x v="2"/>
    <x v="47"/>
    <n v="4"/>
    <n v="4.5999999999999996"/>
    <n v="8"/>
    <x v="5"/>
  </r>
  <r>
    <x v="48"/>
    <s v="27/07/2025"/>
    <x v="15"/>
    <x v="2"/>
    <x v="2"/>
    <x v="1"/>
    <x v="1"/>
    <x v="1"/>
    <x v="48"/>
    <n v="4"/>
    <n v="3.8"/>
    <n v="6"/>
    <x v="4"/>
  </r>
  <r>
    <x v="49"/>
    <s v="29/04/2025"/>
    <x v="19"/>
    <x v="16"/>
    <x v="2"/>
    <x v="4"/>
    <x v="1"/>
    <x v="1"/>
    <x v="49"/>
    <n v="2"/>
    <n v="4.9000000000000004"/>
    <n v="3"/>
    <x v="2"/>
  </r>
  <r>
    <x v="50"/>
    <s v="21/02/2025"/>
    <x v="11"/>
    <x v="6"/>
    <x v="1"/>
    <x v="0"/>
    <x v="2"/>
    <x v="1"/>
    <x v="50"/>
    <n v="4"/>
    <n v="3.2"/>
    <n v="3"/>
    <x v="7"/>
  </r>
  <r>
    <x v="51"/>
    <s v="22/02/2025"/>
    <x v="11"/>
    <x v="5"/>
    <x v="4"/>
    <x v="3"/>
    <x v="2"/>
    <x v="2"/>
    <x v="51"/>
    <n v="1"/>
    <n v="3.8"/>
    <n v="1"/>
    <x v="7"/>
  </r>
  <r>
    <x v="52"/>
    <s v="07/02/2025"/>
    <x v="10"/>
    <x v="11"/>
    <x v="3"/>
    <x v="3"/>
    <x v="0"/>
    <x v="3"/>
    <x v="52"/>
    <n v="1"/>
    <n v="5"/>
    <n v="2"/>
    <x v="7"/>
  </r>
  <r>
    <x v="53"/>
    <s v="02/06/2025"/>
    <x v="9"/>
    <x v="11"/>
    <x v="3"/>
    <x v="4"/>
    <x v="0"/>
    <x v="0"/>
    <x v="53"/>
    <n v="7"/>
    <n v="4.3"/>
    <n v="5"/>
    <x v="9"/>
  </r>
  <r>
    <x v="54"/>
    <s v="22/03/2025"/>
    <x v="3"/>
    <x v="1"/>
    <x v="1"/>
    <x v="1"/>
    <x v="1"/>
    <x v="2"/>
    <x v="54"/>
    <n v="1"/>
    <n v="3.3"/>
    <n v="5"/>
    <x v="6"/>
  </r>
  <r>
    <x v="55"/>
    <s v="17/11/2025"/>
    <x v="8"/>
    <x v="13"/>
    <x v="4"/>
    <x v="0"/>
    <x v="2"/>
    <x v="0"/>
    <x v="55"/>
    <n v="4"/>
    <n v="3.5"/>
    <n v="5"/>
    <x v="11"/>
  </r>
  <r>
    <x v="56"/>
    <s v="19/10/2025"/>
    <x v="17"/>
    <x v="19"/>
    <x v="2"/>
    <x v="0"/>
    <x v="2"/>
    <x v="3"/>
    <x v="56"/>
    <n v="5"/>
    <n v="4.9000000000000004"/>
    <n v="8"/>
    <x v="1"/>
  </r>
  <r>
    <x v="57"/>
    <s v="09/05/2025"/>
    <x v="6"/>
    <x v="19"/>
    <x v="2"/>
    <x v="0"/>
    <x v="0"/>
    <x v="3"/>
    <x v="57"/>
    <n v="1"/>
    <n v="5"/>
    <n v="5"/>
    <x v="0"/>
  </r>
  <r>
    <x v="58"/>
    <s v="23/05/2025"/>
    <x v="18"/>
    <x v="8"/>
    <x v="1"/>
    <x v="1"/>
    <x v="2"/>
    <x v="0"/>
    <x v="58"/>
    <n v="3"/>
    <n v="3.8"/>
    <n v="6"/>
    <x v="0"/>
  </r>
  <r>
    <x v="59"/>
    <s v="22/12/2025"/>
    <x v="18"/>
    <x v="12"/>
    <x v="2"/>
    <x v="0"/>
    <x v="1"/>
    <x v="2"/>
    <x v="59"/>
    <n v="8"/>
    <n v="3.4"/>
    <n v="5"/>
    <x v="8"/>
  </r>
  <r>
    <x v="60"/>
    <s v="31/07/2025"/>
    <x v="19"/>
    <x v="8"/>
    <x v="1"/>
    <x v="2"/>
    <x v="0"/>
    <x v="1"/>
    <x v="60"/>
    <n v="1"/>
    <n v="4.3"/>
    <n v="1"/>
    <x v="4"/>
  </r>
  <r>
    <x v="61"/>
    <s v="04/03/2025"/>
    <x v="9"/>
    <x v="11"/>
    <x v="3"/>
    <x v="4"/>
    <x v="2"/>
    <x v="3"/>
    <x v="61"/>
    <n v="1"/>
    <n v="3.2"/>
    <n v="7"/>
    <x v="6"/>
  </r>
  <r>
    <x v="62"/>
    <s v="13/09/2025"/>
    <x v="5"/>
    <x v="10"/>
    <x v="0"/>
    <x v="4"/>
    <x v="0"/>
    <x v="2"/>
    <x v="62"/>
    <n v="5"/>
    <n v="3.6"/>
    <n v="3"/>
    <x v="5"/>
  </r>
  <r>
    <x v="63"/>
    <s v="24/06/2025"/>
    <x v="8"/>
    <x v="12"/>
    <x v="2"/>
    <x v="3"/>
    <x v="1"/>
    <x v="1"/>
    <x v="63"/>
    <n v="5"/>
    <n v="5"/>
    <n v="8"/>
    <x v="9"/>
  </r>
  <r>
    <x v="64"/>
    <s v="06/10/2025"/>
    <x v="2"/>
    <x v="19"/>
    <x v="2"/>
    <x v="2"/>
    <x v="1"/>
    <x v="3"/>
    <x v="64"/>
    <n v="7"/>
    <n v="3.9"/>
    <n v="7"/>
    <x v="1"/>
  </r>
  <r>
    <x v="65"/>
    <s v="11/09/2025"/>
    <x v="7"/>
    <x v="18"/>
    <x v="3"/>
    <x v="5"/>
    <x v="1"/>
    <x v="2"/>
    <x v="65"/>
    <n v="1"/>
    <n v="4.8"/>
    <n v="8"/>
    <x v="5"/>
  </r>
  <r>
    <x v="66"/>
    <s v="02/12/2025"/>
    <x v="18"/>
    <x v="5"/>
    <x v="4"/>
    <x v="1"/>
    <x v="1"/>
    <x v="1"/>
    <x v="66"/>
    <n v="3"/>
    <n v="4.4000000000000004"/>
    <n v="2"/>
    <x v="8"/>
  </r>
  <r>
    <x v="67"/>
    <s v="13/11/2025"/>
    <x v="17"/>
    <x v="3"/>
    <x v="3"/>
    <x v="4"/>
    <x v="3"/>
    <x v="2"/>
    <x v="55"/>
    <n v="2"/>
    <n v="5"/>
    <n v="2"/>
    <x v="11"/>
  </r>
  <r>
    <x v="68"/>
    <s v="29/01/2025"/>
    <x v="1"/>
    <x v="20"/>
    <x v="0"/>
    <x v="4"/>
    <x v="2"/>
    <x v="3"/>
    <x v="67"/>
    <n v="5"/>
    <n v="4.2"/>
    <n v="3"/>
    <x v="10"/>
  </r>
  <r>
    <x v="69"/>
    <s v="12/09/2025"/>
    <x v="3"/>
    <x v="9"/>
    <x v="1"/>
    <x v="1"/>
    <x v="0"/>
    <x v="2"/>
    <x v="68"/>
    <n v="3"/>
    <n v="4.4000000000000004"/>
    <n v="8"/>
    <x v="5"/>
  </r>
  <r>
    <x v="70"/>
    <s v="28/10/2025"/>
    <x v="14"/>
    <x v="4"/>
    <x v="3"/>
    <x v="0"/>
    <x v="0"/>
    <x v="3"/>
    <x v="69"/>
    <n v="5"/>
    <n v="3.6"/>
    <n v="7"/>
    <x v="1"/>
  </r>
  <r>
    <x v="71"/>
    <s v="22/10/2025"/>
    <x v="4"/>
    <x v="6"/>
    <x v="1"/>
    <x v="1"/>
    <x v="1"/>
    <x v="1"/>
    <x v="70"/>
    <n v="5"/>
    <n v="3.2"/>
    <n v="1"/>
    <x v="1"/>
  </r>
  <r>
    <x v="72"/>
    <s v="23/04/2025"/>
    <x v="3"/>
    <x v="13"/>
    <x v="4"/>
    <x v="3"/>
    <x v="2"/>
    <x v="1"/>
    <x v="71"/>
    <n v="4"/>
    <n v="4.8"/>
    <n v="1"/>
    <x v="2"/>
  </r>
  <r>
    <x v="73"/>
    <s v="01/06/2025"/>
    <x v="12"/>
    <x v="17"/>
    <x v="4"/>
    <x v="5"/>
    <x v="3"/>
    <x v="0"/>
    <x v="72"/>
    <n v="6"/>
    <n v="4.8"/>
    <n v="6"/>
    <x v="9"/>
  </r>
  <r>
    <x v="74"/>
    <s v="01/06/2025"/>
    <x v="10"/>
    <x v="12"/>
    <x v="2"/>
    <x v="2"/>
    <x v="2"/>
    <x v="3"/>
    <x v="73"/>
    <n v="6"/>
    <n v="4.7"/>
    <n v="7"/>
    <x v="9"/>
  </r>
  <r>
    <x v="75"/>
    <s v="02/10/2025"/>
    <x v="7"/>
    <x v="20"/>
    <x v="0"/>
    <x v="1"/>
    <x v="0"/>
    <x v="3"/>
    <x v="74"/>
    <n v="2"/>
    <n v="4.7"/>
    <n v="6"/>
    <x v="1"/>
  </r>
  <r>
    <x v="76"/>
    <s v="09/11/2025"/>
    <x v="2"/>
    <x v="20"/>
    <x v="0"/>
    <x v="0"/>
    <x v="3"/>
    <x v="3"/>
    <x v="75"/>
    <n v="4"/>
    <n v="3.9"/>
    <n v="3"/>
    <x v="11"/>
  </r>
  <r>
    <x v="77"/>
    <s v="01/05/2025"/>
    <x v="16"/>
    <x v="0"/>
    <x v="0"/>
    <x v="1"/>
    <x v="2"/>
    <x v="3"/>
    <x v="76"/>
    <n v="3"/>
    <n v="4.3"/>
    <n v="3"/>
    <x v="0"/>
  </r>
  <r>
    <x v="78"/>
    <s v="24/05/2025"/>
    <x v="7"/>
    <x v="8"/>
    <x v="1"/>
    <x v="1"/>
    <x v="3"/>
    <x v="1"/>
    <x v="77"/>
    <n v="1"/>
    <n v="4.9000000000000004"/>
    <n v="6"/>
    <x v="0"/>
  </r>
  <r>
    <x v="79"/>
    <s v="22/05/2025"/>
    <x v="2"/>
    <x v="15"/>
    <x v="0"/>
    <x v="2"/>
    <x v="0"/>
    <x v="0"/>
    <x v="78"/>
    <n v="4"/>
    <n v="4.4000000000000004"/>
    <n v="1"/>
    <x v="0"/>
  </r>
  <r>
    <x v="80"/>
    <s v="05/02/2025"/>
    <x v="11"/>
    <x v="9"/>
    <x v="1"/>
    <x v="4"/>
    <x v="0"/>
    <x v="1"/>
    <x v="79"/>
    <n v="4"/>
    <n v="4.5999999999999996"/>
    <n v="1"/>
    <x v="7"/>
  </r>
  <r>
    <x v="81"/>
    <s v="05/12/2025"/>
    <x v="11"/>
    <x v="17"/>
    <x v="4"/>
    <x v="0"/>
    <x v="0"/>
    <x v="3"/>
    <x v="80"/>
    <n v="1"/>
    <n v="3.8"/>
    <n v="3"/>
    <x v="8"/>
  </r>
  <r>
    <x v="82"/>
    <s v="02/02/2025"/>
    <x v="4"/>
    <x v="1"/>
    <x v="1"/>
    <x v="0"/>
    <x v="3"/>
    <x v="3"/>
    <x v="81"/>
    <n v="8"/>
    <n v="4"/>
    <n v="4"/>
    <x v="7"/>
  </r>
  <r>
    <x v="83"/>
    <s v="03/09/2025"/>
    <x v="4"/>
    <x v="0"/>
    <x v="0"/>
    <x v="4"/>
    <x v="2"/>
    <x v="0"/>
    <x v="82"/>
    <n v="7"/>
    <n v="4.8"/>
    <n v="6"/>
    <x v="5"/>
  </r>
  <r>
    <x v="84"/>
    <s v="21/11/2025"/>
    <x v="7"/>
    <x v="19"/>
    <x v="2"/>
    <x v="1"/>
    <x v="0"/>
    <x v="3"/>
    <x v="83"/>
    <n v="6"/>
    <n v="4.3"/>
    <n v="2"/>
    <x v="11"/>
  </r>
  <r>
    <x v="85"/>
    <s v="31/07/2025"/>
    <x v="15"/>
    <x v="18"/>
    <x v="3"/>
    <x v="4"/>
    <x v="1"/>
    <x v="2"/>
    <x v="84"/>
    <n v="6"/>
    <n v="4"/>
    <n v="5"/>
    <x v="4"/>
  </r>
  <r>
    <x v="86"/>
    <s v="17/02/2025"/>
    <x v="7"/>
    <x v="0"/>
    <x v="0"/>
    <x v="3"/>
    <x v="3"/>
    <x v="3"/>
    <x v="85"/>
    <n v="7"/>
    <n v="4.3"/>
    <n v="6"/>
    <x v="7"/>
  </r>
  <r>
    <x v="87"/>
    <s v="04/11/2025"/>
    <x v="13"/>
    <x v="20"/>
    <x v="0"/>
    <x v="0"/>
    <x v="3"/>
    <x v="1"/>
    <x v="86"/>
    <n v="5"/>
    <n v="3.5"/>
    <n v="8"/>
    <x v="11"/>
  </r>
  <r>
    <x v="88"/>
    <s v="21/10/2025"/>
    <x v="18"/>
    <x v="20"/>
    <x v="0"/>
    <x v="2"/>
    <x v="2"/>
    <x v="0"/>
    <x v="87"/>
    <n v="4"/>
    <n v="3.5"/>
    <n v="5"/>
    <x v="1"/>
  </r>
  <r>
    <x v="89"/>
    <s v="05/02/2025"/>
    <x v="18"/>
    <x v="5"/>
    <x v="4"/>
    <x v="4"/>
    <x v="3"/>
    <x v="1"/>
    <x v="88"/>
    <n v="3"/>
    <n v="3.9"/>
    <n v="8"/>
    <x v="7"/>
  </r>
  <r>
    <x v="90"/>
    <s v="02/11/2025"/>
    <x v="17"/>
    <x v="19"/>
    <x v="2"/>
    <x v="1"/>
    <x v="1"/>
    <x v="3"/>
    <x v="89"/>
    <n v="2"/>
    <n v="4.4000000000000004"/>
    <n v="5"/>
    <x v="11"/>
  </r>
  <r>
    <x v="91"/>
    <s v="01/08/2025"/>
    <x v="12"/>
    <x v="8"/>
    <x v="1"/>
    <x v="1"/>
    <x v="3"/>
    <x v="2"/>
    <x v="90"/>
    <n v="5"/>
    <n v="3.4"/>
    <n v="8"/>
    <x v="3"/>
  </r>
  <r>
    <x v="92"/>
    <s v="03/11/2025"/>
    <x v="18"/>
    <x v="5"/>
    <x v="4"/>
    <x v="0"/>
    <x v="2"/>
    <x v="3"/>
    <x v="91"/>
    <n v="1"/>
    <n v="4.5999999999999996"/>
    <n v="5"/>
    <x v="11"/>
  </r>
  <r>
    <x v="93"/>
    <s v="08/03/2025"/>
    <x v="5"/>
    <x v="18"/>
    <x v="3"/>
    <x v="1"/>
    <x v="2"/>
    <x v="3"/>
    <x v="92"/>
    <n v="7"/>
    <n v="4.7"/>
    <n v="2"/>
    <x v="6"/>
  </r>
  <r>
    <x v="94"/>
    <s v="09/02/2025"/>
    <x v="5"/>
    <x v="15"/>
    <x v="0"/>
    <x v="0"/>
    <x v="3"/>
    <x v="0"/>
    <x v="93"/>
    <n v="6"/>
    <n v="4"/>
    <n v="2"/>
    <x v="7"/>
  </r>
  <r>
    <x v="95"/>
    <s v="20/12/2025"/>
    <x v="5"/>
    <x v="8"/>
    <x v="1"/>
    <x v="2"/>
    <x v="3"/>
    <x v="0"/>
    <x v="94"/>
    <n v="6"/>
    <n v="4.3"/>
    <n v="2"/>
    <x v="8"/>
  </r>
  <r>
    <x v="96"/>
    <s v="09/02/2025"/>
    <x v="13"/>
    <x v="2"/>
    <x v="2"/>
    <x v="0"/>
    <x v="0"/>
    <x v="1"/>
    <x v="95"/>
    <n v="2"/>
    <n v="4.5"/>
    <n v="3"/>
    <x v="7"/>
  </r>
  <r>
    <x v="97"/>
    <s v="05/11/2025"/>
    <x v="6"/>
    <x v="7"/>
    <x v="4"/>
    <x v="1"/>
    <x v="3"/>
    <x v="1"/>
    <x v="96"/>
    <n v="3"/>
    <n v="4"/>
    <n v="8"/>
    <x v="11"/>
  </r>
  <r>
    <x v="98"/>
    <s v="04/02/2025"/>
    <x v="3"/>
    <x v="5"/>
    <x v="4"/>
    <x v="3"/>
    <x v="1"/>
    <x v="2"/>
    <x v="97"/>
    <n v="8"/>
    <n v="3.8"/>
    <n v="2"/>
    <x v="7"/>
  </r>
  <r>
    <x v="99"/>
    <s v="27/05/2025"/>
    <x v="17"/>
    <x v="20"/>
    <x v="0"/>
    <x v="5"/>
    <x v="0"/>
    <x v="1"/>
    <x v="98"/>
    <n v="2"/>
    <n v="3.9"/>
    <n v="1"/>
    <x v="0"/>
  </r>
  <r>
    <x v="100"/>
    <s v="14/09/2025"/>
    <x v="2"/>
    <x v="8"/>
    <x v="1"/>
    <x v="4"/>
    <x v="1"/>
    <x v="3"/>
    <x v="99"/>
    <n v="3"/>
    <n v="4.0999999999999996"/>
    <n v="3"/>
    <x v="5"/>
  </r>
  <r>
    <x v="101"/>
    <s v="06/07/2025"/>
    <x v="9"/>
    <x v="9"/>
    <x v="1"/>
    <x v="2"/>
    <x v="2"/>
    <x v="3"/>
    <x v="100"/>
    <n v="6"/>
    <n v="4.3"/>
    <n v="6"/>
    <x v="4"/>
  </r>
  <r>
    <x v="102"/>
    <s v="03/12/2025"/>
    <x v="8"/>
    <x v="16"/>
    <x v="2"/>
    <x v="5"/>
    <x v="2"/>
    <x v="1"/>
    <x v="101"/>
    <n v="3"/>
    <n v="3.8"/>
    <n v="7"/>
    <x v="8"/>
  </r>
  <r>
    <x v="103"/>
    <s v="26/11/2025"/>
    <x v="0"/>
    <x v="8"/>
    <x v="1"/>
    <x v="2"/>
    <x v="3"/>
    <x v="0"/>
    <x v="102"/>
    <n v="6"/>
    <n v="4"/>
    <n v="6"/>
    <x v="11"/>
  </r>
  <r>
    <x v="104"/>
    <s v="06/09/2025"/>
    <x v="12"/>
    <x v="13"/>
    <x v="4"/>
    <x v="5"/>
    <x v="2"/>
    <x v="1"/>
    <x v="103"/>
    <n v="4"/>
    <n v="4.7"/>
    <n v="2"/>
    <x v="5"/>
  </r>
  <r>
    <x v="105"/>
    <s v="02/11/2025"/>
    <x v="16"/>
    <x v="9"/>
    <x v="1"/>
    <x v="2"/>
    <x v="0"/>
    <x v="3"/>
    <x v="104"/>
    <n v="7"/>
    <n v="4.5"/>
    <n v="1"/>
    <x v="11"/>
  </r>
  <r>
    <x v="106"/>
    <s v="18/08/2025"/>
    <x v="17"/>
    <x v="6"/>
    <x v="1"/>
    <x v="2"/>
    <x v="1"/>
    <x v="3"/>
    <x v="105"/>
    <n v="4"/>
    <n v="3.9"/>
    <n v="8"/>
    <x v="3"/>
  </r>
  <r>
    <x v="107"/>
    <s v="06/11/2025"/>
    <x v="3"/>
    <x v="7"/>
    <x v="4"/>
    <x v="0"/>
    <x v="0"/>
    <x v="1"/>
    <x v="106"/>
    <n v="3"/>
    <n v="4.9000000000000004"/>
    <n v="2"/>
    <x v="11"/>
  </r>
  <r>
    <x v="108"/>
    <s v="12/08/2025"/>
    <x v="13"/>
    <x v="18"/>
    <x v="3"/>
    <x v="3"/>
    <x v="2"/>
    <x v="1"/>
    <x v="107"/>
    <n v="2"/>
    <n v="3.3"/>
    <n v="6"/>
    <x v="3"/>
  </r>
  <r>
    <x v="109"/>
    <s v="13/06/2025"/>
    <x v="8"/>
    <x v="17"/>
    <x v="4"/>
    <x v="1"/>
    <x v="1"/>
    <x v="3"/>
    <x v="108"/>
    <n v="2"/>
    <n v="3.7"/>
    <n v="8"/>
    <x v="9"/>
  </r>
  <r>
    <x v="110"/>
    <s v="10/02/2025"/>
    <x v="3"/>
    <x v="1"/>
    <x v="1"/>
    <x v="4"/>
    <x v="3"/>
    <x v="2"/>
    <x v="109"/>
    <n v="1"/>
    <n v="4.0999999999999996"/>
    <n v="2"/>
    <x v="7"/>
  </r>
  <r>
    <x v="111"/>
    <s v="03/08/2025"/>
    <x v="8"/>
    <x v="10"/>
    <x v="0"/>
    <x v="2"/>
    <x v="1"/>
    <x v="2"/>
    <x v="110"/>
    <n v="8"/>
    <n v="3.2"/>
    <n v="4"/>
    <x v="3"/>
  </r>
  <r>
    <x v="112"/>
    <s v="04/05/2025"/>
    <x v="5"/>
    <x v="6"/>
    <x v="1"/>
    <x v="3"/>
    <x v="2"/>
    <x v="3"/>
    <x v="111"/>
    <n v="7"/>
    <n v="4.9000000000000004"/>
    <n v="1"/>
    <x v="0"/>
  </r>
  <r>
    <x v="113"/>
    <s v="09/01/2025"/>
    <x v="8"/>
    <x v="16"/>
    <x v="2"/>
    <x v="0"/>
    <x v="3"/>
    <x v="1"/>
    <x v="112"/>
    <n v="6"/>
    <n v="4.5999999999999996"/>
    <n v="6"/>
    <x v="10"/>
  </r>
  <r>
    <x v="114"/>
    <s v="23/12/2025"/>
    <x v="2"/>
    <x v="5"/>
    <x v="4"/>
    <x v="4"/>
    <x v="2"/>
    <x v="1"/>
    <x v="113"/>
    <n v="8"/>
    <n v="3.3"/>
    <n v="4"/>
    <x v="8"/>
  </r>
  <r>
    <x v="115"/>
    <s v="23/07/2025"/>
    <x v="18"/>
    <x v="19"/>
    <x v="2"/>
    <x v="2"/>
    <x v="2"/>
    <x v="1"/>
    <x v="114"/>
    <n v="8"/>
    <n v="4.8"/>
    <n v="1"/>
    <x v="4"/>
  </r>
  <r>
    <x v="116"/>
    <s v="14/08/2025"/>
    <x v="9"/>
    <x v="11"/>
    <x v="3"/>
    <x v="1"/>
    <x v="1"/>
    <x v="2"/>
    <x v="115"/>
    <n v="7"/>
    <n v="4.9000000000000004"/>
    <n v="5"/>
    <x v="3"/>
  </r>
  <r>
    <x v="117"/>
    <s v="07/10/2025"/>
    <x v="4"/>
    <x v="18"/>
    <x v="3"/>
    <x v="1"/>
    <x v="1"/>
    <x v="0"/>
    <x v="116"/>
    <n v="5"/>
    <n v="3.7"/>
    <n v="8"/>
    <x v="1"/>
  </r>
  <r>
    <x v="118"/>
    <s v="17/08/2025"/>
    <x v="9"/>
    <x v="4"/>
    <x v="3"/>
    <x v="1"/>
    <x v="1"/>
    <x v="1"/>
    <x v="117"/>
    <n v="1"/>
    <n v="4.4000000000000004"/>
    <n v="1"/>
    <x v="3"/>
  </r>
  <r>
    <x v="119"/>
    <s v="16/01/2025"/>
    <x v="15"/>
    <x v="9"/>
    <x v="1"/>
    <x v="3"/>
    <x v="2"/>
    <x v="0"/>
    <x v="118"/>
    <n v="3"/>
    <n v="3.6"/>
    <n v="6"/>
    <x v="10"/>
  </r>
  <r>
    <x v="120"/>
    <s v="10/07/2025"/>
    <x v="13"/>
    <x v="4"/>
    <x v="3"/>
    <x v="0"/>
    <x v="2"/>
    <x v="0"/>
    <x v="119"/>
    <n v="8"/>
    <n v="3.8"/>
    <n v="5"/>
    <x v="4"/>
  </r>
  <r>
    <x v="121"/>
    <s v="15/10/2025"/>
    <x v="19"/>
    <x v="11"/>
    <x v="3"/>
    <x v="0"/>
    <x v="0"/>
    <x v="2"/>
    <x v="120"/>
    <n v="2"/>
    <n v="3.7"/>
    <n v="8"/>
    <x v="1"/>
  </r>
  <r>
    <x v="122"/>
    <s v="16/08/2025"/>
    <x v="1"/>
    <x v="18"/>
    <x v="3"/>
    <x v="1"/>
    <x v="0"/>
    <x v="1"/>
    <x v="74"/>
    <n v="2"/>
    <n v="4.2"/>
    <n v="5"/>
    <x v="3"/>
  </r>
  <r>
    <x v="123"/>
    <s v="04/03/2025"/>
    <x v="17"/>
    <x v="9"/>
    <x v="1"/>
    <x v="5"/>
    <x v="0"/>
    <x v="2"/>
    <x v="121"/>
    <n v="4"/>
    <n v="4.2"/>
    <n v="6"/>
    <x v="6"/>
  </r>
  <r>
    <x v="124"/>
    <s v="23/07/2025"/>
    <x v="9"/>
    <x v="20"/>
    <x v="0"/>
    <x v="3"/>
    <x v="1"/>
    <x v="1"/>
    <x v="122"/>
    <n v="8"/>
    <n v="3.4"/>
    <n v="6"/>
    <x v="4"/>
  </r>
  <r>
    <x v="125"/>
    <s v="08/03/2025"/>
    <x v="18"/>
    <x v="7"/>
    <x v="4"/>
    <x v="1"/>
    <x v="0"/>
    <x v="1"/>
    <x v="123"/>
    <n v="7"/>
    <n v="3.7"/>
    <n v="3"/>
    <x v="6"/>
  </r>
  <r>
    <x v="126"/>
    <s v="10/02/2025"/>
    <x v="12"/>
    <x v="6"/>
    <x v="1"/>
    <x v="1"/>
    <x v="0"/>
    <x v="0"/>
    <x v="124"/>
    <n v="5"/>
    <n v="4.3"/>
    <n v="2"/>
    <x v="7"/>
  </r>
  <r>
    <x v="127"/>
    <s v="16/10/2025"/>
    <x v="6"/>
    <x v="13"/>
    <x v="4"/>
    <x v="3"/>
    <x v="2"/>
    <x v="3"/>
    <x v="125"/>
    <n v="1"/>
    <n v="3.7"/>
    <n v="4"/>
    <x v="1"/>
  </r>
  <r>
    <x v="128"/>
    <s v="25/11/2025"/>
    <x v="1"/>
    <x v="6"/>
    <x v="1"/>
    <x v="3"/>
    <x v="1"/>
    <x v="3"/>
    <x v="126"/>
    <n v="5"/>
    <n v="3.3"/>
    <n v="1"/>
    <x v="11"/>
  </r>
  <r>
    <x v="129"/>
    <s v="24/06/2025"/>
    <x v="18"/>
    <x v="18"/>
    <x v="3"/>
    <x v="4"/>
    <x v="1"/>
    <x v="2"/>
    <x v="127"/>
    <n v="3"/>
    <n v="4.5999999999999996"/>
    <n v="2"/>
    <x v="9"/>
  </r>
  <r>
    <x v="130"/>
    <s v="07/05/2025"/>
    <x v="18"/>
    <x v="12"/>
    <x v="2"/>
    <x v="5"/>
    <x v="3"/>
    <x v="0"/>
    <x v="128"/>
    <n v="3"/>
    <n v="4"/>
    <n v="3"/>
    <x v="0"/>
  </r>
  <r>
    <x v="131"/>
    <s v="21/09/2025"/>
    <x v="13"/>
    <x v="5"/>
    <x v="4"/>
    <x v="4"/>
    <x v="3"/>
    <x v="2"/>
    <x v="129"/>
    <n v="8"/>
    <n v="4.9000000000000004"/>
    <n v="8"/>
    <x v="5"/>
  </r>
  <r>
    <x v="132"/>
    <s v="11/09/2025"/>
    <x v="15"/>
    <x v="20"/>
    <x v="0"/>
    <x v="3"/>
    <x v="3"/>
    <x v="2"/>
    <x v="130"/>
    <n v="8"/>
    <n v="3.4"/>
    <n v="5"/>
    <x v="5"/>
  </r>
  <r>
    <x v="133"/>
    <s v="19/10/2025"/>
    <x v="4"/>
    <x v="3"/>
    <x v="3"/>
    <x v="1"/>
    <x v="2"/>
    <x v="0"/>
    <x v="131"/>
    <n v="4"/>
    <n v="4"/>
    <n v="5"/>
    <x v="1"/>
  </r>
  <r>
    <x v="134"/>
    <s v="11/07/2025"/>
    <x v="2"/>
    <x v="15"/>
    <x v="0"/>
    <x v="0"/>
    <x v="0"/>
    <x v="1"/>
    <x v="132"/>
    <n v="6"/>
    <n v="4.0999999999999996"/>
    <n v="1"/>
    <x v="4"/>
  </r>
  <r>
    <x v="135"/>
    <s v="18/03/2025"/>
    <x v="6"/>
    <x v="11"/>
    <x v="3"/>
    <x v="2"/>
    <x v="1"/>
    <x v="1"/>
    <x v="133"/>
    <n v="3"/>
    <n v="4.5"/>
    <n v="5"/>
    <x v="6"/>
  </r>
  <r>
    <x v="136"/>
    <s v="08/07/2025"/>
    <x v="4"/>
    <x v="3"/>
    <x v="3"/>
    <x v="3"/>
    <x v="3"/>
    <x v="0"/>
    <x v="134"/>
    <n v="6"/>
    <n v="4.5999999999999996"/>
    <n v="1"/>
    <x v="4"/>
  </r>
  <r>
    <x v="137"/>
    <s v="29/03/2025"/>
    <x v="18"/>
    <x v="15"/>
    <x v="0"/>
    <x v="3"/>
    <x v="0"/>
    <x v="3"/>
    <x v="135"/>
    <n v="7"/>
    <n v="3.5"/>
    <n v="8"/>
    <x v="6"/>
  </r>
  <r>
    <x v="138"/>
    <s v="14/09/2025"/>
    <x v="12"/>
    <x v="5"/>
    <x v="4"/>
    <x v="3"/>
    <x v="3"/>
    <x v="0"/>
    <x v="136"/>
    <n v="8"/>
    <n v="4.2"/>
    <n v="8"/>
    <x v="5"/>
  </r>
  <r>
    <x v="139"/>
    <s v="07/10/2025"/>
    <x v="10"/>
    <x v="4"/>
    <x v="3"/>
    <x v="2"/>
    <x v="0"/>
    <x v="1"/>
    <x v="137"/>
    <n v="6"/>
    <n v="4.9000000000000004"/>
    <n v="5"/>
    <x v="1"/>
  </r>
  <r>
    <x v="140"/>
    <s v="20/12/2025"/>
    <x v="5"/>
    <x v="2"/>
    <x v="2"/>
    <x v="2"/>
    <x v="0"/>
    <x v="1"/>
    <x v="138"/>
    <n v="8"/>
    <n v="3.7"/>
    <n v="7"/>
    <x v="8"/>
  </r>
  <r>
    <x v="141"/>
    <s v="10/02/2025"/>
    <x v="10"/>
    <x v="20"/>
    <x v="0"/>
    <x v="1"/>
    <x v="3"/>
    <x v="0"/>
    <x v="139"/>
    <n v="6"/>
    <n v="4.7"/>
    <n v="5"/>
    <x v="7"/>
  </r>
  <r>
    <x v="142"/>
    <s v="05/05/2025"/>
    <x v="18"/>
    <x v="10"/>
    <x v="0"/>
    <x v="1"/>
    <x v="1"/>
    <x v="2"/>
    <x v="140"/>
    <n v="1"/>
    <n v="3.3"/>
    <n v="7"/>
    <x v="0"/>
  </r>
  <r>
    <x v="143"/>
    <s v="09/10/2025"/>
    <x v="9"/>
    <x v="17"/>
    <x v="4"/>
    <x v="1"/>
    <x v="0"/>
    <x v="2"/>
    <x v="141"/>
    <n v="3"/>
    <n v="3.8"/>
    <n v="1"/>
    <x v="1"/>
  </r>
  <r>
    <x v="144"/>
    <s v="01/04/2025"/>
    <x v="18"/>
    <x v="5"/>
    <x v="4"/>
    <x v="2"/>
    <x v="1"/>
    <x v="3"/>
    <x v="142"/>
    <n v="1"/>
    <n v="3.2"/>
    <n v="2"/>
    <x v="2"/>
  </r>
  <r>
    <x v="145"/>
    <s v="20/05/2025"/>
    <x v="0"/>
    <x v="5"/>
    <x v="4"/>
    <x v="1"/>
    <x v="3"/>
    <x v="1"/>
    <x v="143"/>
    <n v="4"/>
    <n v="3.7"/>
    <n v="3"/>
    <x v="0"/>
  </r>
  <r>
    <x v="146"/>
    <s v="31/03/2025"/>
    <x v="8"/>
    <x v="9"/>
    <x v="1"/>
    <x v="3"/>
    <x v="3"/>
    <x v="0"/>
    <x v="144"/>
    <n v="7"/>
    <n v="4.4000000000000004"/>
    <n v="3"/>
    <x v="6"/>
  </r>
  <r>
    <x v="147"/>
    <s v="16/07/2025"/>
    <x v="11"/>
    <x v="20"/>
    <x v="0"/>
    <x v="1"/>
    <x v="3"/>
    <x v="0"/>
    <x v="145"/>
    <n v="4"/>
    <n v="4.5"/>
    <n v="1"/>
    <x v="4"/>
  </r>
  <r>
    <x v="148"/>
    <s v="27/08/2025"/>
    <x v="15"/>
    <x v="0"/>
    <x v="0"/>
    <x v="5"/>
    <x v="0"/>
    <x v="0"/>
    <x v="146"/>
    <n v="5"/>
    <n v="4.3"/>
    <n v="5"/>
    <x v="3"/>
  </r>
  <r>
    <x v="149"/>
    <s v="20/03/2025"/>
    <x v="13"/>
    <x v="5"/>
    <x v="4"/>
    <x v="1"/>
    <x v="2"/>
    <x v="3"/>
    <x v="147"/>
    <n v="8"/>
    <n v="4.5999999999999996"/>
    <n v="4"/>
    <x v="6"/>
  </r>
  <r>
    <x v="150"/>
    <s v="09/02/2025"/>
    <x v="18"/>
    <x v="6"/>
    <x v="1"/>
    <x v="5"/>
    <x v="1"/>
    <x v="2"/>
    <x v="148"/>
    <n v="2"/>
    <n v="4.2"/>
    <n v="3"/>
    <x v="7"/>
  </r>
  <r>
    <x v="151"/>
    <s v="16/02/2025"/>
    <x v="10"/>
    <x v="5"/>
    <x v="4"/>
    <x v="3"/>
    <x v="3"/>
    <x v="2"/>
    <x v="149"/>
    <n v="8"/>
    <n v="4"/>
    <n v="1"/>
    <x v="7"/>
  </r>
  <r>
    <x v="152"/>
    <s v="02/01/2025"/>
    <x v="9"/>
    <x v="4"/>
    <x v="3"/>
    <x v="3"/>
    <x v="2"/>
    <x v="1"/>
    <x v="150"/>
    <n v="4"/>
    <n v="4.5"/>
    <n v="1"/>
    <x v="10"/>
  </r>
  <r>
    <x v="153"/>
    <s v="11/03/2025"/>
    <x v="15"/>
    <x v="18"/>
    <x v="3"/>
    <x v="0"/>
    <x v="0"/>
    <x v="3"/>
    <x v="151"/>
    <n v="7"/>
    <n v="3.3"/>
    <n v="3"/>
    <x v="6"/>
  </r>
  <r>
    <x v="154"/>
    <s v="25/04/2025"/>
    <x v="13"/>
    <x v="9"/>
    <x v="1"/>
    <x v="3"/>
    <x v="3"/>
    <x v="0"/>
    <x v="152"/>
    <n v="1"/>
    <n v="4.2"/>
    <n v="4"/>
    <x v="2"/>
  </r>
  <r>
    <x v="155"/>
    <s v="27/02/2025"/>
    <x v="4"/>
    <x v="2"/>
    <x v="2"/>
    <x v="0"/>
    <x v="1"/>
    <x v="2"/>
    <x v="153"/>
    <n v="1"/>
    <n v="3.6"/>
    <n v="2"/>
    <x v="7"/>
  </r>
  <r>
    <x v="156"/>
    <s v="25/07/2025"/>
    <x v="13"/>
    <x v="17"/>
    <x v="4"/>
    <x v="1"/>
    <x v="3"/>
    <x v="1"/>
    <x v="154"/>
    <n v="8"/>
    <n v="4.0999999999999996"/>
    <n v="5"/>
    <x v="4"/>
  </r>
  <r>
    <x v="157"/>
    <s v="15/03/2025"/>
    <x v="16"/>
    <x v="13"/>
    <x v="4"/>
    <x v="5"/>
    <x v="1"/>
    <x v="2"/>
    <x v="155"/>
    <n v="4"/>
    <n v="4.9000000000000004"/>
    <n v="3"/>
    <x v="6"/>
  </r>
  <r>
    <x v="158"/>
    <s v="26/09/2025"/>
    <x v="13"/>
    <x v="12"/>
    <x v="2"/>
    <x v="4"/>
    <x v="3"/>
    <x v="0"/>
    <x v="156"/>
    <n v="6"/>
    <n v="3.9"/>
    <n v="8"/>
    <x v="5"/>
  </r>
  <r>
    <x v="159"/>
    <s v="15/10/2025"/>
    <x v="9"/>
    <x v="3"/>
    <x v="3"/>
    <x v="3"/>
    <x v="3"/>
    <x v="2"/>
    <x v="157"/>
    <n v="7"/>
    <n v="3.7"/>
    <n v="6"/>
    <x v="1"/>
  </r>
  <r>
    <x v="160"/>
    <s v="27/01/2025"/>
    <x v="14"/>
    <x v="9"/>
    <x v="1"/>
    <x v="4"/>
    <x v="3"/>
    <x v="1"/>
    <x v="158"/>
    <n v="5"/>
    <n v="4.5"/>
    <n v="4"/>
    <x v="10"/>
  </r>
  <r>
    <x v="161"/>
    <s v="08/04/2025"/>
    <x v="3"/>
    <x v="10"/>
    <x v="0"/>
    <x v="3"/>
    <x v="1"/>
    <x v="1"/>
    <x v="159"/>
    <n v="2"/>
    <n v="4.8"/>
    <n v="6"/>
    <x v="2"/>
  </r>
  <r>
    <x v="162"/>
    <s v="04/07/2025"/>
    <x v="2"/>
    <x v="16"/>
    <x v="2"/>
    <x v="5"/>
    <x v="0"/>
    <x v="0"/>
    <x v="160"/>
    <n v="8"/>
    <n v="3.9"/>
    <n v="7"/>
    <x v="4"/>
  </r>
  <r>
    <x v="163"/>
    <s v="11/10/2025"/>
    <x v="14"/>
    <x v="20"/>
    <x v="0"/>
    <x v="5"/>
    <x v="3"/>
    <x v="1"/>
    <x v="161"/>
    <n v="7"/>
    <n v="3.9"/>
    <n v="4"/>
    <x v="1"/>
  </r>
  <r>
    <x v="164"/>
    <s v="24/08/2025"/>
    <x v="12"/>
    <x v="11"/>
    <x v="3"/>
    <x v="0"/>
    <x v="2"/>
    <x v="2"/>
    <x v="162"/>
    <n v="3"/>
    <n v="4.0999999999999996"/>
    <n v="1"/>
    <x v="3"/>
  </r>
  <r>
    <x v="165"/>
    <s v="12/03/2025"/>
    <x v="4"/>
    <x v="15"/>
    <x v="0"/>
    <x v="1"/>
    <x v="1"/>
    <x v="3"/>
    <x v="163"/>
    <n v="4"/>
    <n v="4"/>
    <n v="1"/>
    <x v="6"/>
  </r>
  <r>
    <x v="166"/>
    <s v="30/09/2025"/>
    <x v="12"/>
    <x v="0"/>
    <x v="0"/>
    <x v="1"/>
    <x v="1"/>
    <x v="0"/>
    <x v="164"/>
    <n v="7"/>
    <n v="5"/>
    <n v="1"/>
    <x v="5"/>
  </r>
  <r>
    <x v="167"/>
    <s v="26/09/2025"/>
    <x v="5"/>
    <x v="0"/>
    <x v="0"/>
    <x v="0"/>
    <x v="3"/>
    <x v="3"/>
    <x v="165"/>
    <n v="3"/>
    <n v="4.7"/>
    <n v="5"/>
    <x v="5"/>
  </r>
  <r>
    <x v="168"/>
    <s v="23/12/2025"/>
    <x v="2"/>
    <x v="18"/>
    <x v="3"/>
    <x v="1"/>
    <x v="2"/>
    <x v="0"/>
    <x v="166"/>
    <n v="4"/>
    <n v="3.9"/>
    <n v="8"/>
    <x v="8"/>
  </r>
  <r>
    <x v="169"/>
    <s v="11/08/2025"/>
    <x v="11"/>
    <x v="15"/>
    <x v="0"/>
    <x v="0"/>
    <x v="2"/>
    <x v="1"/>
    <x v="167"/>
    <n v="6"/>
    <n v="3.6"/>
    <n v="8"/>
    <x v="3"/>
  </r>
  <r>
    <x v="170"/>
    <s v="02/04/2025"/>
    <x v="1"/>
    <x v="1"/>
    <x v="1"/>
    <x v="5"/>
    <x v="0"/>
    <x v="3"/>
    <x v="168"/>
    <n v="6"/>
    <n v="4.9000000000000004"/>
    <n v="5"/>
    <x v="2"/>
  </r>
  <r>
    <x v="171"/>
    <s v="16/07/2025"/>
    <x v="9"/>
    <x v="6"/>
    <x v="1"/>
    <x v="2"/>
    <x v="1"/>
    <x v="1"/>
    <x v="169"/>
    <n v="3"/>
    <n v="3.4"/>
    <n v="4"/>
    <x v="4"/>
  </r>
  <r>
    <x v="172"/>
    <s v="19/08/2025"/>
    <x v="9"/>
    <x v="20"/>
    <x v="0"/>
    <x v="5"/>
    <x v="3"/>
    <x v="0"/>
    <x v="170"/>
    <n v="8"/>
    <n v="3.5"/>
    <n v="7"/>
    <x v="3"/>
  </r>
  <r>
    <x v="173"/>
    <s v="18/05/2025"/>
    <x v="3"/>
    <x v="0"/>
    <x v="0"/>
    <x v="3"/>
    <x v="3"/>
    <x v="1"/>
    <x v="171"/>
    <n v="3"/>
    <n v="3.4"/>
    <n v="1"/>
    <x v="0"/>
  </r>
  <r>
    <x v="174"/>
    <s v="14/02/2025"/>
    <x v="9"/>
    <x v="10"/>
    <x v="0"/>
    <x v="2"/>
    <x v="2"/>
    <x v="1"/>
    <x v="172"/>
    <n v="3"/>
    <n v="3.9"/>
    <n v="1"/>
    <x v="7"/>
  </r>
  <r>
    <x v="175"/>
    <s v="30/05/2025"/>
    <x v="1"/>
    <x v="3"/>
    <x v="3"/>
    <x v="4"/>
    <x v="3"/>
    <x v="1"/>
    <x v="173"/>
    <n v="7"/>
    <n v="4.0999999999999996"/>
    <n v="7"/>
    <x v="0"/>
  </r>
  <r>
    <x v="176"/>
    <s v="16/03/2025"/>
    <x v="15"/>
    <x v="12"/>
    <x v="2"/>
    <x v="2"/>
    <x v="0"/>
    <x v="3"/>
    <x v="174"/>
    <n v="2"/>
    <n v="4.0999999999999996"/>
    <n v="2"/>
    <x v="6"/>
  </r>
  <r>
    <x v="177"/>
    <s v="23/08/2025"/>
    <x v="18"/>
    <x v="9"/>
    <x v="1"/>
    <x v="3"/>
    <x v="3"/>
    <x v="3"/>
    <x v="175"/>
    <n v="2"/>
    <n v="4.7"/>
    <n v="7"/>
    <x v="3"/>
  </r>
  <r>
    <x v="178"/>
    <s v="03/06/2025"/>
    <x v="3"/>
    <x v="9"/>
    <x v="1"/>
    <x v="1"/>
    <x v="1"/>
    <x v="0"/>
    <x v="176"/>
    <n v="6"/>
    <n v="4.9000000000000004"/>
    <n v="6"/>
    <x v="9"/>
  </r>
  <r>
    <x v="179"/>
    <s v="24/05/2025"/>
    <x v="10"/>
    <x v="12"/>
    <x v="2"/>
    <x v="0"/>
    <x v="1"/>
    <x v="0"/>
    <x v="177"/>
    <n v="7"/>
    <n v="5"/>
    <n v="3"/>
    <x v="0"/>
  </r>
  <r>
    <x v="180"/>
    <s v="21/12/2025"/>
    <x v="16"/>
    <x v="4"/>
    <x v="3"/>
    <x v="3"/>
    <x v="2"/>
    <x v="3"/>
    <x v="178"/>
    <n v="2"/>
    <n v="3.6"/>
    <n v="3"/>
    <x v="8"/>
  </r>
  <r>
    <x v="181"/>
    <s v="26/10/2025"/>
    <x v="10"/>
    <x v="8"/>
    <x v="1"/>
    <x v="5"/>
    <x v="2"/>
    <x v="2"/>
    <x v="179"/>
    <n v="7"/>
    <n v="4.5999999999999996"/>
    <n v="6"/>
    <x v="1"/>
  </r>
  <r>
    <x v="182"/>
    <s v="27/03/2025"/>
    <x v="13"/>
    <x v="13"/>
    <x v="4"/>
    <x v="5"/>
    <x v="0"/>
    <x v="3"/>
    <x v="180"/>
    <n v="1"/>
    <n v="3.2"/>
    <n v="5"/>
    <x v="6"/>
  </r>
  <r>
    <x v="183"/>
    <s v="26/08/2025"/>
    <x v="7"/>
    <x v="12"/>
    <x v="2"/>
    <x v="1"/>
    <x v="0"/>
    <x v="1"/>
    <x v="181"/>
    <n v="3"/>
    <n v="3.9"/>
    <n v="2"/>
    <x v="3"/>
  </r>
  <r>
    <x v="184"/>
    <s v="22/08/2025"/>
    <x v="18"/>
    <x v="16"/>
    <x v="2"/>
    <x v="0"/>
    <x v="3"/>
    <x v="2"/>
    <x v="182"/>
    <n v="4"/>
    <n v="4"/>
    <n v="8"/>
    <x v="3"/>
  </r>
  <r>
    <x v="185"/>
    <s v="25/06/2025"/>
    <x v="10"/>
    <x v="0"/>
    <x v="0"/>
    <x v="3"/>
    <x v="1"/>
    <x v="0"/>
    <x v="183"/>
    <n v="2"/>
    <n v="4.2"/>
    <n v="6"/>
    <x v="9"/>
  </r>
  <r>
    <x v="186"/>
    <s v="06/04/2025"/>
    <x v="0"/>
    <x v="18"/>
    <x v="3"/>
    <x v="1"/>
    <x v="0"/>
    <x v="0"/>
    <x v="184"/>
    <n v="7"/>
    <n v="4.3"/>
    <n v="7"/>
    <x v="2"/>
  </r>
  <r>
    <x v="187"/>
    <s v="23/10/2025"/>
    <x v="14"/>
    <x v="14"/>
    <x v="2"/>
    <x v="5"/>
    <x v="3"/>
    <x v="3"/>
    <x v="185"/>
    <n v="2"/>
    <n v="4"/>
    <n v="5"/>
    <x v="1"/>
  </r>
  <r>
    <x v="188"/>
    <s v="28/10/2025"/>
    <x v="4"/>
    <x v="8"/>
    <x v="1"/>
    <x v="5"/>
    <x v="2"/>
    <x v="0"/>
    <x v="186"/>
    <n v="2"/>
    <n v="4.7"/>
    <n v="5"/>
    <x v="1"/>
  </r>
  <r>
    <x v="189"/>
    <s v="03/05/2025"/>
    <x v="6"/>
    <x v="14"/>
    <x v="2"/>
    <x v="3"/>
    <x v="1"/>
    <x v="0"/>
    <x v="187"/>
    <n v="5"/>
    <n v="3.9"/>
    <n v="3"/>
    <x v="0"/>
  </r>
  <r>
    <x v="190"/>
    <s v="12/10/2025"/>
    <x v="15"/>
    <x v="18"/>
    <x v="3"/>
    <x v="0"/>
    <x v="1"/>
    <x v="0"/>
    <x v="188"/>
    <n v="3"/>
    <n v="4.7"/>
    <n v="1"/>
    <x v="1"/>
  </r>
  <r>
    <x v="191"/>
    <s v="15/10/2025"/>
    <x v="13"/>
    <x v="5"/>
    <x v="4"/>
    <x v="2"/>
    <x v="2"/>
    <x v="1"/>
    <x v="189"/>
    <n v="8"/>
    <n v="3.5"/>
    <n v="1"/>
    <x v="1"/>
  </r>
  <r>
    <x v="192"/>
    <s v="28/03/2025"/>
    <x v="10"/>
    <x v="13"/>
    <x v="4"/>
    <x v="2"/>
    <x v="2"/>
    <x v="3"/>
    <x v="190"/>
    <n v="8"/>
    <n v="4.2"/>
    <n v="5"/>
    <x v="6"/>
  </r>
  <r>
    <x v="193"/>
    <s v="06/08/2025"/>
    <x v="17"/>
    <x v="9"/>
    <x v="1"/>
    <x v="0"/>
    <x v="0"/>
    <x v="0"/>
    <x v="191"/>
    <n v="2"/>
    <n v="3.7"/>
    <n v="2"/>
    <x v="3"/>
  </r>
  <r>
    <x v="194"/>
    <s v="30/12/2025"/>
    <x v="4"/>
    <x v="6"/>
    <x v="1"/>
    <x v="5"/>
    <x v="0"/>
    <x v="1"/>
    <x v="192"/>
    <n v="7"/>
    <n v="4.2"/>
    <n v="5"/>
    <x v="8"/>
  </r>
  <r>
    <x v="195"/>
    <s v="21/10/2025"/>
    <x v="8"/>
    <x v="16"/>
    <x v="2"/>
    <x v="4"/>
    <x v="0"/>
    <x v="1"/>
    <x v="193"/>
    <n v="5"/>
    <n v="5"/>
    <n v="3"/>
    <x v="1"/>
  </r>
  <r>
    <x v="196"/>
    <s v="08/09/2025"/>
    <x v="5"/>
    <x v="5"/>
    <x v="4"/>
    <x v="5"/>
    <x v="3"/>
    <x v="1"/>
    <x v="194"/>
    <n v="3"/>
    <n v="4"/>
    <n v="2"/>
    <x v="5"/>
  </r>
  <r>
    <x v="197"/>
    <s v="17/06/2025"/>
    <x v="10"/>
    <x v="11"/>
    <x v="3"/>
    <x v="3"/>
    <x v="0"/>
    <x v="3"/>
    <x v="195"/>
    <n v="1"/>
    <n v="4.5"/>
    <n v="2"/>
    <x v="9"/>
  </r>
  <r>
    <x v="198"/>
    <s v="18/05/2025"/>
    <x v="18"/>
    <x v="5"/>
    <x v="4"/>
    <x v="1"/>
    <x v="2"/>
    <x v="2"/>
    <x v="196"/>
    <n v="6"/>
    <n v="4.2"/>
    <n v="8"/>
    <x v="0"/>
  </r>
  <r>
    <x v="199"/>
    <s v="09/01/2025"/>
    <x v="3"/>
    <x v="15"/>
    <x v="0"/>
    <x v="4"/>
    <x v="3"/>
    <x v="2"/>
    <x v="197"/>
    <n v="2"/>
    <n v="3.6"/>
    <n v="3"/>
    <x v="10"/>
  </r>
  <r>
    <x v="200"/>
    <s v="12/02/2025"/>
    <x v="16"/>
    <x v="16"/>
    <x v="2"/>
    <x v="1"/>
    <x v="2"/>
    <x v="2"/>
    <x v="198"/>
    <n v="6"/>
    <n v="3.7"/>
    <n v="4"/>
    <x v="7"/>
  </r>
  <r>
    <x v="201"/>
    <s v="02/09/2025"/>
    <x v="7"/>
    <x v="10"/>
    <x v="0"/>
    <x v="3"/>
    <x v="0"/>
    <x v="3"/>
    <x v="199"/>
    <n v="2"/>
    <n v="3.2"/>
    <n v="6"/>
    <x v="5"/>
  </r>
  <r>
    <x v="202"/>
    <s v="16/07/2025"/>
    <x v="5"/>
    <x v="10"/>
    <x v="0"/>
    <x v="4"/>
    <x v="0"/>
    <x v="2"/>
    <x v="200"/>
    <n v="2"/>
    <n v="4.8"/>
    <n v="3"/>
    <x v="4"/>
  </r>
  <r>
    <x v="203"/>
    <s v="09/11/2025"/>
    <x v="19"/>
    <x v="1"/>
    <x v="1"/>
    <x v="0"/>
    <x v="2"/>
    <x v="0"/>
    <x v="201"/>
    <n v="3"/>
    <n v="4.9000000000000004"/>
    <n v="8"/>
    <x v="11"/>
  </r>
  <r>
    <x v="204"/>
    <s v="29/06/2025"/>
    <x v="0"/>
    <x v="15"/>
    <x v="0"/>
    <x v="1"/>
    <x v="3"/>
    <x v="0"/>
    <x v="202"/>
    <n v="7"/>
    <n v="3.4"/>
    <n v="5"/>
    <x v="9"/>
  </r>
  <r>
    <x v="205"/>
    <s v="20/07/2025"/>
    <x v="4"/>
    <x v="9"/>
    <x v="1"/>
    <x v="0"/>
    <x v="2"/>
    <x v="1"/>
    <x v="203"/>
    <n v="5"/>
    <n v="3.4"/>
    <n v="8"/>
    <x v="4"/>
  </r>
  <r>
    <x v="206"/>
    <s v="18/07/2025"/>
    <x v="0"/>
    <x v="2"/>
    <x v="2"/>
    <x v="2"/>
    <x v="0"/>
    <x v="2"/>
    <x v="204"/>
    <n v="7"/>
    <n v="3.2"/>
    <n v="2"/>
    <x v="4"/>
  </r>
  <r>
    <x v="207"/>
    <s v="17/09/2025"/>
    <x v="11"/>
    <x v="15"/>
    <x v="0"/>
    <x v="0"/>
    <x v="3"/>
    <x v="2"/>
    <x v="205"/>
    <n v="5"/>
    <n v="3.3"/>
    <n v="3"/>
    <x v="5"/>
  </r>
  <r>
    <x v="208"/>
    <s v="21/03/2025"/>
    <x v="16"/>
    <x v="9"/>
    <x v="1"/>
    <x v="0"/>
    <x v="1"/>
    <x v="2"/>
    <x v="206"/>
    <n v="6"/>
    <n v="3.3"/>
    <n v="2"/>
    <x v="6"/>
  </r>
  <r>
    <x v="209"/>
    <s v="03/03/2025"/>
    <x v="1"/>
    <x v="2"/>
    <x v="2"/>
    <x v="2"/>
    <x v="0"/>
    <x v="1"/>
    <x v="207"/>
    <n v="1"/>
    <n v="4.9000000000000004"/>
    <n v="5"/>
    <x v="6"/>
  </r>
  <r>
    <x v="210"/>
    <s v="21/06/2025"/>
    <x v="17"/>
    <x v="0"/>
    <x v="0"/>
    <x v="5"/>
    <x v="3"/>
    <x v="2"/>
    <x v="208"/>
    <n v="7"/>
    <n v="4.3"/>
    <n v="8"/>
    <x v="9"/>
  </r>
  <r>
    <x v="211"/>
    <s v="08/07/2025"/>
    <x v="2"/>
    <x v="18"/>
    <x v="3"/>
    <x v="0"/>
    <x v="0"/>
    <x v="2"/>
    <x v="209"/>
    <n v="3"/>
    <n v="4.5"/>
    <n v="1"/>
    <x v="4"/>
  </r>
  <r>
    <x v="212"/>
    <s v="16/07/2025"/>
    <x v="18"/>
    <x v="4"/>
    <x v="3"/>
    <x v="2"/>
    <x v="2"/>
    <x v="1"/>
    <x v="210"/>
    <n v="3"/>
    <n v="3.8"/>
    <n v="7"/>
    <x v="4"/>
  </r>
  <r>
    <x v="213"/>
    <s v="02/04/2025"/>
    <x v="18"/>
    <x v="0"/>
    <x v="0"/>
    <x v="0"/>
    <x v="1"/>
    <x v="2"/>
    <x v="211"/>
    <n v="4"/>
    <n v="4.8"/>
    <n v="5"/>
    <x v="2"/>
  </r>
  <r>
    <x v="214"/>
    <s v="30/05/2025"/>
    <x v="10"/>
    <x v="2"/>
    <x v="2"/>
    <x v="4"/>
    <x v="0"/>
    <x v="2"/>
    <x v="212"/>
    <n v="5"/>
    <n v="4.9000000000000004"/>
    <n v="4"/>
    <x v="0"/>
  </r>
  <r>
    <x v="215"/>
    <s v="30/04/2025"/>
    <x v="7"/>
    <x v="3"/>
    <x v="3"/>
    <x v="4"/>
    <x v="0"/>
    <x v="3"/>
    <x v="213"/>
    <n v="6"/>
    <n v="3.9"/>
    <n v="5"/>
    <x v="2"/>
  </r>
  <r>
    <x v="216"/>
    <s v="14/03/2025"/>
    <x v="17"/>
    <x v="3"/>
    <x v="3"/>
    <x v="1"/>
    <x v="2"/>
    <x v="2"/>
    <x v="214"/>
    <n v="5"/>
    <n v="4.5"/>
    <n v="6"/>
    <x v="6"/>
  </r>
  <r>
    <x v="217"/>
    <s v="23/11/2025"/>
    <x v="5"/>
    <x v="9"/>
    <x v="1"/>
    <x v="1"/>
    <x v="3"/>
    <x v="1"/>
    <x v="215"/>
    <n v="7"/>
    <n v="3.7"/>
    <n v="6"/>
    <x v="11"/>
  </r>
  <r>
    <x v="218"/>
    <s v="30/04/2025"/>
    <x v="17"/>
    <x v="4"/>
    <x v="3"/>
    <x v="2"/>
    <x v="1"/>
    <x v="2"/>
    <x v="216"/>
    <n v="2"/>
    <n v="3.4"/>
    <n v="8"/>
    <x v="2"/>
  </r>
  <r>
    <x v="219"/>
    <s v="17/04/2025"/>
    <x v="4"/>
    <x v="6"/>
    <x v="1"/>
    <x v="0"/>
    <x v="0"/>
    <x v="1"/>
    <x v="217"/>
    <n v="8"/>
    <n v="3.5"/>
    <n v="5"/>
    <x v="2"/>
  </r>
  <r>
    <x v="220"/>
    <s v="31/12/2025"/>
    <x v="0"/>
    <x v="17"/>
    <x v="4"/>
    <x v="3"/>
    <x v="1"/>
    <x v="0"/>
    <x v="218"/>
    <n v="4"/>
    <n v="3.7"/>
    <n v="3"/>
    <x v="8"/>
  </r>
  <r>
    <x v="221"/>
    <s v="22/02/2025"/>
    <x v="15"/>
    <x v="15"/>
    <x v="0"/>
    <x v="1"/>
    <x v="2"/>
    <x v="1"/>
    <x v="219"/>
    <n v="3"/>
    <n v="3.6"/>
    <n v="7"/>
    <x v="7"/>
  </r>
  <r>
    <x v="222"/>
    <s v="03/02/2025"/>
    <x v="2"/>
    <x v="0"/>
    <x v="0"/>
    <x v="4"/>
    <x v="1"/>
    <x v="3"/>
    <x v="220"/>
    <n v="4"/>
    <n v="3.4"/>
    <n v="8"/>
    <x v="7"/>
  </r>
  <r>
    <x v="223"/>
    <s v="15/07/2025"/>
    <x v="2"/>
    <x v="3"/>
    <x v="3"/>
    <x v="5"/>
    <x v="0"/>
    <x v="1"/>
    <x v="221"/>
    <n v="7"/>
    <n v="3.7"/>
    <n v="3"/>
    <x v="4"/>
  </r>
  <r>
    <x v="224"/>
    <s v="09/10/2025"/>
    <x v="10"/>
    <x v="11"/>
    <x v="3"/>
    <x v="0"/>
    <x v="1"/>
    <x v="1"/>
    <x v="222"/>
    <n v="8"/>
    <n v="4"/>
    <n v="4"/>
    <x v="1"/>
  </r>
  <r>
    <x v="225"/>
    <s v="26/06/2025"/>
    <x v="11"/>
    <x v="11"/>
    <x v="3"/>
    <x v="0"/>
    <x v="1"/>
    <x v="1"/>
    <x v="223"/>
    <n v="6"/>
    <n v="4.3"/>
    <n v="1"/>
    <x v="9"/>
  </r>
  <r>
    <x v="226"/>
    <s v="23/03/2025"/>
    <x v="6"/>
    <x v="9"/>
    <x v="1"/>
    <x v="3"/>
    <x v="3"/>
    <x v="0"/>
    <x v="224"/>
    <n v="2"/>
    <n v="4.5999999999999996"/>
    <n v="4"/>
    <x v="6"/>
  </r>
  <r>
    <x v="227"/>
    <s v="31/10/2025"/>
    <x v="6"/>
    <x v="7"/>
    <x v="4"/>
    <x v="4"/>
    <x v="1"/>
    <x v="1"/>
    <x v="225"/>
    <n v="6"/>
    <n v="4.9000000000000004"/>
    <n v="3"/>
    <x v="1"/>
  </r>
  <r>
    <x v="228"/>
    <s v="20/01/2025"/>
    <x v="18"/>
    <x v="5"/>
    <x v="4"/>
    <x v="5"/>
    <x v="0"/>
    <x v="0"/>
    <x v="226"/>
    <n v="2"/>
    <n v="4.0999999999999996"/>
    <n v="1"/>
    <x v="10"/>
  </r>
  <r>
    <x v="229"/>
    <s v="15/06/2025"/>
    <x v="9"/>
    <x v="2"/>
    <x v="2"/>
    <x v="2"/>
    <x v="1"/>
    <x v="2"/>
    <x v="227"/>
    <n v="1"/>
    <n v="4.7"/>
    <n v="6"/>
    <x v="9"/>
  </r>
  <r>
    <x v="230"/>
    <s v="15/06/2025"/>
    <x v="13"/>
    <x v="16"/>
    <x v="2"/>
    <x v="1"/>
    <x v="0"/>
    <x v="3"/>
    <x v="228"/>
    <n v="3"/>
    <n v="4.5"/>
    <n v="6"/>
    <x v="9"/>
  </r>
  <r>
    <x v="231"/>
    <s v="07/03/2025"/>
    <x v="4"/>
    <x v="16"/>
    <x v="2"/>
    <x v="4"/>
    <x v="2"/>
    <x v="3"/>
    <x v="229"/>
    <n v="3"/>
    <n v="3.3"/>
    <n v="6"/>
    <x v="6"/>
  </r>
  <r>
    <x v="232"/>
    <s v="09/02/2025"/>
    <x v="17"/>
    <x v="13"/>
    <x v="4"/>
    <x v="0"/>
    <x v="3"/>
    <x v="0"/>
    <x v="230"/>
    <n v="4"/>
    <n v="4.7"/>
    <n v="6"/>
    <x v="7"/>
  </r>
  <r>
    <x v="233"/>
    <s v="29/06/2025"/>
    <x v="16"/>
    <x v="17"/>
    <x v="4"/>
    <x v="3"/>
    <x v="1"/>
    <x v="1"/>
    <x v="231"/>
    <n v="5"/>
    <n v="4.5"/>
    <n v="3"/>
    <x v="9"/>
  </r>
  <r>
    <x v="234"/>
    <s v="21/02/2025"/>
    <x v="3"/>
    <x v="8"/>
    <x v="1"/>
    <x v="0"/>
    <x v="3"/>
    <x v="1"/>
    <x v="232"/>
    <n v="8"/>
    <n v="4.5999999999999996"/>
    <n v="1"/>
    <x v="7"/>
  </r>
  <r>
    <x v="235"/>
    <s v="25/06/2025"/>
    <x v="0"/>
    <x v="0"/>
    <x v="0"/>
    <x v="3"/>
    <x v="0"/>
    <x v="3"/>
    <x v="233"/>
    <n v="3"/>
    <n v="3.8"/>
    <n v="8"/>
    <x v="9"/>
  </r>
  <r>
    <x v="236"/>
    <s v="21/02/2025"/>
    <x v="3"/>
    <x v="17"/>
    <x v="4"/>
    <x v="4"/>
    <x v="2"/>
    <x v="2"/>
    <x v="234"/>
    <n v="6"/>
    <n v="3.7"/>
    <n v="5"/>
    <x v="7"/>
  </r>
  <r>
    <x v="237"/>
    <s v="20/03/2025"/>
    <x v="19"/>
    <x v="11"/>
    <x v="3"/>
    <x v="0"/>
    <x v="2"/>
    <x v="0"/>
    <x v="235"/>
    <n v="1"/>
    <n v="4.7"/>
    <n v="8"/>
    <x v="6"/>
  </r>
  <r>
    <x v="238"/>
    <s v="11/02/2025"/>
    <x v="9"/>
    <x v="13"/>
    <x v="4"/>
    <x v="1"/>
    <x v="1"/>
    <x v="0"/>
    <x v="129"/>
    <n v="8"/>
    <n v="4.8"/>
    <n v="5"/>
    <x v="7"/>
  </r>
  <r>
    <x v="239"/>
    <s v="09/07/2025"/>
    <x v="6"/>
    <x v="12"/>
    <x v="2"/>
    <x v="0"/>
    <x v="0"/>
    <x v="2"/>
    <x v="236"/>
    <n v="3"/>
    <n v="3.7"/>
    <n v="5"/>
    <x v="4"/>
  </r>
  <r>
    <x v="240"/>
    <s v="05/10/2025"/>
    <x v="10"/>
    <x v="20"/>
    <x v="0"/>
    <x v="1"/>
    <x v="1"/>
    <x v="0"/>
    <x v="237"/>
    <n v="7"/>
    <n v="4.7"/>
    <n v="7"/>
    <x v="1"/>
  </r>
  <r>
    <x v="241"/>
    <s v="10/02/2025"/>
    <x v="7"/>
    <x v="4"/>
    <x v="3"/>
    <x v="3"/>
    <x v="0"/>
    <x v="0"/>
    <x v="238"/>
    <n v="7"/>
    <n v="4.5999999999999996"/>
    <n v="3"/>
    <x v="7"/>
  </r>
  <r>
    <x v="242"/>
    <s v="06/03/2025"/>
    <x v="18"/>
    <x v="7"/>
    <x v="4"/>
    <x v="1"/>
    <x v="2"/>
    <x v="2"/>
    <x v="239"/>
    <n v="1"/>
    <n v="3.5"/>
    <n v="5"/>
    <x v="6"/>
  </r>
  <r>
    <x v="243"/>
    <s v="10/10/2025"/>
    <x v="7"/>
    <x v="11"/>
    <x v="3"/>
    <x v="3"/>
    <x v="0"/>
    <x v="0"/>
    <x v="240"/>
    <n v="6"/>
    <n v="4.3"/>
    <n v="7"/>
    <x v="1"/>
  </r>
  <r>
    <x v="244"/>
    <s v="24/02/2025"/>
    <x v="6"/>
    <x v="1"/>
    <x v="1"/>
    <x v="5"/>
    <x v="1"/>
    <x v="2"/>
    <x v="241"/>
    <n v="2"/>
    <n v="3.9"/>
    <n v="8"/>
    <x v="7"/>
  </r>
  <r>
    <x v="245"/>
    <s v="26/07/2025"/>
    <x v="14"/>
    <x v="13"/>
    <x v="4"/>
    <x v="2"/>
    <x v="3"/>
    <x v="2"/>
    <x v="242"/>
    <n v="3"/>
    <n v="4.4000000000000004"/>
    <n v="1"/>
    <x v="4"/>
  </r>
  <r>
    <x v="246"/>
    <s v="09/06/2025"/>
    <x v="18"/>
    <x v="16"/>
    <x v="2"/>
    <x v="2"/>
    <x v="1"/>
    <x v="2"/>
    <x v="243"/>
    <n v="5"/>
    <n v="5"/>
    <n v="8"/>
    <x v="9"/>
  </r>
  <r>
    <x v="247"/>
    <s v="19/04/2025"/>
    <x v="3"/>
    <x v="5"/>
    <x v="4"/>
    <x v="1"/>
    <x v="1"/>
    <x v="0"/>
    <x v="244"/>
    <n v="7"/>
    <n v="4.5999999999999996"/>
    <n v="2"/>
    <x v="2"/>
  </r>
  <r>
    <x v="248"/>
    <s v="30/03/2025"/>
    <x v="19"/>
    <x v="1"/>
    <x v="1"/>
    <x v="2"/>
    <x v="3"/>
    <x v="3"/>
    <x v="245"/>
    <n v="4"/>
    <n v="3.3"/>
    <n v="6"/>
    <x v="6"/>
  </r>
  <r>
    <x v="249"/>
    <s v="22/11/2025"/>
    <x v="14"/>
    <x v="8"/>
    <x v="1"/>
    <x v="5"/>
    <x v="3"/>
    <x v="1"/>
    <x v="246"/>
    <n v="2"/>
    <n v="4.3"/>
    <n v="3"/>
    <x v="11"/>
  </r>
  <r>
    <x v="250"/>
    <s v="19/12/2025"/>
    <x v="13"/>
    <x v="13"/>
    <x v="4"/>
    <x v="1"/>
    <x v="0"/>
    <x v="0"/>
    <x v="247"/>
    <n v="2"/>
    <n v="4.7"/>
    <n v="4"/>
    <x v="8"/>
  </r>
  <r>
    <x v="251"/>
    <s v="20/09/2025"/>
    <x v="13"/>
    <x v="12"/>
    <x v="2"/>
    <x v="2"/>
    <x v="3"/>
    <x v="1"/>
    <x v="248"/>
    <n v="1"/>
    <n v="3.5"/>
    <n v="1"/>
    <x v="5"/>
  </r>
  <r>
    <x v="252"/>
    <s v="28/06/2025"/>
    <x v="6"/>
    <x v="11"/>
    <x v="3"/>
    <x v="0"/>
    <x v="2"/>
    <x v="1"/>
    <x v="249"/>
    <n v="8"/>
    <n v="4.0999999999999996"/>
    <n v="7"/>
    <x v="9"/>
  </r>
  <r>
    <x v="253"/>
    <s v="02/06/2025"/>
    <x v="11"/>
    <x v="6"/>
    <x v="1"/>
    <x v="1"/>
    <x v="3"/>
    <x v="0"/>
    <x v="250"/>
    <n v="2"/>
    <n v="3.8"/>
    <n v="5"/>
    <x v="9"/>
  </r>
  <r>
    <x v="254"/>
    <s v="30/01/2025"/>
    <x v="11"/>
    <x v="7"/>
    <x v="4"/>
    <x v="3"/>
    <x v="1"/>
    <x v="3"/>
    <x v="251"/>
    <n v="7"/>
    <n v="4.0999999999999996"/>
    <n v="5"/>
    <x v="10"/>
  </r>
  <r>
    <x v="255"/>
    <s v="25/06/2025"/>
    <x v="10"/>
    <x v="10"/>
    <x v="0"/>
    <x v="4"/>
    <x v="3"/>
    <x v="2"/>
    <x v="252"/>
    <n v="4"/>
    <n v="3.7"/>
    <n v="3"/>
    <x v="9"/>
  </r>
  <r>
    <x v="256"/>
    <s v="13/05/2025"/>
    <x v="16"/>
    <x v="18"/>
    <x v="3"/>
    <x v="2"/>
    <x v="3"/>
    <x v="1"/>
    <x v="253"/>
    <n v="3"/>
    <n v="3.6"/>
    <n v="5"/>
    <x v="0"/>
  </r>
  <r>
    <x v="257"/>
    <s v="26/08/2025"/>
    <x v="12"/>
    <x v="6"/>
    <x v="1"/>
    <x v="0"/>
    <x v="1"/>
    <x v="1"/>
    <x v="254"/>
    <n v="2"/>
    <n v="3.3"/>
    <n v="4"/>
    <x v="3"/>
  </r>
  <r>
    <x v="258"/>
    <s v="19/03/2025"/>
    <x v="9"/>
    <x v="3"/>
    <x v="3"/>
    <x v="3"/>
    <x v="3"/>
    <x v="0"/>
    <x v="255"/>
    <n v="3"/>
    <n v="3.5"/>
    <n v="3"/>
    <x v="6"/>
  </r>
  <r>
    <x v="259"/>
    <s v="03/01/2025"/>
    <x v="8"/>
    <x v="14"/>
    <x v="2"/>
    <x v="5"/>
    <x v="1"/>
    <x v="3"/>
    <x v="256"/>
    <n v="8"/>
    <n v="4.0999999999999996"/>
    <n v="2"/>
    <x v="10"/>
  </r>
  <r>
    <x v="260"/>
    <s v="02/09/2025"/>
    <x v="12"/>
    <x v="11"/>
    <x v="3"/>
    <x v="4"/>
    <x v="2"/>
    <x v="2"/>
    <x v="257"/>
    <n v="7"/>
    <n v="4.9000000000000004"/>
    <n v="6"/>
    <x v="5"/>
  </r>
  <r>
    <x v="261"/>
    <s v="22/12/2025"/>
    <x v="9"/>
    <x v="7"/>
    <x v="4"/>
    <x v="0"/>
    <x v="3"/>
    <x v="1"/>
    <x v="258"/>
    <n v="6"/>
    <n v="4.3"/>
    <n v="3"/>
    <x v="8"/>
  </r>
  <r>
    <x v="262"/>
    <s v="11/08/2025"/>
    <x v="0"/>
    <x v="4"/>
    <x v="3"/>
    <x v="4"/>
    <x v="0"/>
    <x v="0"/>
    <x v="259"/>
    <n v="3"/>
    <n v="4.9000000000000004"/>
    <n v="7"/>
    <x v="3"/>
  </r>
  <r>
    <x v="263"/>
    <s v="29/10/2025"/>
    <x v="4"/>
    <x v="17"/>
    <x v="4"/>
    <x v="0"/>
    <x v="2"/>
    <x v="2"/>
    <x v="260"/>
    <n v="3"/>
    <n v="3.7"/>
    <n v="1"/>
    <x v="1"/>
  </r>
  <r>
    <x v="264"/>
    <s v="02/08/2025"/>
    <x v="0"/>
    <x v="0"/>
    <x v="0"/>
    <x v="2"/>
    <x v="1"/>
    <x v="2"/>
    <x v="261"/>
    <n v="8"/>
    <n v="4.5"/>
    <n v="4"/>
    <x v="3"/>
  </r>
  <r>
    <x v="265"/>
    <s v="15/11/2025"/>
    <x v="14"/>
    <x v="6"/>
    <x v="1"/>
    <x v="4"/>
    <x v="0"/>
    <x v="1"/>
    <x v="262"/>
    <n v="3"/>
    <n v="3.7"/>
    <n v="2"/>
    <x v="11"/>
  </r>
  <r>
    <x v="266"/>
    <s v="03/07/2025"/>
    <x v="18"/>
    <x v="9"/>
    <x v="1"/>
    <x v="4"/>
    <x v="2"/>
    <x v="2"/>
    <x v="263"/>
    <n v="7"/>
    <n v="4.8"/>
    <n v="8"/>
    <x v="4"/>
  </r>
  <r>
    <x v="267"/>
    <s v="21/10/2025"/>
    <x v="17"/>
    <x v="0"/>
    <x v="0"/>
    <x v="2"/>
    <x v="3"/>
    <x v="3"/>
    <x v="264"/>
    <n v="8"/>
    <n v="4.8"/>
    <n v="4"/>
    <x v="1"/>
  </r>
  <r>
    <x v="268"/>
    <s v="31/03/2025"/>
    <x v="0"/>
    <x v="0"/>
    <x v="0"/>
    <x v="4"/>
    <x v="0"/>
    <x v="1"/>
    <x v="265"/>
    <n v="1"/>
    <n v="3.4"/>
    <n v="1"/>
    <x v="6"/>
  </r>
  <r>
    <x v="269"/>
    <s v="15/11/2025"/>
    <x v="11"/>
    <x v="12"/>
    <x v="2"/>
    <x v="3"/>
    <x v="1"/>
    <x v="3"/>
    <x v="266"/>
    <n v="5"/>
    <n v="3.9"/>
    <n v="8"/>
    <x v="11"/>
  </r>
  <r>
    <x v="270"/>
    <s v="09/03/2025"/>
    <x v="1"/>
    <x v="17"/>
    <x v="4"/>
    <x v="5"/>
    <x v="1"/>
    <x v="1"/>
    <x v="267"/>
    <n v="1"/>
    <n v="4.5999999999999996"/>
    <n v="8"/>
    <x v="6"/>
  </r>
  <r>
    <x v="271"/>
    <s v="17/12/2025"/>
    <x v="18"/>
    <x v="1"/>
    <x v="1"/>
    <x v="0"/>
    <x v="0"/>
    <x v="1"/>
    <x v="268"/>
    <n v="3"/>
    <n v="3.3"/>
    <n v="5"/>
    <x v="8"/>
  </r>
  <r>
    <x v="272"/>
    <s v="10/08/2025"/>
    <x v="0"/>
    <x v="1"/>
    <x v="1"/>
    <x v="1"/>
    <x v="0"/>
    <x v="3"/>
    <x v="269"/>
    <n v="4"/>
    <n v="4.8"/>
    <n v="1"/>
    <x v="3"/>
  </r>
  <r>
    <x v="273"/>
    <s v="08/02/2025"/>
    <x v="5"/>
    <x v="18"/>
    <x v="3"/>
    <x v="4"/>
    <x v="2"/>
    <x v="3"/>
    <x v="270"/>
    <n v="8"/>
    <n v="4.0999999999999996"/>
    <n v="7"/>
    <x v="7"/>
  </r>
  <r>
    <x v="274"/>
    <s v="15/02/2025"/>
    <x v="16"/>
    <x v="11"/>
    <x v="3"/>
    <x v="0"/>
    <x v="2"/>
    <x v="2"/>
    <x v="271"/>
    <n v="8"/>
    <n v="3.2"/>
    <n v="7"/>
    <x v="7"/>
  </r>
  <r>
    <x v="275"/>
    <s v="18/09/2025"/>
    <x v="18"/>
    <x v="6"/>
    <x v="1"/>
    <x v="5"/>
    <x v="1"/>
    <x v="1"/>
    <x v="272"/>
    <n v="4"/>
    <n v="4.7"/>
    <n v="8"/>
    <x v="5"/>
  </r>
  <r>
    <x v="276"/>
    <s v="19/02/2025"/>
    <x v="7"/>
    <x v="3"/>
    <x v="3"/>
    <x v="0"/>
    <x v="0"/>
    <x v="3"/>
    <x v="273"/>
    <n v="4"/>
    <n v="4.2"/>
    <n v="6"/>
    <x v="7"/>
  </r>
  <r>
    <x v="277"/>
    <s v="24/02/2025"/>
    <x v="18"/>
    <x v="5"/>
    <x v="4"/>
    <x v="0"/>
    <x v="1"/>
    <x v="2"/>
    <x v="274"/>
    <n v="5"/>
    <n v="3.6"/>
    <n v="4"/>
    <x v="7"/>
  </r>
  <r>
    <x v="278"/>
    <s v="19/08/2025"/>
    <x v="10"/>
    <x v="1"/>
    <x v="1"/>
    <x v="3"/>
    <x v="1"/>
    <x v="0"/>
    <x v="275"/>
    <n v="8"/>
    <n v="4.2"/>
    <n v="1"/>
    <x v="3"/>
  </r>
  <r>
    <x v="279"/>
    <s v="07/03/2025"/>
    <x v="11"/>
    <x v="9"/>
    <x v="1"/>
    <x v="3"/>
    <x v="3"/>
    <x v="1"/>
    <x v="276"/>
    <n v="2"/>
    <n v="5"/>
    <n v="4"/>
    <x v="6"/>
  </r>
  <r>
    <x v="280"/>
    <s v="12/03/2025"/>
    <x v="19"/>
    <x v="18"/>
    <x v="3"/>
    <x v="4"/>
    <x v="3"/>
    <x v="1"/>
    <x v="277"/>
    <n v="7"/>
    <n v="4.5"/>
    <n v="4"/>
    <x v="6"/>
  </r>
  <r>
    <x v="281"/>
    <s v="15/09/2025"/>
    <x v="10"/>
    <x v="7"/>
    <x v="4"/>
    <x v="2"/>
    <x v="1"/>
    <x v="2"/>
    <x v="278"/>
    <n v="6"/>
    <n v="4.2"/>
    <n v="7"/>
    <x v="5"/>
  </r>
  <r>
    <x v="282"/>
    <s v="13/01/2025"/>
    <x v="3"/>
    <x v="1"/>
    <x v="1"/>
    <x v="1"/>
    <x v="3"/>
    <x v="0"/>
    <x v="279"/>
    <n v="7"/>
    <n v="4.5999999999999996"/>
    <n v="3"/>
    <x v="10"/>
  </r>
  <r>
    <x v="283"/>
    <s v="15/04/2025"/>
    <x v="10"/>
    <x v="20"/>
    <x v="0"/>
    <x v="3"/>
    <x v="0"/>
    <x v="1"/>
    <x v="280"/>
    <n v="1"/>
    <n v="4.5"/>
    <n v="4"/>
    <x v="2"/>
  </r>
  <r>
    <x v="284"/>
    <s v="18/07/2025"/>
    <x v="4"/>
    <x v="15"/>
    <x v="0"/>
    <x v="3"/>
    <x v="0"/>
    <x v="1"/>
    <x v="281"/>
    <n v="7"/>
    <n v="4.5"/>
    <n v="4"/>
    <x v="4"/>
  </r>
  <r>
    <x v="285"/>
    <s v="10/04/2025"/>
    <x v="5"/>
    <x v="9"/>
    <x v="1"/>
    <x v="0"/>
    <x v="1"/>
    <x v="1"/>
    <x v="282"/>
    <n v="5"/>
    <n v="4.5"/>
    <n v="2"/>
    <x v="2"/>
  </r>
  <r>
    <x v="286"/>
    <s v="08/03/2025"/>
    <x v="2"/>
    <x v="6"/>
    <x v="1"/>
    <x v="4"/>
    <x v="3"/>
    <x v="2"/>
    <x v="283"/>
    <n v="3"/>
    <n v="4.5"/>
    <n v="3"/>
    <x v="6"/>
  </r>
  <r>
    <x v="287"/>
    <s v="09/09/2025"/>
    <x v="16"/>
    <x v="6"/>
    <x v="1"/>
    <x v="5"/>
    <x v="1"/>
    <x v="2"/>
    <x v="284"/>
    <n v="6"/>
    <n v="4.0999999999999996"/>
    <n v="3"/>
    <x v="5"/>
  </r>
  <r>
    <x v="288"/>
    <s v="20/04/2025"/>
    <x v="7"/>
    <x v="2"/>
    <x v="2"/>
    <x v="1"/>
    <x v="3"/>
    <x v="3"/>
    <x v="285"/>
    <n v="6"/>
    <n v="4.2"/>
    <n v="1"/>
    <x v="2"/>
  </r>
  <r>
    <x v="289"/>
    <s v="21/01/2025"/>
    <x v="12"/>
    <x v="7"/>
    <x v="4"/>
    <x v="2"/>
    <x v="1"/>
    <x v="3"/>
    <x v="286"/>
    <n v="6"/>
    <n v="4.5"/>
    <n v="1"/>
    <x v="10"/>
  </r>
  <r>
    <x v="290"/>
    <s v="30/11/2025"/>
    <x v="9"/>
    <x v="20"/>
    <x v="0"/>
    <x v="4"/>
    <x v="0"/>
    <x v="3"/>
    <x v="287"/>
    <n v="4"/>
    <n v="4.9000000000000004"/>
    <n v="1"/>
    <x v="11"/>
  </r>
  <r>
    <x v="291"/>
    <s v="03/10/2025"/>
    <x v="9"/>
    <x v="10"/>
    <x v="0"/>
    <x v="0"/>
    <x v="2"/>
    <x v="0"/>
    <x v="288"/>
    <n v="7"/>
    <n v="4.5"/>
    <n v="1"/>
    <x v="1"/>
  </r>
  <r>
    <x v="292"/>
    <s v="06/02/2025"/>
    <x v="0"/>
    <x v="19"/>
    <x v="2"/>
    <x v="3"/>
    <x v="2"/>
    <x v="2"/>
    <x v="289"/>
    <n v="4"/>
    <n v="3.9"/>
    <n v="6"/>
    <x v="7"/>
  </r>
  <r>
    <x v="293"/>
    <s v="27/10/2025"/>
    <x v="4"/>
    <x v="1"/>
    <x v="1"/>
    <x v="0"/>
    <x v="3"/>
    <x v="3"/>
    <x v="290"/>
    <n v="1"/>
    <n v="3.7"/>
    <n v="5"/>
    <x v="1"/>
  </r>
  <r>
    <x v="294"/>
    <s v="05/12/2025"/>
    <x v="8"/>
    <x v="11"/>
    <x v="3"/>
    <x v="2"/>
    <x v="3"/>
    <x v="2"/>
    <x v="291"/>
    <n v="1"/>
    <n v="4.5"/>
    <n v="5"/>
    <x v="8"/>
  </r>
  <r>
    <x v="295"/>
    <s v="05/03/2025"/>
    <x v="19"/>
    <x v="9"/>
    <x v="1"/>
    <x v="3"/>
    <x v="0"/>
    <x v="0"/>
    <x v="292"/>
    <n v="1"/>
    <n v="3.7"/>
    <n v="6"/>
    <x v="6"/>
  </r>
  <r>
    <x v="296"/>
    <s v="12/11/2025"/>
    <x v="10"/>
    <x v="7"/>
    <x v="4"/>
    <x v="0"/>
    <x v="3"/>
    <x v="2"/>
    <x v="293"/>
    <n v="5"/>
    <n v="4.7"/>
    <n v="8"/>
    <x v="11"/>
  </r>
  <r>
    <x v="297"/>
    <s v="12/04/2025"/>
    <x v="19"/>
    <x v="14"/>
    <x v="2"/>
    <x v="2"/>
    <x v="1"/>
    <x v="3"/>
    <x v="294"/>
    <n v="8"/>
    <n v="3.7"/>
    <n v="2"/>
    <x v="2"/>
  </r>
  <r>
    <x v="298"/>
    <s v="04/12/2025"/>
    <x v="1"/>
    <x v="19"/>
    <x v="2"/>
    <x v="0"/>
    <x v="3"/>
    <x v="0"/>
    <x v="295"/>
    <n v="5"/>
    <n v="4.7"/>
    <n v="7"/>
    <x v="8"/>
  </r>
  <r>
    <x v="299"/>
    <s v="22/05/2025"/>
    <x v="14"/>
    <x v="5"/>
    <x v="4"/>
    <x v="5"/>
    <x v="2"/>
    <x v="0"/>
    <x v="296"/>
    <n v="6"/>
    <n v="3.8"/>
    <n v="5"/>
    <x v="0"/>
  </r>
  <r>
    <x v="300"/>
    <s v="24/05/2025"/>
    <x v="12"/>
    <x v="1"/>
    <x v="1"/>
    <x v="1"/>
    <x v="2"/>
    <x v="3"/>
    <x v="297"/>
    <n v="3"/>
    <n v="4.5"/>
    <n v="1"/>
    <x v="0"/>
  </r>
  <r>
    <x v="301"/>
    <s v="19/01/2025"/>
    <x v="8"/>
    <x v="9"/>
    <x v="1"/>
    <x v="3"/>
    <x v="2"/>
    <x v="3"/>
    <x v="298"/>
    <n v="5"/>
    <n v="3.9"/>
    <n v="5"/>
    <x v="10"/>
  </r>
  <r>
    <x v="302"/>
    <s v="06/01/2025"/>
    <x v="14"/>
    <x v="19"/>
    <x v="2"/>
    <x v="2"/>
    <x v="2"/>
    <x v="0"/>
    <x v="299"/>
    <n v="4"/>
    <n v="3.5"/>
    <n v="3"/>
    <x v="10"/>
  </r>
  <r>
    <x v="303"/>
    <s v="02/02/2025"/>
    <x v="5"/>
    <x v="18"/>
    <x v="3"/>
    <x v="3"/>
    <x v="1"/>
    <x v="2"/>
    <x v="300"/>
    <n v="5"/>
    <n v="4.8"/>
    <n v="6"/>
    <x v="7"/>
  </r>
  <r>
    <x v="304"/>
    <s v="22/02/2025"/>
    <x v="6"/>
    <x v="20"/>
    <x v="0"/>
    <x v="1"/>
    <x v="2"/>
    <x v="1"/>
    <x v="301"/>
    <n v="5"/>
    <n v="4.4000000000000004"/>
    <n v="6"/>
    <x v="7"/>
  </r>
  <r>
    <x v="305"/>
    <s v="22/09/2025"/>
    <x v="17"/>
    <x v="18"/>
    <x v="3"/>
    <x v="4"/>
    <x v="0"/>
    <x v="2"/>
    <x v="302"/>
    <n v="7"/>
    <n v="3.2"/>
    <n v="3"/>
    <x v="5"/>
  </r>
  <r>
    <x v="306"/>
    <s v="19/04/2025"/>
    <x v="18"/>
    <x v="6"/>
    <x v="1"/>
    <x v="1"/>
    <x v="2"/>
    <x v="3"/>
    <x v="303"/>
    <n v="3"/>
    <n v="4.4000000000000004"/>
    <n v="7"/>
    <x v="2"/>
  </r>
  <r>
    <x v="307"/>
    <s v="18/04/2025"/>
    <x v="8"/>
    <x v="11"/>
    <x v="3"/>
    <x v="1"/>
    <x v="2"/>
    <x v="0"/>
    <x v="304"/>
    <n v="3"/>
    <n v="3.4"/>
    <n v="3"/>
    <x v="2"/>
  </r>
  <r>
    <x v="308"/>
    <s v="13/05/2025"/>
    <x v="9"/>
    <x v="10"/>
    <x v="0"/>
    <x v="4"/>
    <x v="1"/>
    <x v="3"/>
    <x v="305"/>
    <n v="3"/>
    <n v="3.2"/>
    <n v="5"/>
    <x v="0"/>
  </r>
  <r>
    <x v="309"/>
    <s v="23/04/2025"/>
    <x v="1"/>
    <x v="18"/>
    <x v="3"/>
    <x v="1"/>
    <x v="3"/>
    <x v="3"/>
    <x v="306"/>
    <n v="7"/>
    <n v="4.4000000000000004"/>
    <n v="5"/>
    <x v="2"/>
  </r>
  <r>
    <x v="310"/>
    <s v="28/04/2025"/>
    <x v="8"/>
    <x v="1"/>
    <x v="1"/>
    <x v="5"/>
    <x v="2"/>
    <x v="0"/>
    <x v="124"/>
    <n v="7"/>
    <n v="4.0999999999999996"/>
    <n v="7"/>
    <x v="2"/>
  </r>
  <r>
    <x v="311"/>
    <s v="30/09/2025"/>
    <x v="12"/>
    <x v="3"/>
    <x v="3"/>
    <x v="3"/>
    <x v="3"/>
    <x v="2"/>
    <x v="307"/>
    <n v="2"/>
    <n v="4.7"/>
    <n v="7"/>
    <x v="5"/>
  </r>
  <r>
    <x v="312"/>
    <s v="28/04/2025"/>
    <x v="14"/>
    <x v="8"/>
    <x v="1"/>
    <x v="4"/>
    <x v="2"/>
    <x v="1"/>
    <x v="308"/>
    <n v="8"/>
    <n v="4"/>
    <n v="5"/>
    <x v="2"/>
  </r>
  <r>
    <x v="313"/>
    <s v="12/05/2025"/>
    <x v="19"/>
    <x v="8"/>
    <x v="1"/>
    <x v="1"/>
    <x v="3"/>
    <x v="3"/>
    <x v="309"/>
    <n v="4"/>
    <n v="4.0999999999999996"/>
    <n v="7"/>
    <x v="0"/>
  </r>
  <r>
    <x v="314"/>
    <s v="21/03/2025"/>
    <x v="5"/>
    <x v="14"/>
    <x v="2"/>
    <x v="4"/>
    <x v="1"/>
    <x v="3"/>
    <x v="310"/>
    <n v="7"/>
    <n v="4.2"/>
    <n v="5"/>
    <x v="6"/>
  </r>
  <r>
    <x v="315"/>
    <s v="14/10/2025"/>
    <x v="13"/>
    <x v="13"/>
    <x v="4"/>
    <x v="3"/>
    <x v="0"/>
    <x v="2"/>
    <x v="311"/>
    <n v="8"/>
    <n v="4.5"/>
    <n v="2"/>
    <x v="1"/>
  </r>
  <r>
    <x v="316"/>
    <s v="23/06/2025"/>
    <x v="9"/>
    <x v="5"/>
    <x v="4"/>
    <x v="0"/>
    <x v="3"/>
    <x v="0"/>
    <x v="312"/>
    <n v="1"/>
    <n v="4"/>
    <n v="7"/>
    <x v="9"/>
  </r>
  <r>
    <x v="317"/>
    <s v="08/11/2025"/>
    <x v="1"/>
    <x v="14"/>
    <x v="2"/>
    <x v="1"/>
    <x v="1"/>
    <x v="3"/>
    <x v="313"/>
    <n v="1"/>
    <n v="4.0999999999999996"/>
    <n v="1"/>
    <x v="11"/>
  </r>
  <r>
    <x v="318"/>
    <s v="03/12/2025"/>
    <x v="2"/>
    <x v="10"/>
    <x v="0"/>
    <x v="2"/>
    <x v="0"/>
    <x v="2"/>
    <x v="314"/>
    <n v="5"/>
    <n v="4.5"/>
    <n v="3"/>
    <x v="8"/>
  </r>
  <r>
    <x v="319"/>
    <s v="22/05/2025"/>
    <x v="9"/>
    <x v="17"/>
    <x v="4"/>
    <x v="5"/>
    <x v="3"/>
    <x v="1"/>
    <x v="315"/>
    <n v="7"/>
    <n v="4.0999999999999996"/>
    <n v="2"/>
    <x v="0"/>
  </r>
  <r>
    <x v="320"/>
    <s v="26/04/2025"/>
    <x v="10"/>
    <x v="16"/>
    <x v="2"/>
    <x v="0"/>
    <x v="3"/>
    <x v="1"/>
    <x v="316"/>
    <n v="4"/>
    <n v="3.5"/>
    <n v="2"/>
    <x v="2"/>
  </r>
  <r>
    <x v="321"/>
    <s v="03/10/2025"/>
    <x v="17"/>
    <x v="20"/>
    <x v="0"/>
    <x v="1"/>
    <x v="1"/>
    <x v="2"/>
    <x v="317"/>
    <n v="5"/>
    <n v="4.5999999999999996"/>
    <n v="6"/>
    <x v="1"/>
  </r>
  <r>
    <x v="322"/>
    <s v="13/05/2025"/>
    <x v="11"/>
    <x v="3"/>
    <x v="3"/>
    <x v="4"/>
    <x v="3"/>
    <x v="2"/>
    <x v="318"/>
    <n v="2"/>
    <n v="4.9000000000000004"/>
    <n v="1"/>
    <x v="0"/>
  </r>
  <r>
    <x v="323"/>
    <s v="08/02/2025"/>
    <x v="14"/>
    <x v="4"/>
    <x v="3"/>
    <x v="1"/>
    <x v="0"/>
    <x v="0"/>
    <x v="319"/>
    <n v="3"/>
    <n v="3.7"/>
    <n v="4"/>
    <x v="7"/>
  </r>
  <r>
    <x v="324"/>
    <s v="16/04/2025"/>
    <x v="9"/>
    <x v="13"/>
    <x v="4"/>
    <x v="1"/>
    <x v="1"/>
    <x v="2"/>
    <x v="320"/>
    <n v="4"/>
    <n v="4.5999999999999996"/>
    <n v="2"/>
    <x v="2"/>
  </r>
  <r>
    <x v="325"/>
    <s v="04/09/2025"/>
    <x v="5"/>
    <x v="1"/>
    <x v="1"/>
    <x v="4"/>
    <x v="0"/>
    <x v="2"/>
    <x v="321"/>
    <n v="6"/>
    <n v="4.0999999999999996"/>
    <n v="5"/>
    <x v="5"/>
  </r>
  <r>
    <x v="326"/>
    <s v="02/09/2025"/>
    <x v="18"/>
    <x v="8"/>
    <x v="1"/>
    <x v="1"/>
    <x v="2"/>
    <x v="2"/>
    <x v="322"/>
    <n v="1"/>
    <n v="5"/>
    <n v="8"/>
    <x v="5"/>
  </r>
  <r>
    <x v="327"/>
    <s v="25/10/2025"/>
    <x v="11"/>
    <x v="5"/>
    <x v="4"/>
    <x v="3"/>
    <x v="3"/>
    <x v="1"/>
    <x v="323"/>
    <n v="2"/>
    <n v="4.2"/>
    <n v="4"/>
    <x v="1"/>
  </r>
  <r>
    <x v="328"/>
    <s v="06/08/2025"/>
    <x v="6"/>
    <x v="5"/>
    <x v="4"/>
    <x v="1"/>
    <x v="0"/>
    <x v="2"/>
    <x v="324"/>
    <n v="4"/>
    <n v="4"/>
    <n v="3"/>
    <x v="3"/>
  </r>
  <r>
    <x v="329"/>
    <s v="12/10/2025"/>
    <x v="16"/>
    <x v="2"/>
    <x v="2"/>
    <x v="3"/>
    <x v="0"/>
    <x v="1"/>
    <x v="325"/>
    <n v="7"/>
    <n v="4.7"/>
    <n v="3"/>
    <x v="1"/>
  </r>
  <r>
    <x v="330"/>
    <s v="09/05/2025"/>
    <x v="7"/>
    <x v="4"/>
    <x v="3"/>
    <x v="3"/>
    <x v="3"/>
    <x v="1"/>
    <x v="326"/>
    <n v="1"/>
    <n v="4.7"/>
    <n v="8"/>
    <x v="0"/>
  </r>
  <r>
    <x v="331"/>
    <s v="14/10/2025"/>
    <x v="6"/>
    <x v="16"/>
    <x v="2"/>
    <x v="5"/>
    <x v="0"/>
    <x v="1"/>
    <x v="327"/>
    <n v="5"/>
    <n v="4.8"/>
    <n v="4"/>
    <x v="1"/>
  </r>
  <r>
    <x v="332"/>
    <s v="11/12/2025"/>
    <x v="1"/>
    <x v="16"/>
    <x v="2"/>
    <x v="1"/>
    <x v="3"/>
    <x v="3"/>
    <x v="328"/>
    <n v="8"/>
    <n v="4"/>
    <n v="3"/>
    <x v="8"/>
  </r>
  <r>
    <x v="333"/>
    <s v="06/02/2025"/>
    <x v="4"/>
    <x v="8"/>
    <x v="1"/>
    <x v="1"/>
    <x v="1"/>
    <x v="1"/>
    <x v="329"/>
    <n v="2"/>
    <n v="4.4000000000000004"/>
    <n v="5"/>
    <x v="7"/>
  </r>
  <r>
    <x v="334"/>
    <s v="28/10/2025"/>
    <x v="9"/>
    <x v="4"/>
    <x v="3"/>
    <x v="4"/>
    <x v="0"/>
    <x v="3"/>
    <x v="330"/>
    <n v="8"/>
    <n v="4.5"/>
    <n v="5"/>
    <x v="1"/>
  </r>
  <r>
    <x v="335"/>
    <s v="02/02/2025"/>
    <x v="7"/>
    <x v="0"/>
    <x v="0"/>
    <x v="2"/>
    <x v="0"/>
    <x v="2"/>
    <x v="331"/>
    <n v="8"/>
    <n v="4.5999999999999996"/>
    <n v="2"/>
    <x v="7"/>
  </r>
  <r>
    <x v="336"/>
    <s v="28/04/2025"/>
    <x v="0"/>
    <x v="4"/>
    <x v="3"/>
    <x v="0"/>
    <x v="3"/>
    <x v="1"/>
    <x v="332"/>
    <n v="4"/>
    <n v="4.0999999999999996"/>
    <n v="3"/>
    <x v="2"/>
  </r>
  <r>
    <x v="337"/>
    <s v="04/10/2025"/>
    <x v="6"/>
    <x v="11"/>
    <x v="3"/>
    <x v="3"/>
    <x v="3"/>
    <x v="1"/>
    <x v="333"/>
    <n v="5"/>
    <n v="4.3"/>
    <n v="8"/>
    <x v="1"/>
  </r>
  <r>
    <x v="338"/>
    <s v="15/02/2025"/>
    <x v="12"/>
    <x v="18"/>
    <x v="3"/>
    <x v="4"/>
    <x v="3"/>
    <x v="1"/>
    <x v="334"/>
    <n v="8"/>
    <n v="3.7"/>
    <n v="1"/>
    <x v="7"/>
  </r>
  <r>
    <x v="339"/>
    <s v="19/12/2025"/>
    <x v="10"/>
    <x v="3"/>
    <x v="3"/>
    <x v="2"/>
    <x v="0"/>
    <x v="3"/>
    <x v="335"/>
    <n v="8"/>
    <n v="4.3"/>
    <n v="1"/>
    <x v="8"/>
  </r>
  <r>
    <x v="340"/>
    <s v="22/07/2025"/>
    <x v="12"/>
    <x v="8"/>
    <x v="1"/>
    <x v="5"/>
    <x v="3"/>
    <x v="1"/>
    <x v="336"/>
    <n v="4"/>
    <n v="3.3"/>
    <n v="4"/>
    <x v="4"/>
  </r>
  <r>
    <x v="341"/>
    <s v="31/07/2025"/>
    <x v="11"/>
    <x v="6"/>
    <x v="1"/>
    <x v="1"/>
    <x v="1"/>
    <x v="0"/>
    <x v="337"/>
    <n v="4"/>
    <n v="4.3"/>
    <n v="8"/>
    <x v="4"/>
  </r>
  <r>
    <x v="342"/>
    <s v="19/03/2025"/>
    <x v="0"/>
    <x v="14"/>
    <x v="2"/>
    <x v="4"/>
    <x v="2"/>
    <x v="0"/>
    <x v="338"/>
    <n v="1"/>
    <n v="3.7"/>
    <n v="8"/>
    <x v="6"/>
  </r>
  <r>
    <x v="343"/>
    <s v="22/04/2025"/>
    <x v="18"/>
    <x v="15"/>
    <x v="0"/>
    <x v="0"/>
    <x v="0"/>
    <x v="2"/>
    <x v="339"/>
    <n v="6"/>
    <n v="4.5"/>
    <n v="1"/>
    <x v="2"/>
  </r>
  <r>
    <x v="344"/>
    <s v="06/02/2025"/>
    <x v="5"/>
    <x v="12"/>
    <x v="2"/>
    <x v="3"/>
    <x v="0"/>
    <x v="2"/>
    <x v="340"/>
    <n v="8"/>
    <n v="3.4"/>
    <n v="4"/>
    <x v="7"/>
  </r>
  <r>
    <x v="345"/>
    <s v="18/02/2025"/>
    <x v="10"/>
    <x v="5"/>
    <x v="4"/>
    <x v="5"/>
    <x v="2"/>
    <x v="1"/>
    <x v="341"/>
    <n v="4"/>
    <n v="4.3"/>
    <n v="1"/>
    <x v="7"/>
  </r>
  <r>
    <x v="346"/>
    <s v="12/04/2025"/>
    <x v="1"/>
    <x v="4"/>
    <x v="3"/>
    <x v="2"/>
    <x v="2"/>
    <x v="3"/>
    <x v="342"/>
    <n v="6"/>
    <n v="4"/>
    <n v="1"/>
    <x v="2"/>
  </r>
  <r>
    <x v="347"/>
    <s v="22/01/2025"/>
    <x v="4"/>
    <x v="17"/>
    <x v="4"/>
    <x v="2"/>
    <x v="2"/>
    <x v="2"/>
    <x v="343"/>
    <n v="8"/>
    <n v="3.5"/>
    <n v="2"/>
    <x v="10"/>
  </r>
  <r>
    <x v="348"/>
    <s v="26/12/2025"/>
    <x v="17"/>
    <x v="2"/>
    <x v="2"/>
    <x v="1"/>
    <x v="0"/>
    <x v="2"/>
    <x v="344"/>
    <n v="2"/>
    <n v="4.5999999999999996"/>
    <n v="6"/>
    <x v="8"/>
  </r>
  <r>
    <x v="349"/>
    <s v="10/03/2025"/>
    <x v="19"/>
    <x v="4"/>
    <x v="3"/>
    <x v="5"/>
    <x v="0"/>
    <x v="1"/>
    <x v="345"/>
    <n v="5"/>
    <n v="4.2"/>
    <n v="8"/>
    <x v="6"/>
  </r>
  <r>
    <x v="350"/>
    <s v="21/05/2025"/>
    <x v="17"/>
    <x v="12"/>
    <x v="2"/>
    <x v="0"/>
    <x v="1"/>
    <x v="0"/>
    <x v="346"/>
    <n v="3"/>
    <n v="4.7"/>
    <n v="6"/>
    <x v="0"/>
  </r>
  <r>
    <x v="351"/>
    <s v="14/11/2025"/>
    <x v="10"/>
    <x v="20"/>
    <x v="0"/>
    <x v="4"/>
    <x v="3"/>
    <x v="1"/>
    <x v="287"/>
    <n v="4"/>
    <n v="4.0999999999999996"/>
    <n v="8"/>
    <x v="11"/>
  </r>
  <r>
    <x v="352"/>
    <s v="26/02/2025"/>
    <x v="7"/>
    <x v="4"/>
    <x v="3"/>
    <x v="3"/>
    <x v="0"/>
    <x v="2"/>
    <x v="347"/>
    <n v="2"/>
    <n v="4.8"/>
    <n v="4"/>
    <x v="7"/>
  </r>
  <r>
    <x v="353"/>
    <s v="03/12/2025"/>
    <x v="0"/>
    <x v="15"/>
    <x v="0"/>
    <x v="4"/>
    <x v="1"/>
    <x v="2"/>
    <x v="122"/>
    <n v="8"/>
    <n v="4.3"/>
    <n v="2"/>
    <x v="8"/>
  </r>
  <r>
    <x v="354"/>
    <s v="04/07/2025"/>
    <x v="3"/>
    <x v="3"/>
    <x v="3"/>
    <x v="0"/>
    <x v="0"/>
    <x v="2"/>
    <x v="348"/>
    <n v="7"/>
    <n v="3.3"/>
    <n v="2"/>
    <x v="4"/>
  </r>
  <r>
    <x v="355"/>
    <s v="30/09/2025"/>
    <x v="10"/>
    <x v="10"/>
    <x v="0"/>
    <x v="1"/>
    <x v="1"/>
    <x v="2"/>
    <x v="349"/>
    <n v="7"/>
    <n v="4.3"/>
    <n v="3"/>
    <x v="5"/>
  </r>
  <r>
    <x v="356"/>
    <s v="12/12/2025"/>
    <x v="1"/>
    <x v="6"/>
    <x v="1"/>
    <x v="5"/>
    <x v="1"/>
    <x v="1"/>
    <x v="350"/>
    <n v="8"/>
    <n v="4.2"/>
    <n v="6"/>
    <x v="8"/>
  </r>
  <r>
    <x v="357"/>
    <s v="16/06/2025"/>
    <x v="5"/>
    <x v="19"/>
    <x v="2"/>
    <x v="5"/>
    <x v="3"/>
    <x v="1"/>
    <x v="351"/>
    <n v="6"/>
    <n v="4.2"/>
    <n v="4"/>
    <x v="9"/>
  </r>
  <r>
    <x v="358"/>
    <s v="23/07/2025"/>
    <x v="0"/>
    <x v="11"/>
    <x v="3"/>
    <x v="2"/>
    <x v="0"/>
    <x v="0"/>
    <x v="352"/>
    <n v="1"/>
    <n v="4.0999999999999996"/>
    <n v="5"/>
    <x v="4"/>
  </r>
  <r>
    <x v="359"/>
    <s v="20/12/2025"/>
    <x v="17"/>
    <x v="14"/>
    <x v="2"/>
    <x v="2"/>
    <x v="0"/>
    <x v="0"/>
    <x v="353"/>
    <n v="5"/>
    <n v="3.5"/>
    <n v="1"/>
    <x v="8"/>
  </r>
  <r>
    <x v="360"/>
    <s v="26/10/2025"/>
    <x v="9"/>
    <x v="16"/>
    <x v="2"/>
    <x v="1"/>
    <x v="3"/>
    <x v="3"/>
    <x v="354"/>
    <n v="4"/>
    <n v="3.9"/>
    <n v="4"/>
    <x v="1"/>
  </r>
  <r>
    <x v="361"/>
    <s v="20/12/2025"/>
    <x v="18"/>
    <x v="5"/>
    <x v="4"/>
    <x v="2"/>
    <x v="1"/>
    <x v="3"/>
    <x v="355"/>
    <n v="2"/>
    <n v="3.3"/>
    <n v="1"/>
    <x v="8"/>
  </r>
  <r>
    <x v="362"/>
    <s v="01/12/2025"/>
    <x v="18"/>
    <x v="10"/>
    <x v="0"/>
    <x v="5"/>
    <x v="0"/>
    <x v="0"/>
    <x v="356"/>
    <n v="1"/>
    <n v="3.3"/>
    <n v="3"/>
    <x v="8"/>
  </r>
  <r>
    <x v="363"/>
    <s v="17/08/2025"/>
    <x v="14"/>
    <x v="15"/>
    <x v="0"/>
    <x v="5"/>
    <x v="2"/>
    <x v="3"/>
    <x v="357"/>
    <n v="2"/>
    <n v="3.4"/>
    <n v="2"/>
    <x v="3"/>
  </r>
  <r>
    <x v="364"/>
    <s v="24/07/2025"/>
    <x v="6"/>
    <x v="14"/>
    <x v="2"/>
    <x v="4"/>
    <x v="0"/>
    <x v="0"/>
    <x v="358"/>
    <n v="7"/>
    <n v="3.6"/>
    <n v="7"/>
    <x v="4"/>
  </r>
  <r>
    <x v="365"/>
    <s v="09/08/2025"/>
    <x v="18"/>
    <x v="20"/>
    <x v="0"/>
    <x v="2"/>
    <x v="2"/>
    <x v="1"/>
    <x v="359"/>
    <n v="6"/>
    <n v="3.9"/>
    <n v="4"/>
    <x v="3"/>
  </r>
  <r>
    <x v="366"/>
    <s v="12/11/2025"/>
    <x v="8"/>
    <x v="13"/>
    <x v="4"/>
    <x v="1"/>
    <x v="2"/>
    <x v="2"/>
    <x v="360"/>
    <n v="8"/>
    <n v="3.6"/>
    <n v="6"/>
    <x v="11"/>
  </r>
  <r>
    <x v="367"/>
    <s v="14/11/2025"/>
    <x v="18"/>
    <x v="10"/>
    <x v="0"/>
    <x v="4"/>
    <x v="0"/>
    <x v="0"/>
    <x v="361"/>
    <n v="3"/>
    <n v="4"/>
    <n v="1"/>
    <x v="11"/>
  </r>
  <r>
    <x v="368"/>
    <s v="08/10/2025"/>
    <x v="11"/>
    <x v="6"/>
    <x v="1"/>
    <x v="4"/>
    <x v="2"/>
    <x v="1"/>
    <x v="362"/>
    <n v="8"/>
    <n v="4.8"/>
    <n v="1"/>
    <x v="1"/>
  </r>
  <r>
    <x v="369"/>
    <s v="28/01/2025"/>
    <x v="7"/>
    <x v="13"/>
    <x v="4"/>
    <x v="0"/>
    <x v="3"/>
    <x v="3"/>
    <x v="363"/>
    <n v="8"/>
    <n v="3.7"/>
    <n v="6"/>
    <x v="10"/>
  </r>
  <r>
    <x v="370"/>
    <s v="18/09/2025"/>
    <x v="10"/>
    <x v="5"/>
    <x v="4"/>
    <x v="1"/>
    <x v="2"/>
    <x v="2"/>
    <x v="364"/>
    <n v="2"/>
    <n v="3.5"/>
    <n v="8"/>
    <x v="5"/>
  </r>
  <r>
    <x v="371"/>
    <s v="20/06/2025"/>
    <x v="13"/>
    <x v="13"/>
    <x v="4"/>
    <x v="5"/>
    <x v="3"/>
    <x v="2"/>
    <x v="365"/>
    <n v="8"/>
    <n v="3.8"/>
    <n v="5"/>
    <x v="9"/>
  </r>
  <r>
    <x v="372"/>
    <s v="16/01/2025"/>
    <x v="12"/>
    <x v="12"/>
    <x v="2"/>
    <x v="1"/>
    <x v="0"/>
    <x v="3"/>
    <x v="366"/>
    <n v="5"/>
    <n v="3.4"/>
    <n v="7"/>
    <x v="10"/>
  </r>
  <r>
    <x v="373"/>
    <s v="07/08/2025"/>
    <x v="6"/>
    <x v="7"/>
    <x v="4"/>
    <x v="5"/>
    <x v="0"/>
    <x v="0"/>
    <x v="367"/>
    <n v="5"/>
    <n v="3.6"/>
    <n v="3"/>
    <x v="3"/>
  </r>
  <r>
    <x v="374"/>
    <s v="11/03/2025"/>
    <x v="1"/>
    <x v="19"/>
    <x v="2"/>
    <x v="2"/>
    <x v="0"/>
    <x v="2"/>
    <x v="368"/>
    <n v="7"/>
    <n v="4.2"/>
    <n v="2"/>
    <x v="6"/>
  </r>
  <r>
    <x v="375"/>
    <s v="30/07/2025"/>
    <x v="4"/>
    <x v="12"/>
    <x v="2"/>
    <x v="5"/>
    <x v="3"/>
    <x v="0"/>
    <x v="369"/>
    <n v="5"/>
    <n v="3.4"/>
    <n v="1"/>
    <x v="4"/>
  </r>
  <r>
    <x v="376"/>
    <s v="29/04/2025"/>
    <x v="15"/>
    <x v="9"/>
    <x v="1"/>
    <x v="4"/>
    <x v="1"/>
    <x v="3"/>
    <x v="370"/>
    <n v="1"/>
    <n v="4.7"/>
    <n v="8"/>
    <x v="2"/>
  </r>
  <r>
    <x v="377"/>
    <s v="25/03/2025"/>
    <x v="19"/>
    <x v="18"/>
    <x v="3"/>
    <x v="4"/>
    <x v="2"/>
    <x v="0"/>
    <x v="371"/>
    <n v="4"/>
    <n v="4.9000000000000004"/>
    <n v="4"/>
    <x v="6"/>
  </r>
  <r>
    <x v="378"/>
    <s v="19/12/2025"/>
    <x v="18"/>
    <x v="11"/>
    <x v="3"/>
    <x v="3"/>
    <x v="2"/>
    <x v="2"/>
    <x v="372"/>
    <n v="6"/>
    <n v="4.3"/>
    <n v="7"/>
    <x v="8"/>
  </r>
  <r>
    <x v="379"/>
    <s v="22/01/2025"/>
    <x v="19"/>
    <x v="11"/>
    <x v="3"/>
    <x v="2"/>
    <x v="1"/>
    <x v="3"/>
    <x v="373"/>
    <n v="4"/>
    <n v="3.9"/>
    <n v="1"/>
    <x v="10"/>
  </r>
  <r>
    <x v="380"/>
    <s v="25/08/2025"/>
    <x v="17"/>
    <x v="16"/>
    <x v="2"/>
    <x v="0"/>
    <x v="2"/>
    <x v="0"/>
    <x v="374"/>
    <n v="3"/>
    <n v="4.8"/>
    <n v="8"/>
    <x v="3"/>
  </r>
  <r>
    <x v="381"/>
    <s v="21/07/2025"/>
    <x v="17"/>
    <x v="9"/>
    <x v="1"/>
    <x v="0"/>
    <x v="3"/>
    <x v="1"/>
    <x v="375"/>
    <n v="7"/>
    <n v="4.3"/>
    <n v="4"/>
    <x v="4"/>
  </r>
  <r>
    <x v="382"/>
    <s v="16/02/2025"/>
    <x v="5"/>
    <x v="17"/>
    <x v="4"/>
    <x v="5"/>
    <x v="1"/>
    <x v="2"/>
    <x v="376"/>
    <n v="2"/>
    <n v="4.5"/>
    <n v="3"/>
    <x v="7"/>
  </r>
  <r>
    <x v="383"/>
    <s v="17/10/2025"/>
    <x v="3"/>
    <x v="13"/>
    <x v="4"/>
    <x v="1"/>
    <x v="0"/>
    <x v="2"/>
    <x v="377"/>
    <n v="3"/>
    <n v="3.8"/>
    <n v="8"/>
    <x v="1"/>
  </r>
  <r>
    <x v="384"/>
    <s v="02/01/2025"/>
    <x v="13"/>
    <x v="7"/>
    <x v="4"/>
    <x v="4"/>
    <x v="1"/>
    <x v="3"/>
    <x v="378"/>
    <n v="5"/>
    <n v="4.7"/>
    <n v="8"/>
    <x v="10"/>
  </r>
  <r>
    <x v="385"/>
    <s v="10/02/2025"/>
    <x v="2"/>
    <x v="11"/>
    <x v="3"/>
    <x v="4"/>
    <x v="0"/>
    <x v="2"/>
    <x v="379"/>
    <n v="1"/>
    <n v="4.2"/>
    <n v="4"/>
    <x v="7"/>
  </r>
  <r>
    <x v="386"/>
    <s v="16/03/2025"/>
    <x v="1"/>
    <x v="14"/>
    <x v="2"/>
    <x v="1"/>
    <x v="3"/>
    <x v="0"/>
    <x v="380"/>
    <n v="1"/>
    <n v="3.4"/>
    <n v="3"/>
    <x v="6"/>
  </r>
  <r>
    <x v="387"/>
    <s v="19/01/2025"/>
    <x v="3"/>
    <x v="4"/>
    <x v="3"/>
    <x v="3"/>
    <x v="0"/>
    <x v="2"/>
    <x v="381"/>
    <n v="2"/>
    <n v="4.5999999999999996"/>
    <n v="2"/>
    <x v="10"/>
  </r>
  <r>
    <x v="388"/>
    <s v="27/09/2025"/>
    <x v="14"/>
    <x v="16"/>
    <x v="2"/>
    <x v="1"/>
    <x v="3"/>
    <x v="3"/>
    <x v="382"/>
    <n v="7"/>
    <n v="3.4"/>
    <n v="2"/>
    <x v="5"/>
  </r>
  <r>
    <x v="389"/>
    <s v="13/05/2025"/>
    <x v="4"/>
    <x v="6"/>
    <x v="1"/>
    <x v="4"/>
    <x v="3"/>
    <x v="0"/>
    <x v="383"/>
    <n v="6"/>
    <n v="4.0999999999999996"/>
    <n v="3"/>
    <x v="0"/>
  </r>
  <r>
    <x v="390"/>
    <s v="13/01/2025"/>
    <x v="15"/>
    <x v="0"/>
    <x v="0"/>
    <x v="5"/>
    <x v="0"/>
    <x v="2"/>
    <x v="384"/>
    <n v="8"/>
    <n v="3.9"/>
    <n v="6"/>
    <x v="10"/>
  </r>
  <r>
    <x v="391"/>
    <s v="11/05/2025"/>
    <x v="18"/>
    <x v="13"/>
    <x v="4"/>
    <x v="2"/>
    <x v="1"/>
    <x v="2"/>
    <x v="385"/>
    <n v="2"/>
    <n v="4.5999999999999996"/>
    <n v="2"/>
    <x v="0"/>
  </r>
  <r>
    <x v="392"/>
    <s v="19/06/2025"/>
    <x v="17"/>
    <x v="7"/>
    <x v="4"/>
    <x v="5"/>
    <x v="3"/>
    <x v="3"/>
    <x v="386"/>
    <n v="6"/>
    <n v="3.4"/>
    <n v="3"/>
    <x v="9"/>
  </r>
  <r>
    <x v="393"/>
    <s v="24/09/2025"/>
    <x v="15"/>
    <x v="3"/>
    <x v="3"/>
    <x v="0"/>
    <x v="0"/>
    <x v="1"/>
    <x v="387"/>
    <n v="5"/>
    <n v="3.6"/>
    <n v="6"/>
    <x v="5"/>
  </r>
  <r>
    <x v="394"/>
    <s v="12/07/2025"/>
    <x v="18"/>
    <x v="20"/>
    <x v="0"/>
    <x v="1"/>
    <x v="2"/>
    <x v="1"/>
    <x v="388"/>
    <n v="3"/>
    <n v="4.8"/>
    <n v="5"/>
    <x v="4"/>
  </r>
  <r>
    <x v="395"/>
    <s v="12/09/2025"/>
    <x v="15"/>
    <x v="3"/>
    <x v="3"/>
    <x v="0"/>
    <x v="0"/>
    <x v="2"/>
    <x v="389"/>
    <n v="4"/>
    <n v="3.7"/>
    <n v="2"/>
    <x v="5"/>
  </r>
  <r>
    <x v="396"/>
    <s v="05/09/2025"/>
    <x v="7"/>
    <x v="3"/>
    <x v="3"/>
    <x v="5"/>
    <x v="0"/>
    <x v="0"/>
    <x v="390"/>
    <n v="3"/>
    <n v="4.5999999999999996"/>
    <n v="3"/>
    <x v="5"/>
  </r>
  <r>
    <x v="397"/>
    <s v="18/07/2025"/>
    <x v="7"/>
    <x v="15"/>
    <x v="0"/>
    <x v="5"/>
    <x v="3"/>
    <x v="2"/>
    <x v="391"/>
    <n v="2"/>
    <n v="3.8"/>
    <n v="1"/>
    <x v="4"/>
  </r>
  <r>
    <x v="398"/>
    <s v="24/11/2025"/>
    <x v="7"/>
    <x v="6"/>
    <x v="1"/>
    <x v="2"/>
    <x v="0"/>
    <x v="0"/>
    <x v="392"/>
    <n v="4"/>
    <n v="4.2"/>
    <n v="8"/>
    <x v="11"/>
  </r>
  <r>
    <x v="399"/>
    <s v="08/01/2025"/>
    <x v="6"/>
    <x v="14"/>
    <x v="2"/>
    <x v="4"/>
    <x v="0"/>
    <x v="2"/>
    <x v="393"/>
    <n v="2"/>
    <n v="3.7"/>
    <n v="5"/>
    <x v="10"/>
  </r>
  <r>
    <x v="400"/>
    <s v="23/06/2025"/>
    <x v="2"/>
    <x v="19"/>
    <x v="2"/>
    <x v="0"/>
    <x v="1"/>
    <x v="3"/>
    <x v="394"/>
    <n v="8"/>
    <n v="3.3"/>
    <n v="7"/>
    <x v="9"/>
  </r>
  <r>
    <x v="401"/>
    <s v="12/11/2025"/>
    <x v="6"/>
    <x v="5"/>
    <x v="4"/>
    <x v="4"/>
    <x v="2"/>
    <x v="3"/>
    <x v="395"/>
    <n v="6"/>
    <n v="5"/>
    <n v="8"/>
    <x v="11"/>
  </r>
  <r>
    <x v="402"/>
    <s v="08/06/2025"/>
    <x v="5"/>
    <x v="15"/>
    <x v="0"/>
    <x v="4"/>
    <x v="3"/>
    <x v="1"/>
    <x v="396"/>
    <n v="8"/>
    <n v="3.7"/>
    <n v="6"/>
    <x v="9"/>
  </r>
  <r>
    <x v="403"/>
    <s v="16/01/2025"/>
    <x v="15"/>
    <x v="11"/>
    <x v="3"/>
    <x v="5"/>
    <x v="0"/>
    <x v="2"/>
    <x v="397"/>
    <n v="2"/>
    <n v="4.7"/>
    <n v="5"/>
    <x v="10"/>
  </r>
  <r>
    <x v="404"/>
    <s v="16/06/2025"/>
    <x v="10"/>
    <x v="3"/>
    <x v="3"/>
    <x v="4"/>
    <x v="1"/>
    <x v="3"/>
    <x v="398"/>
    <n v="2"/>
    <n v="3.9"/>
    <n v="4"/>
    <x v="9"/>
  </r>
  <r>
    <x v="405"/>
    <s v="17/04/2025"/>
    <x v="6"/>
    <x v="20"/>
    <x v="0"/>
    <x v="3"/>
    <x v="2"/>
    <x v="3"/>
    <x v="399"/>
    <n v="7"/>
    <n v="4.4000000000000004"/>
    <n v="2"/>
    <x v="2"/>
  </r>
  <r>
    <x v="406"/>
    <s v="19/02/2025"/>
    <x v="18"/>
    <x v="19"/>
    <x v="2"/>
    <x v="3"/>
    <x v="2"/>
    <x v="2"/>
    <x v="400"/>
    <n v="8"/>
    <n v="3.4"/>
    <n v="7"/>
    <x v="7"/>
  </r>
  <r>
    <x v="407"/>
    <s v="25/10/2025"/>
    <x v="19"/>
    <x v="7"/>
    <x v="4"/>
    <x v="4"/>
    <x v="3"/>
    <x v="1"/>
    <x v="401"/>
    <n v="1"/>
    <n v="3.9"/>
    <n v="8"/>
    <x v="1"/>
  </r>
  <r>
    <x v="408"/>
    <s v="11/08/2025"/>
    <x v="2"/>
    <x v="6"/>
    <x v="1"/>
    <x v="2"/>
    <x v="2"/>
    <x v="2"/>
    <x v="402"/>
    <n v="6"/>
    <n v="4.7"/>
    <n v="5"/>
    <x v="3"/>
  </r>
  <r>
    <x v="409"/>
    <s v="26/02/2025"/>
    <x v="5"/>
    <x v="6"/>
    <x v="1"/>
    <x v="3"/>
    <x v="1"/>
    <x v="0"/>
    <x v="403"/>
    <n v="5"/>
    <n v="4.3"/>
    <n v="7"/>
    <x v="7"/>
  </r>
  <r>
    <x v="410"/>
    <s v="13/03/2025"/>
    <x v="8"/>
    <x v="5"/>
    <x v="4"/>
    <x v="0"/>
    <x v="2"/>
    <x v="2"/>
    <x v="404"/>
    <n v="4"/>
    <n v="3.7"/>
    <n v="3"/>
    <x v="6"/>
  </r>
  <r>
    <x v="411"/>
    <s v="03/12/2025"/>
    <x v="4"/>
    <x v="5"/>
    <x v="4"/>
    <x v="4"/>
    <x v="1"/>
    <x v="3"/>
    <x v="405"/>
    <n v="7"/>
    <n v="4.7"/>
    <n v="7"/>
    <x v="8"/>
  </r>
  <r>
    <x v="412"/>
    <s v="16/07/2025"/>
    <x v="12"/>
    <x v="8"/>
    <x v="1"/>
    <x v="2"/>
    <x v="1"/>
    <x v="1"/>
    <x v="406"/>
    <n v="6"/>
    <n v="4.2"/>
    <n v="4"/>
    <x v="4"/>
  </r>
  <r>
    <x v="413"/>
    <s v="18/10/2025"/>
    <x v="8"/>
    <x v="0"/>
    <x v="0"/>
    <x v="1"/>
    <x v="3"/>
    <x v="3"/>
    <x v="407"/>
    <n v="8"/>
    <n v="4.9000000000000004"/>
    <n v="2"/>
    <x v="1"/>
  </r>
  <r>
    <x v="414"/>
    <s v="25/09/2025"/>
    <x v="4"/>
    <x v="1"/>
    <x v="1"/>
    <x v="0"/>
    <x v="3"/>
    <x v="2"/>
    <x v="408"/>
    <n v="2"/>
    <n v="4.5999999999999996"/>
    <n v="5"/>
    <x v="5"/>
  </r>
  <r>
    <x v="415"/>
    <s v="20/09/2025"/>
    <x v="4"/>
    <x v="11"/>
    <x v="3"/>
    <x v="1"/>
    <x v="3"/>
    <x v="1"/>
    <x v="409"/>
    <n v="8"/>
    <n v="3.7"/>
    <n v="1"/>
    <x v="5"/>
  </r>
  <r>
    <x v="416"/>
    <s v="24/10/2025"/>
    <x v="8"/>
    <x v="15"/>
    <x v="0"/>
    <x v="5"/>
    <x v="2"/>
    <x v="1"/>
    <x v="410"/>
    <n v="3"/>
    <n v="3.7"/>
    <n v="2"/>
    <x v="1"/>
  </r>
  <r>
    <x v="417"/>
    <s v="12/11/2025"/>
    <x v="17"/>
    <x v="2"/>
    <x v="2"/>
    <x v="2"/>
    <x v="0"/>
    <x v="1"/>
    <x v="411"/>
    <n v="5"/>
    <n v="3.5"/>
    <n v="3"/>
    <x v="11"/>
  </r>
  <r>
    <x v="418"/>
    <s v="03/04/2025"/>
    <x v="5"/>
    <x v="5"/>
    <x v="4"/>
    <x v="4"/>
    <x v="1"/>
    <x v="0"/>
    <x v="412"/>
    <n v="1"/>
    <n v="4.7"/>
    <n v="7"/>
    <x v="2"/>
  </r>
  <r>
    <x v="419"/>
    <s v="28/01/2025"/>
    <x v="10"/>
    <x v="13"/>
    <x v="4"/>
    <x v="4"/>
    <x v="1"/>
    <x v="3"/>
    <x v="413"/>
    <n v="5"/>
    <n v="4.0999999999999996"/>
    <n v="8"/>
    <x v="10"/>
  </r>
  <r>
    <x v="420"/>
    <s v="16/03/2025"/>
    <x v="7"/>
    <x v="4"/>
    <x v="3"/>
    <x v="5"/>
    <x v="3"/>
    <x v="3"/>
    <x v="414"/>
    <n v="7"/>
    <n v="3.8"/>
    <n v="1"/>
    <x v="6"/>
  </r>
  <r>
    <x v="421"/>
    <s v="21/06/2025"/>
    <x v="6"/>
    <x v="6"/>
    <x v="1"/>
    <x v="4"/>
    <x v="3"/>
    <x v="0"/>
    <x v="415"/>
    <n v="5"/>
    <n v="4"/>
    <n v="4"/>
    <x v="9"/>
  </r>
  <r>
    <x v="422"/>
    <s v="06/01/2025"/>
    <x v="15"/>
    <x v="19"/>
    <x v="2"/>
    <x v="4"/>
    <x v="3"/>
    <x v="1"/>
    <x v="416"/>
    <n v="1"/>
    <n v="3.4"/>
    <n v="8"/>
    <x v="10"/>
  </r>
  <r>
    <x v="423"/>
    <s v="13/01/2025"/>
    <x v="9"/>
    <x v="17"/>
    <x v="4"/>
    <x v="5"/>
    <x v="0"/>
    <x v="3"/>
    <x v="417"/>
    <n v="2"/>
    <n v="4.5"/>
    <n v="2"/>
    <x v="10"/>
  </r>
  <r>
    <x v="424"/>
    <s v="26/02/2025"/>
    <x v="16"/>
    <x v="9"/>
    <x v="1"/>
    <x v="1"/>
    <x v="3"/>
    <x v="1"/>
    <x v="418"/>
    <n v="3"/>
    <n v="4"/>
    <n v="5"/>
    <x v="7"/>
  </r>
  <r>
    <x v="425"/>
    <s v="22/05/2025"/>
    <x v="1"/>
    <x v="17"/>
    <x v="4"/>
    <x v="3"/>
    <x v="2"/>
    <x v="3"/>
    <x v="419"/>
    <n v="1"/>
    <n v="4.9000000000000004"/>
    <n v="5"/>
    <x v="0"/>
  </r>
  <r>
    <x v="426"/>
    <s v="02/04/2025"/>
    <x v="17"/>
    <x v="5"/>
    <x v="4"/>
    <x v="1"/>
    <x v="3"/>
    <x v="2"/>
    <x v="420"/>
    <n v="8"/>
    <n v="4.3"/>
    <n v="2"/>
    <x v="2"/>
  </r>
  <r>
    <x v="427"/>
    <s v="06/02/2025"/>
    <x v="5"/>
    <x v="0"/>
    <x v="0"/>
    <x v="2"/>
    <x v="0"/>
    <x v="1"/>
    <x v="421"/>
    <n v="5"/>
    <n v="4.4000000000000004"/>
    <n v="1"/>
    <x v="7"/>
  </r>
  <r>
    <x v="428"/>
    <s v="21/09/2025"/>
    <x v="14"/>
    <x v="3"/>
    <x v="3"/>
    <x v="0"/>
    <x v="3"/>
    <x v="1"/>
    <x v="422"/>
    <n v="8"/>
    <n v="3.6"/>
    <n v="7"/>
    <x v="5"/>
  </r>
  <r>
    <x v="429"/>
    <s v="29/01/2025"/>
    <x v="19"/>
    <x v="12"/>
    <x v="2"/>
    <x v="4"/>
    <x v="2"/>
    <x v="3"/>
    <x v="423"/>
    <n v="2"/>
    <n v="4.5999999999999996"/>
    <n v="5"/>
    <x v="10"/>
  </r>
  <r>
    <x v="430"/>
    <s v="23/12/2025"/>
    <x v="8"/>
    <x v="13"/>
    <x v="4"/>
    <x v="0"/>
    <x v="0"/>
    <x v="2"/>
    <x v="424"/>
    <n v="7"/>
    <n v="4"/>
    <n v="4"/>
    <x v="8"/>
  </r>
  <r>
    <x v="431"/>
    <s v="08/09/2025"/>
    <x v="0"/>
    <x v="9"/>
    <x v="1"/>
    <x v="0"/>
    <x v="3"/>
    <x v="2"/>
    <x v="425"/>
    <n v="7"/>
    <n v="4.9000000000000004"/>
    <n v="8"/>
    <x v="5"/>
  </r>
  <r>
    <x v="432"/>
    <s v="27/07/2025"/>
    <x v="9"/>
    <x v="14"/>
    <x v="2"/>
    <x v="0"/>
    <x v="0"/>
    <x v="3"/>
    <x v="426"/>
    <n v="2"/>
    <n v="4.5"/>
    <n v="4"/>
    <x v="4"/>
  </r>
  <r>
    <x v="433"/>
    <s v="13/11/2025"/>
    <x v="7"/>
    <x v="15"/>
    <x v="0"/>
    <x v="3"/>
    <x v="0"/>
    <x v="2"/>
    <x v="427"/>
    <n v="1"/>
    <n v="3.3"/>
    <n v="5"/>
    <x v="11"/>
  </r>
  <r>
    <x v="434"/>
    <s v="12/09/2025"/>
    <x v="6"/>
    <x v="0"/>
    <x v="0"/>
    <x v="5"/>
    <x v="0"/>
    <x v="1"/>
    <x v="428"/>
    <n v="4"/>
    <n v="3.9"/>
    <n v="2"/>
    <x v="5"/>
  </r>
  <r>
    <x v="435"/>
    <s v="31/10/2025"/>
    <x v="15"/>
    <x v="17"/>
    <x v="4"/>
    <x v="5"/>
    <x v="0"/>
    <x v="3"/>
    <x v="429"/>
    <n v="3"/>
    <n v="4.5999999999999996"/>
    <n v="3"/>
    <x v="1"/>
  </r>
  <r>
    <x v="436"/>
    <s v="10/03/2025"/>
    <x v="1"/>
    <x v="17"/>
    <x v="4"/>
    <x v="0"/>
    <x v="3"/>
    <x v="3"/>
    <x v="430"/>
    <n v="2"/>
    <n v="3.3"/>
    <n v="1"/>
    <x v="6"/>
  </r>
  <r>
    <x v="437"/>
    <s v="16/04/2025"/>
    <x v="4"/>
    <x v="18"/>
    <x v="3"/>
    <x v="1"/>
    <x v="2"/>
    <x v="0"/>
    <x v="431"/>
    <n v="3"/>
    <n v="3.6"/>
    <n v="3"/>
    <x v="2"/>
  </r>
  <r>
    <x v="438"/>
    <s v="18/11/2025"/>
    <x v="4"/>
    <x v="3"/>
    <x v="3"/>
    <x v="2"/>
    <x v="0"/>
    <x v="3"/>
    <x v="432"/>
    <n v="5"/>
    <n v="3.5"/>
    <n v="2"/>
    <x v="11"/>
  </r>
  <r>
    <x v="439"/>
    <s v="28/01/2025"/>
    <x v="2"/>
    <x v="13"/>
    <x v="4"/>
    <x v="1"/>
    <x v="3"/>
    <x v="1"/>
    <x v="433"/>
    <n v="4"/>
    <n v="3.5"/>
    <n v="1"/>
    <x v="10"/>
  </r>
  <r>
    <x v="440"/>
    <s v="09/05/2025"/>
    <x v="1"/>
    <x v="5"/>
    <x v="4"/>
    <x v="0"/>
    <x v="1"/>
    <x v="2"/>
    <x v="434"/>
    <n v="6"/>
    <n v="4.9000000000000004"/>
    <n v="3"/>
    <x v="0"/>
  </r>
  <r>
    <x v="441"/>
    <s v="16/08/2025"/>
    <x v="13"/>
    <x v="10"/>
    <x v="0"/>
    <x v="1"/>
    <x v="1"/>
    <x v="0"/>
    <x v="435"/>
    <n v="6"/>
    <n v="3.8"/>
    <n v="2"/>
    <x v="3"/>
  </r>
  <r>
    <x v="442"/>
    <s v="07/02/2025"/>
    <x v="1"/>
    <x v="18"/>
    <x v="3"/>
    <x v="3"/>
    <x v="3"/>
    <x v="0"/>
    <x v="436"/>
    <n v="8"/>
    <n v="3.6"/>
    <n v="8"/>
    <x v="7"/>
  </r>
  <r>
    <x v="443"/>
    <s v="20/11/2025"/>
    <x v="11"/>
    <x v="18"/>
    <x v="3"/>
    <x v="4"/>
    <x v="2"/>
    <x v="3"/>
    <x v="437"/>
    <n v="6"/>
    <n v="4.4000000000000004"/>
    <n v="1"/>
    <x v="11"/>
  </r>
  <r>
    <x v="444"/>
    <s v="29/03/2025"/>
    <x v="6"/>
    <x v="11"/>
    <x v="3"/>
    <x v="5"/>
    <x v="0"/>
    <x v="2"/>
    <x v="438"/>
    <n v="6"/>
    <n v="4.9000000000000004"/>
    <n v="3"/>
    <x v="6"/>
  </r>
  <r>
    <x v="445"/>
    <s v="21/04/2025"/>
    <x v="6"/>
    <x v="11"/>
    <x v="3"/>
    <x v="4"/>
    <x v="0"/>
    <x v="2"/>
    <x v="439"/>
    <n v="8"/>
    <n v="3.6"/>
    <n v="7"/>
    <x v="2"/>
  </r>
  <r>
    <x v="446"/>
    <s v="21/01/2025"/>
    <x v="17"/>
    <x v="3"/>
    <x v="3"/>
    <x v="3"/>
    <x v="0"/>
    <x v="2"/>
    <x v="440"/>
    <n v="8"/>
    <n v="4.0999999999999996"/>
    <n v="2"/>
    <x v="10"/>
  </r>
  <r>
    <x v="447"/>
    <s v="21/12/2025"/>
    <x v="0"/>
    <x v="1"/>
    <x v="1"/>
    <x v="3"/>
    <x v="3"/>
    <x v="0"/>
    <x v="441"/>
    <n v="7"/>
    <n v="4.4000000000000004"/>
    <n v="2"/>
    <x v="8"/>
  </r>
  <r>
    <x v="448"/>
    <s v="21/08/2025"/>
    <x v="9"/>
    <x v="3"/>
    <x v="3"/>
    <x v="3"/>
    <x v="3"/>
    <x v="2"/>
    <x v="442"/>
    <n v="8"/>
    <n v="4"/>
    <n v="1"/>
    <x v="3"/>
  </r>
  <r>
    <x v="449"/>
    <s v="19/05/2025"/>
    <x v="2"/>
    <x v="12"/>
    <x v="2"/>
    <x v="0"/>
    <x v="1"/>
    <x v="1"/>
    <x v="443"/>
    <n v="4"/>
    <n v="4.0999999999999996"/>
    <n v="6"/>
    <x v="0"/>
  </r>
  <r>
    <x v="450"/>
    <s v="07/07/2025"/>
    <x v="10"/>
    <x v="3"/>
    <x v="3"/>
    <x v="0"/>
    <x v="1"/>
    <x v="0"/>
    <x v="444"/>
    <n v="6"/>
    <n v="5"/>
    <n v="4"/>
    <x v="4"/>
  </r>
  <r>
    <x v="451"/>
    <s v="30/06/2025"/>
    <x v="14"/>
    <x v="13"/>
    <x v="4"/>
    <x v="5"/>
    <x v="2"/>
    <x v="3"/>
    <x v="445"/>
    <n v="5"/>
    <n v="3.9"/>
    <n v="8"/>
    <x v="9"/>
  </r>
  <r>
    <x v="452"/>
    <s v="20/08/2025"/>
    <x v="3"/>
    <x v="6"/>
    <x v="1"/>
    <x v="0"/>
    <x v="2"/>
    <x v="0"/>
    <x v="446"/>
    <n v="6"/>
    <n v="3.3"/>
    <n v="3"/>
    <x v="3"/>
  </r>
  <r>
    <x v="453"/>
    <s v="23/12/2025"/>
    <x v="10"/>
    <x v="14"/>
    <x v="2"/>
    <x v="4"/>
    <x v="1"/>
    <x v="1"/>
    <x v="447"/>
    <n v="3"/>
    <n v="3.2"/>
    <n v="7"/>
    <x v="8"/>
  </r>
  <r>
    <x v="454"/>
    <s v="27/11/2025"/>
    <x v="16"/>
    <x v="11"/>
    <x v="3"/>
    <x v="5"/>
    <x v="3"/>
    <x v="1"/>
    <x v="448"/>
    <n v="1"/>
    <n v="4.7"/>
    <n v="6"/>
    <x v="11"/>
  </r>
  <r>
    <x v="455"/>
    <s v="23/08/2025"/>
    <x v="3"/>
    <x v="11"/>
    <x v="3"/>
    <x v="0"/>
    <x v="0"/>
    <x v="1"/>
    <x v="449"/>
    <n v="5"/>
    <n v="3.6"/>
    <n v="6"/>
    <x v="3"/>
  </r>
  <r>
    <x v="456"/>
    <s v="27/03/2025"/>
    <x v="1"/>
    <x v="12"/>
    <x v="2"/>
    <x v="4"/>
    <x v="2"/>
    <x v="2"/>
    <x v="450"/>
    <n v="3"/>
    <n v="4.7"/>
    <n v="3"/>
    <x v="6"/>
  </r>
  <r>
    <x v="457"/>
    <s v="06/03/2025"/>
    <x v="15"/>
    <x v="19"/>
    <x v="2"/>
    <x v="4"/>
    <x v="3"/>
    <x v="3"/>
    <x v="451"/>
    <n v="8"/>
    <n v="4.5"/>
    <n v="6"/>
    <x v="6"/>
  </r>
  <r>
    <x v="458"/>
    <s v="01/10/2025"/>
    <x v="8"/>
    <x v="9"/>
    <x v="1"/>
    <x v="0"/>
    <x v="3"/>
    <x v="1"/>
    <x v="452"/>
    <n v="5"/>
    <n v="4.9000000000000004"/>
    <n v="6"/>
    <x v="1"/>
  </r>
  <r>
    <x v="459"/>
    <s v="21/10/2025"/>
    <x v="10"/>
    <x v="4"/>
    <x v="3"/>
    <x v="0"/>
    <x v="3"/>
    <x v="2"/>
    <x v="453"/>
    <n v="3"/>
    <n v="4.8"/>
    <n v="3"/>
    <x v="1"/>
  </r>
  <r>
    <x v="460"/>
    <s v="17/08/2025"/>
    <x v="11"/>
    <x v="18"/>
    <x v="3"/>
    <x v="4"/>
    <x v="2"/>
    <x v="2"/>
    <x v="454"/>
    <n v="6"/>
    <n v="3.6"/>
    <n v="4"/>
    <x v="3"/>
  </r>
  <r>
    <x v="461"/>
    <s v="13/12/2025"/>
    <x v="15"/>
    <x v="8"/>
    <x v="1"/>
    <x v="3"/>
    <x v="0"/>
    <x v="3"/>
    <x v="455"/>
    <n v="2"/>
    <n v="4.3"/>
    <n v="1"/>
    <x v="8"/>
  </r>
  <r>
    <x v="462"/>
    <s v="10/07/2025"/>
    <x v="19"/>
    <x v="12"/>
    <x v="2"/>
    <x v="1"/>
    <x v="1"/>
    <x v="3"/>
    <x v="456"/>
    <n v="1"/>
    <n v="4.8"/>
    <n v="2"/>
    <x v="4"/>
  </r>
  <r>
    <x v="463"/>
    <s v="25/03/2025"/>
    <x v="3"/>
    <x v="4"/>
    <x v="3"/>
    <x v="3"/>
    <x v="3"/>
    <x v="2"/>
    <x v="457"/>
    <n v="7"/>
    <n v="3.4"/>
    <n v="4"/>
    <x v="6"/>
  </r>
  <r>
    <x v="464"/>
    <s v="15/02/2025"/>
    <x v="19"/>
    <x v="8"/>
    <x v="1"/>
    <x v="4"/>
    <x v="1"/>
    <x v="1"/>
    <x v="458"/>
    <n v="1"/>
    <n v="4"/>
    <n v="3"/>
    <x v="7"/>
  </r>
  <r>
    <x v="465"/>
    <s v="22/01/2025"/>
    <x v="8"/>
    <x v="8"/>
    <x v="1"/>
    <x v="2"/>
    <x v="3"/>
    <x v="3"/>
    <x v="459"/>
    <n v="5"/>
    <n v="3.6"/>
    <n v="1"/>
    <x v="10"/>
  </r>
  <r>
    <x v="466"/>
    <s v="02/08/2025"/>
    <x v="4"/>
    <x v="20"/>
    <x v="0"/>
    <x v="1"/>
    <x v="3"/>
    <x v="3"/>
    <x v="460"/>
    <n v="3"/>
    <n v="4.0999999999999996"/>
    <n v="2"/>
    <x v="3"/>
  </r>
  <r>
    <x v="467"/>
    <s v="13/05/2025"/>
    <x v="1"/>
    <x v="8"/>
    <x v="1"/>
    <x v="5"/>
    <x v="2"/>
    <x v="0"/>
    <x v="461"/>
    <n v="8"/>
    <n v="3.2"/>
    <n v="5"/>
    <x v="0"/>
  </r>
  <r>
    <x v="468"/>
    <s v="21/12/2025"/>
    <x v="2"/>
    <x v="12"/>
    <x v="2"/>
    <x v="2"/>
    <x v="3"/>
    <x v="2"/>
    <x v="462"/>
    <n v="3"/>
    <n v="4"/>
    <n v="6"/>
    <x v="8"/>
  </r>
  <r>
    <x v="469"/>
    <s v="18/11/2025"/>
    <x v="11"/>
    <x v="9"/>
    <x v="1"/>
    <x v="1"/>
    <x v="3"/>
    <x v="2"/>
    <x v="463"/>
    <n v="3"/>
    <n v="4.7"/>
    <n v="5"/>
    <x v="11"/>
  </r>
  <r>
    <x v="470"/>
    <s v="15/03/2025"/>
    <x v="7"/>
    <x v="6"/>
    <x v="1"/>
    <x v="4"/>
    <x v="0"/>
    <x v="0"/>
    <x v="464"/>
    <n v="1"/>
    <n v="3.9"/>
    <n v="3"/>
    <x v="6"/>
  </r>
  <r>
    <x v="471"/>
    <s v="02/08/2025"/>
    <x v="8"/>
    <x v="17"/>
    <x v="4"/>
    <x v="3"/>
    <x v="3"/>
    <x v="0"/>
    <x v="465"/>
    <n v="8"/>
    <n v="3.8"/>
    <n v="6"/>
    <x v="3"/>
  </r>
  <r>
    <x v="472"/>
    <s v="02/03/2025"/>
    <x v="16"/>
    <x v="14"/>
    <x v="2"/>
    <x v="1"/>
    <x v="2"/>
    <x v="2"/>
    <x v="466"/>
    <n v="4"/>
    <n v="3.6"/>
    <n v="2"/>
    <x v="6"/>
  </r>
  <r>
    <x v="473"/>
    <s v="09/08/2025"/>
    <x v="11"/>
    <x v="15"/>
    <x v="0"/>
    <x v="0"/>
    <x v="2"/>
    <x v="1"/>
    <x v="467"/>
    <n v="1"/>
    <n v="3.3"/>
    <n v="2"/>
    <x v="3"/>
  </r>
  <r>
    <x v="474"/>
    <s v="05/03/2025"/>
    <x v="6"/>
    <x v="0"/>
    <x v="0"/>
    <x v="2"/>
    <x v="3"/>
    <x v="0"/>
    <x v="468"/>
    <n v="4"/>
    <n v="3.4"/>
    <n v="5"/>
    <x v="6"/>
  </r>
  <r>
    <x v="475"/>
    <s v="16/09/2025"/>
    <x v="10"/>
    <x v="9"/>
    <x v="1"/>
    <x v="0"/>
    <x v="2"/>
    <x v="0"/>
    <x v="469"/>
    <n v="2"/>
    <n v="4.9000000000000004"/>
    <n v="3"/>
    <x v="5"/>
  </r>
  <r>
    <x v="476"/>
    <s v="07/07/2025"/>
    <x v="16"/>
    <x v="8"/>
    <x v="1"/>
    <x v="0"/>
    <x v="3"/>
    <x v="2"/>
    <x v="470"/>
    <n v="3"/>
    <n v="4"/>
    <n v="4"/>
    <x v="4"/>
  </r>
  <r>
    <x v="477"/>
    <s v="24/09/2025"/>
    <x v="7"/>
    <x v="3"/>
    <x v="3"/>
    <x v="3"/>
    <x v="3"/>
    <x v="3"/>
    <x v="471"/>
    <n v="3"/>
    <n v="3.3"/>
    <n v="8"/>
    <x v="5"/>
  </r>
  <r>
    <x v="478"/>
    <s v="18/12/2025"/>
    <x v="15"/>
    <x v="6"/>
    <x v="1"/>
    <x v="4"/>
    <x v="2"/>
    <x v="3"/>
    <x v="472"/>
    <n v="8"/>
    <n v="4.7"/>
    <n v="8"/>
    <x v="8"/>
  </r>
  <r>
    <x v="479"/>
    <s v="13/08/2025"/>
    <x v="9"/>
    <x v="15"/>
    <x v="0"/>
    <x v="2"/>
    <x v="0"/>
    <x v="1"/>
    <x v="473"/>
    <n v="2"/>
    <n v="5"/>
    <n v="3"/>
    <x v="3"/>
  </r>
  <r>
    <x v="480"/>
    <s v="04/03/2025"/>
    <x v="15"/>
    <x v="5"/>
    <x v="4"/>
    <x v="3"/>
    <x v="1"/>
    <x v="3"/>
    <x v="474"/>
    <n v="4"/>
    <n v="3.7"/>
    <n v="7"/>
    <x v="6"/>
  </r>
  <r>
    <x v="481"/>
    <s v="17/03/2025"/>
    <x v="0"/>
    <x v="6"/>
    <x v="1"/>
    <x v="0"/>
    <x v="2"/>
    <x v="2"/>
    <x v="475"/>
    <n v="8"/>
    <n v="3.6"/>
    <n v="3"/>
    <x v="6"/>
  </r>
  <r>
    <x v="482"/>
    <s v="02/04/2025"/>
    <x v="12"/>
    <x v="3"/>
    <x v="3"/>
    <x v="3"/>
    <x v="1"/>
    <x v="0"/>
    <x v="176"/>
    <n v="7"/>
    <n v="4.3"/>
    <n v="2"/>
    <x v="2"/>
  </r>
  <r>
    <x v="483"/>
    <s v="09/09/2025"/>
    <x v="16"/>
    <x v="12"/>
    <x v="2"/>
    <x v="0"/>
    <x v="1"/>
    <x v="3"/>
    <x v="476"/>
    <n v="5"/>
    <n v="4.9000000000000004"/>
    <n v="1"/>
    <x v="5"/>
  </r>
  <r>
    <x v="484"/>
    <s v="15/08/2025"/>
    <x v="1"/>
    <x v="12"/>
    <x v="2"/>
    <x v="3"/>
    <x v="1"/>
    <x v="0"/>
    <x v="477"/>
    <n v="8"/>
    <n v="4.7"/>
    <n v="5"/>
    <x v="3"/>
  </r>
  <r>
    <x v="485"/>
    <s v="07/09/2025"/>
    <x v="12"/>
    <x v="12"/>
    <x v="2"/>
    <x v="0"/>
    <x v="1"/>
    <x v="1"/>
    <x v="478"/>
    <n v="2"/>
    <n v="4"/>
    <n v="3"/>
    <x v="5"/>
  </r>
  <r>
    <x v="486"/>
    <s v="12/11/2025"/>
    <x v="15"/>
    <x v="11"/>
    <x v="3"/>
    <x v="1"/>
    <x v="2"/>
    <x v="1"/>
    <x v="352"/>
    <n v="6"/>
    <n v="3.3"/>
    <n v="6"/>
    <x v="11"/>
  </r>
  <r>
    <x v="487"/>
    <s v="08/08/2025"/>
    <x v="3"/>
    <x v="3"/>
    <x v="3"/>
    <x v="5"/>
    <x v="2"/>
    <x v="2"/>
    <x v="479"/>
    <n v="6"/>
    <n v="3.6"/>
    <n v="4"/>
    <x v="3"/>
  </r>
  <r>
    <x v="488"/>
    <s v="22/06/2025"/>
    <x v="6"/>
    <x v="14"/>
    <x v="2"/>
    <x v="5"/>
    <x v="1"/>
    <x v="1"/>
    <x v="480"/>
    <n v="3"/>
    <n v="4.4000000000000004"/>
    <n v="7"/>
    <x v="9"/>
  </r>
  <r>
    <x v="489"/>
    <s v="29/10/2025"/>
    <x v="7"/>
    <x v="15"/>
    <x v="0"/>
    <x v="1"/>
    <x v="0"/>
    <x v="1"/>
    <x v="481"/>
    <n v="1"/>
    <n v="4.2"/>
    <n v="8"/>
    <x v="1"/>
  </r>
  <r>
    <x v="490"/>
    <s v="27/03/2025"/>
    <x v="10"/>
    <x v="4"/>
    <x v="3"/>
    <x v="4"/>
    <x v="3"/>
    <x v="1"/>
    <x v="482"/>
    <n v="5"/>
    <n v="4.7"/>
    <n v="2"/>
    <x v="6"/>
  </r>
  <r>
    <x v="491"/>
    <s v="21/10/2025"/>
    <x v="6"/>
    <x v="20"/>
    <x v="0"/>
    <x v="5"/>
    <x v="1"/>
    <x v="3"/>
    <x v="483"/>
    <n v="7"/>
    <n v="3.8"/>
    <n v="2"/>
    <x v="1"/>
  </r>
  <r>
    <x v="492"/>
    <s v="09/02/2025"/>
    <x v="11"/>
    <x v="13"/>
    <x v="4"/>
    <x v="5"/>
    <x v="1"/>
    <x v="0"/>
    <x v="484"/>
    <n v="5"/>
    <n v="3.6"/>
    <n v="7"/>
    <x v="7"/>
  </r>
  <r>
    <x v="493"/>
    <s v="23/10/2025"/>
    <x v="6"/>
    <x v="10"/>
    <x v="0"/>
    <x v="1"/>
    <x v="2"/>
    <x v="0"/>
    <x v="485"/>
    <n v="8"/>
    <n v="4.7"/>
    <n v="7"/>
    <x v="1"/>
  </r>
  <r>
    <x v="494"/>
    <s v="17/03/2025"/>
    <x v="19"/>
    <x v="12"/>
    <x v="2"/>
    <x v="3"/>
    <x v="3"/>
    <x v="1"/>
    <x v="486"/>
    <n v="4"/>
    <n v="4.7"/>
    <n v="2"/>
    <x v="6"/>
  </r>
  <r>
    <x v="495"/>
    <s v="18/12/2025"/>
    <x v="17"/>
    <x v="13"/>
    <x v="4"/>
    <x v="3"/>
    <x v="1"/>
    <x v="3"/>
    <x v="487"/>
    <n v="4"/>
    <n v="3.2"/>
    <n v="5"/>
    <x v="8"/>
  </r>
  <r>
    <x v="496"/>
    <s v="23/03/2025"/>
    <x v="14"/>
    <x v="10"/>
    <x v="0"/>
    <x v="0"/>
    <x v="2"/>
    <x v="2"/>
    <x v="488"/>
    <n v="5"/>
    <n v="4.2"/>
    <n v="1"/>
    <x v="6"/>
  </r>
  <r>
    <x v="497"/>
    <s v="02/06/2025"/>
    <x v="12"/>
    <x v="19"/>
    <x v="2"/>
    <x v="1"/>
    <x v="3"/>
    <x v="3"/>
    <x v="489"/>
    <n v="2"/>
    <n v="3.6"/>
    <n v="2"/>
    <x v="9"/>
  </r>
  <r>
    <x v="498"/>
    <s v="04/11/2025"/>
    <x v="8"/>
    <x v="10"/>
    <x v="0"/>
    <x v="0"/>
    <x v="0"/>
    <x v="0"/>
    <x v="490"/>
    <n v="2"/>
    <n v="4.9000000000000004"/>
    <n v="4"/>
    <x v="11"/>
  </r>
  <r>
    <x v="499"/>
    <s v="29/07/2025"/>
    <x v="18"/>
    <x v="12"/>
    <x v="2"/>
    <x v="5"/>
    <x v="1"/>
    <x v="3"/>
    <x v="491"/>
    <n v="5"/>
    <n v="4.5"/>
    <n v="2"/>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5BDDA11-5E75-4A4C-8DE1-8D5721CBAA8E}" name="PivotTable16" cacheId="0" dataOnRows="1" applyNumberFormats="0" applyBorderFormats="0" applyFontFormats="0" applyPatternFormats="0" applyAlignmentFormats="0" applyWidthHeightFormats="1" dataCaption="Values" updatedVersion="7" minRefreshableVersion="3" itemPrintTitles="1" createdVersion="7" indent="0" outline="1" outlineData="1" multipleFieldFilters="0" chartFormat="4">
  <location ref="I3:J9" firstHeaderRow="1" firstDataRow="1" firstDataCol="1"/>
  <pivotFields count="13">
    <pivotField showAll="0"/>
    <pivotField showAll="0"/>
    <pivotField showAll="0"/>
    <pivotField axis="axisRow" showAll="0" measureFilter="1">
      <items count="22">
        <item x="12"/>
        <item x="6"/>
        <item x="5"/>
        <item x="1"/>
        <item x="13"/>
        <item x="20"/>
        <item x="2"/>
        <item x="4"/>
        <item x="8"/>
        <item x="14"/>
        <item x="15"/>
        <item x="16"/>
        <item x="9"/>
        <item x="17"/>
        <item x="10"/>
        <item x="7"/>
        <item x="0"/>
        <item x="3"/>
        <item x="19"/>
        <item x="18"/>
        <item x="11"/>
        <item t="default"/>
      </items>
    </pivotField>
    <pivotField showAll="0">
      <items count="6">
        <item x="0"/>
        <item x="4"/>
        <item x="2"/>
        <item x="3"/>
        <item x="1"/>
        <item t="default"/>
      </items>
    </pivotField>
    <pivotField showAll="0"/>
    <pivotField showAll="0">
      <items count="5">
        <item x="2"/>
        <item x="0"/>
        <item x="3"/>
        <item x="1"/>
        <item t="default"/>
      </items>
    </pivotField>
    <pivotField showAll="0">
      <items count="5">
        <item x="2"/>
        <item x="0"/>
        <item x="1"/>
        <item x="3"/>
        <item t="default"/>
      </items>
    </pivotField>
    <pivotField dataField="1" showAll="0"/>
    <pivotField showAll="0"/>
    <pivotField showAll="0"/>
    <pivotField showAll="0"/>
    <pivotField showAll="0">
      <items count="13">
        <item x="10"/>
        <item x="7"/>
        <item x="6"/>
        <item x="2"/>
        <item x="0"/>
        <item x="9"/>
        <item x="4"/>
        <item x="3"/>
        <item x="5"/>
        <item x="1"/>
        <item x="11"/>
        <item x="8"/>
        <item t="default"/>
      </items>
    </pivotField>
  </pivotFields>
  <rowFields count="1">
    <field x="3"/>
  </rowFields>
  <rowItems count="6">
    <i>
      <x/>
    </i>
    <i>
      <x v="6"/>
    </i>
    <i>
      <x v="9"/>
    </i>
    <i>
      <x v="11"/>
    </i>
    <i>
      <x v="18"/>
    </i>
    <i t="grand">
      <x/>
    </i>
  </rowItems>
  <colItems count="1">
    <i/>
  </colItems>
  <dataFields count="1">
    <dataField name="Sum of Sales" fld="8" baseField="0" baseItem="0"/>
  </dataFields>
  <formats count="1">
    <format dxfId="99">
      <pivotArea collapsedLevelsAreSubtotals="1" fieldPosition="0">
        <references count="1">
          <reference field="4294967294" count="1">
            <x v="0"/>
          </reference>
        </references>
      </pivotArea>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67992B8-6AC2-4E28-89B2-6752CCA7E050}" name="PivotTable15" cacheId="0" dataOnRows="1" applyNumberFormats="0" applyBorderFormats="0" applyFontFormats="0" applyPatternFormats="0" applyAlignmentFormats="0" applyWidthHeightFormats="1" dataCaption="Values" updatedVersion="7" minRefreshableVersion="3" itemPrintTitles="1" createdVersion="7" indent="0" outline="1" outlineData="1" multipleFieldFilters="0" chartFormat="4">
  <location ref="G3:H8" firstHeaderRow="1" firstDataRow="1" firstDataCol="1"/>
  <pivotFields count="13">
    <pivotField showAll="0"/>
    <pivotField showAll="0"/>
    <pivotField showAll="0"/>
    <pivotField showAll="0"/>
    <pivotField showAll="0">
      <items count="6">
        <item x="0"/>
        <item x="4"/>
        <item x="2"/>
        <item x="3"/>
        <item x="1"/>
        <item t="default"/>
      </items>
    </pivotField>
    <pivotField showAll="0"/>
    <pivotField showAll="0">
      <items count="5">
        <item x="2"/>
        <item x="0"/>
        <item x="3"/>
        <item x="1"/>
        <item t="default"/>
      </items>
    </pivotField>
    <pivotField axis="axisRow" showAll="0">
      <items count="5">
        <item x="2"/>
        <item x="0"/>
        <item x="1"/>
        <item x="3"/>
        <item t="default"/>
      </items>
    </pivotField>
    <pivotField dataField="1" showAll="0"/>
    <pivotField showAll="0"/>
    <pivotField showAll="0"/>
    <pivotField showAll="0"/>
    <pivotField showAll="0">
      <items count="13">
        <item x="10"/>
        <item x="7"/>
        <item x="6"/>
        <item x="2"/>
        <item x="0"/>
        <item x="9"/>
        <item x="4"/>
        <item x="3"/>
        <item x="5"/>
        <item x="1"/>
        <item x="11"/>
        <item x="8"/>
        <item t="default"/>
      </items>
    </pivotField>
  </pivotFields>
  <rowFields count="1">
    <field x="7"/>
  </rowFields>
  <rowItems count="5">
    <i>
      <x/>
    </i>
    <i>
      <x v="1"/>
    </i>
    <i>
      <x v="2"/>
    </i>
    <i>
      <x v="3"/>
    </i>
    <i t="grand">
      <x/>
    </i>
  </rowItems>
  <colItems count="1">
    <i/>
  </colItems>
  <dataFields count="1">
    <dataField name="Sum of Sales" fld="8" baseField="0" baseItem="0"/>
  </dataFields>
  <formats count="2">
    <format dxfId="101">
      <pivotArea collapsedLevelsAreSubtotals="1" fieldPosition="0">
        <references count="1">
          <reference field="4294967294" count="1">
            <x v="0"/>
          </reference>
        </references>
      </pivotArea>
    </format>
    <format dxfId="100">
      <pivotArea dataOnly="0" fieldPosition="0">
        <references count="1">
          <reference field="7" count="1">
            <x v="0"/>
          </reference>
        </references>
      </pivotArea>
    </format>
  </formats>
  <chartFormats count="10">
    <chartFormat chart="0" format="0"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7" count="1" selected="0">
            <x v="0"/>
          </reference>
        </references>
      </pivotArea>
    </chartFormat>
    <chartFormat chart="3" format="8">
      <pivotArea type="data" outline="0" fieldPosition="0">
        <references count="2">
          <reference field="4294967294" count="1" selected="0">
            <x v="0"/>
          </reference>
          <reference field="7" count="1" selected="0">
            <x v="1"/>
          </reference>
        </references>
      </pivotArea>
    </chartFormat>
    <chartFormat chart="3" format="9">
      <pivotArea type="data" outline="0" fieldPosition="0">
        <references count="2">
          <reference field="4294967294" count="1" selected="0">
            <x v="0"/>
          </reference>
          <reference field="7" count="1" selected="0">
            <x v="2"/>
          </reference>
        </references>
      </pivotArea>
    </chartFormat>
    <chartFormat chart="3" format="10">
      <pivotArea type="data" outline="0" fieldPosition="0">
        <references count="2">
          <reference field="4294967294" count="1" selected="0">
            <x v="0"/>
          </reference>
          <reference field="7" count="1" selected="0">
            <x v="3"/>
          </reference>
        </references>
      </pivotArea>
    </chartFormat>
    <chartFormat chart="0" format="1">
      <pivotArea type="data" outline="0" fieldPosition="0">
        <references count="2">
          <reference field="4294967294" count="1" selected="0">
            <x v="0"/>
          </reference>
          <reference field="7" count="1" selected="0">
            <x v="0"/>
          </reference>
        </references>
      </pivotArea>
    </chartFormat>
    <chartFormat chart="0" format="2">
      <pivotArea type="data" outline="0" fieldPosition="0">
        <references count="2">
          <reference field="4294967294" count="1" selected="0">
            <x v="0"/>
          </reference>
          <reference field="7" count="1" selected="0">
            <x v="1"/>
          </reference>
        </references>
      </pivotArea>
    </chartFormat>
    <chartFormat chart="0" format="3">
      <pivotArea type="data" outline="0" fieldPosition="0">
        <references count="2">
          <reference field="4294967294" count="1" selected="0">
            <x v="0"/>
          </reference>
          <reference field="7" count="1" selected="0">
            <x v="2"/>
          </reference>
        </references>
      </pivotArea>
    </chartFormat>
    <chartFormat chart="0" format="4">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75D285C-8C56-4C56-819D-965CAE1746BD}" name="PivotTable14" cacheId="0" dataOnRows="1" applyNumberFormats="0" applyBorderFormats="0" applyFontFormats="0" applyPatternFormats="0" applyAlignmentFormats="0" applyWidthHeightFormats="1" dataCaption="Values" updatedVersion="7" minRefreshableVersion="3" itemPrintTitles="1" createdVersion="7" indent="0" outline="1" outlineData="1" multipleFieldFilters="0" chartFormat="4">
  <location ref="E3:F9" firstHeaderRow="1" firstDataRow="1" firstDataCol="1"/>
  <pivotFields count="13">
    <pivotField showAll="0"/>
    <pivotField showAll="0"/>
    <pivotField showAll="0"/>
    <pivotField showAll="0"/>
    <pivotField axis="axisRow" showAll="0" sortType="ascending">
      <items count="6">
        <item x="0"/>
        <item x="4"/>
        <item x="2"/>
        <item x="3"/>
        <item x="1"/>
        <item t="default"/>
      </items>
      <autoSortScope>
        <pivotArea dataOnly="0" outline="0" fieldPosition="0">
          <references count="1">
            <reference field="4294967294" count="1" selected="0">
              <x v="0"/>
            </reference>
          </references>
        </pivotArea>
      </autoSortScope>
    </pivotField>
    <pivotField showAll="0"/>
    <pivotField showAll="0">
      <items count="5">
        <item x="2"/>
        <item x="0"/>
        <item x="3"/>
        <item x="1"/>
        <item t="default"/>
      </items>
    </pivotField>
    <pivotField showAll="0">
      <items count="5">
        <item x="2"/>
        <item x="0"/>
        <item x="1"/>
        <item x="3"/>
        <item t="default"/>
      </items>
    </pivotField>
    <pivotField dataField="1" showAll="0"/>
    <pivotField showAll="0"/>
    <pivotField showAll="0"/>
    <pivotField showAll="0"/>
    <pivotField showAll="0">
      <items count="13">
        <item x="10"/>
        <item x="7"/>
        <item x="6"/>
        <item x="2"/>
        <item x="0"/>
        <item x="9"/>
        <item x="4"/>
        <item x="3"/>
        <item x="5"/>
        <item x="1"/>
        <item x="11"/>
        <item x="8"/>
        <item t="default"/>
      </items>
    </pivotField>
  </pivotFields>
  <rowFields count="1">
    <field x="4"/>
  </rowFields>
  <rowItems count="6">
    <i>
      <x/>
    </i>
    <i>
      <x v="1"/>
    </i>
    <i>
      <x v="3"/>
    </i>
    <i>
      <x v="4"/>
    </i>
    <i>
      <x v="2"/>
    </i>
    <i t="grand">
      <x/>
    </i>
  </rowItems>
  <colItems count="1">
    <i/>
  </colItems>
  <dataFields count="1">
    <dataField name="Sum of Sales" fld="8" baseField="0" baseItem="0"/>
  </dataFields>
  <formats count="1">
    <format dxfId="102">
      <pivotArea collapsedLevelsAreSubtotals="1" fieldPosition="0">
        <references count="1">
          <reference field="4294967294" count="1">
            <x v="0"/>
          </reference>
        </references>
      </pivotArea>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E96D26A-D856-4125-B2ED-07AD5BC0453D}" name="PivotTable13" cacheId="0" dataOnRows="1" applyNumberFormats="0" applyBorderFormats="0" applyFontFormats="0" applyPatternFormats="0" applyAlignmentFormats="0" applyWidthHeightFormats="1" dataCaption="Values" updatedVersion="7" minRefreshableVersion="3" itemPrintTitles="1" createdVersion="7" indent="0" outline="1" outlineData="1" multipleFieldFilters="0" chartFormat="4">
  <location ref="C3:D16" firstHeaderRow="1" firstDataRow="1" firstDataCol="1"/>
  <pivotFields count="13">
    <pivotField showAll="0"/>
    <pivotField showAll="0"/>
    <pivotField showAll="0"/>
    <pivotField showAll="0"/>
    <pivotField showAll="0"/>
    <pivotField showAll="0"/>
    <pivotField showAll="0">
      <items count="5">
        <item x="2"/>
        <item x="0"/>
        <item x="3"/>
        <item x="1"/>
        <item t="default"/>
      </items>
    </pivotField>
    <pivotField showAll="0">
      <items count="5">
        <item x="2"/>
        <item x="0"/>
        <item x="1"/>
        <item x="3"/>
        <item t="default"/>
      </items>
    </pivotField>
    <pivotField dataField="1" showAll="0"/>
    <pivotField showAll="0"/>
    <pivotField showAll="0"/>
    <pivotField showAll="0"/>
    <pivotField axis="axisRow" showAll="0">
      <items count="13">
        <item x="10"/>
        <item x="7"/>
        <item x="6"/>
        <item x="2"/>
        <item x="0"/>
        <item x="9"/>
        <item x="4"/>
        <item x="3"/>
        <item x="5"/>
        <item x="1"/>
        <item x="11"/>
        <item x="8"/>
        <item t="default"/>
      </items>
    </pivotField>
  </pivotFields>
  <rowFields count="1">
    <field x="12"/>
  </rowFields>
  <rowItems count="13">
    <i>
      <x/>
    </i>
    <i>
      <x v="1"/>
    </i>
    <i>
      <x v="2"/>
    </i>
    <i>
      <x v="3"/>
    </i>
    <i>
      <x v="4"/>
    </i>
    <i>
      <x v="5"/>
    </i>
    <i>
      <x v="6"/>
    </i>
    <i>
      <x v="7"/>
    </i>
    <i>
      <x v="8"/>
    </i>
    <i>
      <x v="9"/>
    </i>
    <i>
      <x v="10"/>
    </i>
    <i>
      <x v="11"/>
    </i>
    <i t="grand">
      <x/>
    </i>
  </rowItems>
  <colItems count="1">
    <i/>
  </colItems>
  <dataFields count="1">
    <dataField name="Sum of Sales" fld="8" baseField="0" baseItem="0"/>
  </dataFields>
  <formats count="1">
    <format dxfId="103">
      <pivotArea collapsedLevelsAreSubtotals="1" fieldPosition="0">
        <references count="1">
          <reference field="4294967294" count="1">
            <x v="0"/>
          </reference>
        </references>
      </pivotArea>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5ECDA63-7AF9-47B5-9C1D-D021A2C8148C}" name="PivotTable18" cacheId="0" dataOnRows="1" applyNumberFormats="0" applyBorderFormats="0" applyFontFormats="0" applyPatternFormats="0" applyAlignmentFormats="0" applyWidthHeightFormats="1" dataCaption="Values" updatedVersion="7" minRefreshableVersion="3" itemPrintTitles="1" createdVersion="7" indent="0" outline="1" outlineData="1" multipleFieldFilters="0">
  <location ref="V3:W10" firstHeaderRow="1" firstDataRow="1" firstDataCol="1"/>
  <pivotFields count="13">
    <pivotField showAll="0"/>
    <pivotField showAll="0"/>
    <pivotField showAll="0"/>
    <pivotField showAll="0" measureFilter="1">
      <items count="22">
        <item x="12"/>
        <item x="6"/>
        <item x="5"/>
        <item x="1"/>
        <item x="13"/>
        <item x="20"/>
        <item x="2"/>
        <item x="4"/>
        <item x="8"/>
        <item x="14"/>
        <item x="15"/>
        <item x="16"/>
        <item x="9"/>
        <item x="17"/>
        <item x="10"/>
        <item x="7"/>
        <item x="0"/>
        <item x="3"/>
        <item x="19"/>
        <item x="18"/>
        <item x="11"/>
        <item t="default"/>
      </items>
    </pivotField>
    <pivotField showAll="0">
      <items count="6">
        <item x="0"/>
        <item x="4"/>
        <item x="2"/>
        <item x="3"/>
        <item x="1"/>
        <item t="default"/>
      </items>
    </pivotField>
    <pivotField axis="axisRow" showAll="0">
      <items count="7">
        <item x="4"/>
        <item x="1"/>
        <item x="0"/>
        <item x="3"/>
        <item x="5"/>
        <item x="2"/>
        <item t="default"/>
      </items>
    </pivotField>
    <pivotField showAll="0">
      <items count="5">
        <item x="2"/>
        <item x="0"/>
        <item x="3"/>
        <item x="1"/>
        <item t="default"/>
      </items>
    </pivotField>
    <pivotField showAll="0">
      <items count="5">
        <item x="2"/>
        <item x="0"/>
        <item x="1"/>
        <item x="3"/>
        <item t="default"/>
      </items>
    </pivotField>
    <pivotField dataField="1" showAll="0"/>
    <pivotField showAll="0"/>
    <pivotField showAll="0"/>
    <pivotField showAll="0"/>
    <pivotField showAll="0">
      <items count="13">
        <item x="10"/>
        <item x="7"/>
        <item x="6"/>
        <item x="2"/>
        <item x="0"/>
        <item x="9"/>
        <item x="4"/>
        <item x="3"/>
        <item x="5"/>
        <item x="1"/>
        <item x="11"/>
        <item x="8"/>
        <item t="default"/>
      </items>
    </pivotField>
  </pivotFields>
  <rowFields count="1">
    <field x="5"/>
  </rowFields>
  <rowItems count="7">
    <i>
      <x/>
    </i>
    <i>
      <x v="1"/>
    </i>
    <i>
      <x v="2"/>
    </i>
    <i>
      <x v="3"/>
    </i>
    <i>
      <x v="4"/>
    </i>
    <i>
      <x v="5"/>
    </i>
    <i t="grand">
      <x/>
    </i>
  </rowItems>
  <colItems count="1">
    <i/>
  </colItems>
  <dataFields count="1">
    <dataField name="Sum of Sales" fld="8" baseField="0" baseItem="0"/>
  </dataFields>
  <formats count="1">
    <format dxfId="104">
      <pivotArea collapsedLevelsAreSubtotals="1" fieldPosition="0">
        <references count="1">
          <reference field="4294967294" count="1">
            <x v="0"/>
          </reference>
        </references>
      </pivotArea>
    </format>
  </formats>
  <pivotTableStyleInfo name="PivotStyleLight16" showRowHeaders="1" showColHeaders="1" showRowStripes="0" showColStripes="0" showLastColumn="1"/>
  <filters count="1">
    <filter fld="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CDBACDA-FF32-4AD8-970E-6A4119DAD2C2}" name="PivotTable17" cacheId="0" dataOnRows="1" applyNumberFormats="0" applyBorderFormats="0" applyFontFormats="0" applyPatternFormats="0" applyAlignmentFormats="0" applyWidthHeightFormats="1" dataCaption="Values" updatedVersion="7" minRefreshableVersion="3" itemPrintTitles="1" createdVersion="7" indent="0" compact="0" compactData="0" gridDropZones="1" multipleFieldFilters="0">
  <location ref="K3:O505" firstHeaderRow="2" firstDataRow="2" firstDataCol="4"/>
  <pivotFields count="13">
    <pivotField axis="axisRow" compact="0" outline="0" showAll="0" defaultSubtotal="0">
      <items count="5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s>
    </pivotField>
    <pivotField compact="0" outline="0" showAll="0" defaultSubtotal="0"/>
    <pivotField axis="axisRow" compact="0" outline="0" showAll="0" defaultSubtotal="0">
      <items count="20">
        <item x="4"/>
        <item x="8"/>
        <item x="13"/>
        <item x="5"/>
        <item x="7"/>
        <item x="6"/>
        <item x="1"/>
        <item x="15"/>
        <item x="17"/>
        <item x="10"/>
        <item x="2"/>
        <item x="12"/>
        <item x="11"/>
        <item x="3"/>
        <item x="19"/>
        <item x="0"/>
        <item x="14"/>
        <item x="18"/>
        <item x="16"/>
        <item x="9"/>
      </items>
    </pivotField>
    <pivotField axis="axisRow" compact="0" outline="0" showAll="0" measureFilter="1" defaultSubtotal="0">
      <items count="21">
        <item x="12"/>
        <item x="6"/>
        <item x="5"/>
        <item x="1"/>
        <item x="13"/>
        <item x="20"/>
        <item x="2"/>
        <item x="4"/>
        <item x="8"/>
        <item x="14"/>
        <item x="15"/>
        <item x="16"/>
        <item x="9"/>
        <item x="17"/>
        <item x="10"/>
        <item x="7"/>
        <item x="0"/>
        <item x="3"/>
        <item x="19"/>
        <item x="18"/>
        <item x="11"/>
      </items>
    </pivotField>
    <pivotField axis="axisRow" compact="0" outline="0" showAll="0" defaultSubtotal="0">
      <items count="5">
        <item x="0"/>
        <item x="4"/>
        <item x="2"/>
        <item x="3"/>
        <item x="1"/>
      </items>
    </pivotField>
    <pivotField compact="0" outline="0" showAll="0" defaultSubtotal="0"/>
    <pivotField compact="0" outline="0" showAll="0" defaultSubtotal="0">
      <items count="4">
        <item x="2"/>
        <item x="0"/>
        <item x="3"/>
        <item x="1"/>
      </items>
    </pivotField>
    <pivotField compact="0" outline="0" showAll="0" defaultSubtotal="0">
      <items count="4">
        <item x="2"/>
        <item x="0"/>
        <item x="1"/>
        <item x="3"/>
      </items>
    </pivotField>
    <pivotField dataField="1" compact="0" outline="0" showAll="0" defaultSubtotal="0">
      <items count="492">
        <item x="23"/>
        <item x="80"/>
        <item x="239"/>
        <item x="125"/>
        <item x="412"/>
        <item x="391"/>
        <item x="267"/>
        <item x="467"/>
        <item x="247"/>
        <item x="427"/>
        <item x="401"/>
        <item x="448"/>
        <item x="265"/>
        <item x="481"/>
        <item x="13"/>
        <item x="41"/>
        <item x="280"/>
        <item x="91"/>
        <item x="473"/>
        <item x="88"/>
        <item x="199"/>
        <item x="326"/>
        <item x="197"/>
        <item x="231"/>
        <item x="106"/>
        <item x="51"/>
        <item x="235"/>
        <item x="357"/>
        <item x="429"/>
        <item x="356"/>
        <item x="219"/>
        <item x="140"/>
        <item x="96"/>
        <item x="428"/>
        <item x="10"/>
        <item x="163"/>
        <item x="107"/>
        <item x="419"/>
        <item x="312"/>
        <item x="490"/>
        <item x="180"/>
        <item x="292"/>
        <item x="33"/>
        <item x="78"/>
        <item x="164"/>
        <item x="363"/>
        <item x="417"/>
        <item x="142"/>
        <item x="42"/>
        <item x="413"/>
        <item x="165"/>
        <item x="226"/>
        <item x="74"/>
        <item x="291"/>
        <item x="377"/>
        <item x="290"/>
        <item x="159"/>
        <item x="361"/>
        <item x="55"/>
        <item x="488"/>
        <item x="385"/>
        <item x="355"/>
        <item x="0"/>
        <item x="146"/>
        <item x="216"/>
        <item x="52"/>
        <item x="233"/>
        <item x="171"/>
        <item x="98"/>
        <item x="61"/>
        <item x="108"/>
        <item x="103"/>
        <item x="76"/>
        <item x="371"/>
        <item x="123"/>
        <item x="183"/>
        <item x="65"/>
        <item x="110"/>
        <item x="224"/>
        <item x="433"/>
        <item x="323"/>
        <item x="85"/>
        <item x="314"/>
        <item x="347"/>
        <item x="7"/>
        <item x="172"/>
        <item x="430"/>
        <item x="200"/>
        <item x="293"/>
        <item x="287"/>
        <item x="460"/>
        <item x="207"/>
        <item x="136"/>
        <item x="194"/>
        <item x="305"/>
        <item x="373"/>
        <item x="405"/>
        <item x="376"/>
        <item x="301"/>
        <item x="135"/>
        <item x="24"/>
        <item x="117"/>
        <item x="213"/>
        <item x="286"/>
        <item x="278"/>
        <item x="388"/>
        <item x="410"/>
        <item x="28"/>
        <item x="364"/>
        <item x="258"/>
        <item x="87"/>
        <item x="240"/>
        <item x="349"/>
        <item x="264"/>
        <item x="145"/>
        <item x="453"/>
        <item x="487"/>
        <item x="120"/>
        <item x="209"/>
        <item x="169"/>
        <item x="320"/>
        <item x="86"/>
        <item x="71"/>
        <item x="67"/>
        <item x="260"/>
        <item x="274"/>
        <item x="483"/>
        <item x="211"/>
        <item x="223"/>
        <item x="19"/>
        <item x="406"/>
        <item x="162"/>
        <item x="54"/>
        <item x="32"/>
        <item x="352"/>
        <item x="15"/>
        <item x="21"/>
        <item x="242"/>
        <item x="118"/>
        <item x="5"/>
        <item x="379"/>
        <item x="72"/>
        <item x="465"/>
        <item x="166"/>
        <item x="485"/>
        <item x="195"/>
        <item x="155"/>
        <item x="208"/>
        <item x="468"/>
        <item x="421"/>
        <item x="170"/>
        <item x="297"/>
        <item x="234"/>
        <item x="230"/>
        <item x="161"/>
        <item x="143"/>
        <item x="220"/>
        <item x="75"/>
        <item x="66"/>
        <item x="99"/>
        <item x="318"/>
        <item x="141"/>
        <item x="202"/>
        <item x="188"/>
        <item x="62"/>
        <item x="420"/>
        <item x="259"/>
        <item x="272"/>
        <item x="360"/>
        <item x="34"/>
        <item x="252"/>
        <item x="332"/>
        <item x="435"/>
        <item x="339"/>
        <item x="275"/>
        <item x="479"/>
        <item x="343"/>
        <item x="130"/>
        <item x="324"/>
        <item x="330"/>
        <item x="365"/>
        <item x="139"/>
        <item x="186"/>
        <item x="404"/>
        <item x="341"/>
        <item x="484"/>
        <item x="319"/>
        <item x="218"/>
        <item x="253"/>
        <item x="381"/>
        <item x="152"/>
        <item x="469"/>
        <item x="205"/>
        <item x="398"/>
        <item x="113"/>
        <item x="367"/>
        <item x="77"/>
        <item x="304"/>
        <item x="262"/>
        <item x="82"/>
        <item x="303"/>
        <item x="322"/>
        <item x="399"/>
        <item x="14"/>
        <item x="37"/>
        <item x="317"/>
        <item x="261"/>
        <item x="132"/>
        <item x="464"/>
        <item x="167"/>
        <item x="84"/>
        <item x="93"/>
        <item x="60"/>
        <item x="370"/>
        <item x="474"/>
        <item x="397"/>
        <item x="9"/>
        <item x="29"/>
        <item x="296"/>
        <item x="395"/>
        <item x="12"/>
        <item x="196"/>
        <item x="179"/>
        <item x="201"/>
        <item x="389"/>
        <item x="458"/>
        <item x="445"/>
        <item x="396"/>
        <item x="40"/>
        <item x="422"/>
        <item x="359"/>
        <item x="241"/>
        <item x="225"/>
        <item x="337"/>
        <item x="437"/>
        <item x="449"/>
        <item x="237"/>
        <item x="53"/>
        <item x="18"/>
        <item x="378"/>
        <item x="109"/>
        <item x="251"/>
        <item x="309"/>
        <item x="122"/>
        <item x="307"/>
        <item x="288"/>
        <item x="3"/>
        <item x="331"/>
        <item x="26"/>
        <item x="133"/>
        <item x="178"/>
        <item x="127"/>
        <item x="438"/>
        <item x="97"/>
        <item x="281"/>
        <item x="300"/>
        <item x="329"/>
        <item x="455"/>
        <item x="424"/>
        <item x="311"/>
        <item x="129"/>
        <item x="192"/>
        <item x="210"/>
        <item x="39"/>
        <item x="175"/>
        <item x="434"/>
        <item x="384"/>
        <item x="79"/>
        <item x="315"/>
        <item x="431"/>
        <item x="386"/>
        <item x="111"/>
        <item x="446"/>
        <item x="407"/>
        <item x="147"/>
        <item x="444"/>
        <item x="4"/>
        <item x="68"/>
        <item x="390"/>
        <item x="276"/>
        <item x="306"/>
        <item x="131"/>
        <item x="31"/>
        <item x="221"/>
        <item x="471"/>
        <item x="342"/>
        <item x="452"/>
        <item x="105"/>
        <item x="232"/>
        <item x="255"/>
        <item x="184"/>
        <item x="257"/>
        <item x="191"/>
        <item x="244"/>
        <item x="150"/>
        <item x="149"/>
        <item x="116"/>
        <item x="16"/>
        <item x="246"/>
        <item x="463"/>
        <item x="189"/>
        <item x="190"/>
        <item x="282"/>
        <item x="217"/>
        <item x="173"/>
        <item x="308"/>
        <item x="408"/>
        <item x="154"/>
        <item x="348"/>
        <item x="148"/>
        <item x="336"/>
        <item x="36"/>
        <item x="81"/>
        <item x="470"/>
        <item x="392"/>
        <item x="411"/>
        <item x="254"/>
        <item x="69"/>
        <item x="176"/>
        <item x="45"/>
        <item x="35"/>
        <item x="250"/>
        <item x="334"/>
        <item x="284"/>
        <item x="50"/>
        <item x="30"/>
        <item x="46"/>
        <item x="273"/>
        <item x="270"/>
        <item x="482"/>
        <item x="268"/>
        <item x="372"/>
        <item x="104"/>
        <item x="6"/>
        <item x="214"/>
        <item x="283"/>
        <item x="249"/>
        <item x="387"/>
        <item x="58"/>
        <item x="333"/>
        <item x="8"/>
        <item x="38"/>
        <item x="432"/>
        <item x="345"/>
        <item x="70"/>
        <item x="151"/>
        <item x="414"/>
        <item x="121"/>
        <item x="338"/>
        <item x="157"/>
        <item x="137"/>
        <item x="206"/>
        <item x="462"/>
        <item x="489"/>
        <item x="409"/>
        <item x="124"/>
        <item x="119"/>
        <item x="442"/>
        <item x="350"/>
        <item x="222"/>
        <item x="472"/>
        <item x="321"/>
        <item x="302"/>
        <item x="1"/>
        <item x="215"/>
        <item x="134"/>
        <item x="441"/>
        <item x="245"/>
        <item x="115"/>
        <item x="439"/>
        <item x="418"/>
        <item x="335"/>
        <item x="298"/>
        <item x="454"/>
        <item x="436"/>
        <item x="203"/>
        <item x="415"/>
        <item x="279"/>
        <item x="403"/>
        <item x="277"/>
        <item x="92"/>
        <item x="238"/>
        <item x="271"/>
        <item x="457"/>
        <item x="90"/>
        <item x="47"/>
        <item x="269"/>
        <item x="440"/>
        <item x="126"/>
        <item x="459"/>
        <item x="168"/>
        <item x="402"/>
        <item x="380"/>
        <item x="44"/>
        <item x="89"/>
        <item x="94"/>
        <item x="456"/>
        <item x="394"/>
        <item x="144"/>
        <item x="158"/>
        <item x="383"/>
        <item x="313"/>
        <item x="198"/>
        <item x="95"/>
        <item x="416"/>
        <item x="375"/>
        <item x="20"/>
        <item x="263"/>
        <item x="248"/>
        <item x="344"/>
        <item x="425"/>
        <item x="346"/>
        <item x="102"/>
        <item x="100"/>
        <item x="475"/>
        <item x="73"/>
        <item x="174"/>
        <item x="57"/>
        <item x="227"/>
        <item x="461"/>
        <item x="362"/>
        <item x="153"/>
        <item x="11"/>
        <item x="43"/>
        <item x="49"/>
        <item x="447"/>
        <item x="423"/>
        <item x="393"/>
        <item x="185"/>
        <item x="193"/>
        <item x="236"/>
        <item x="369"/>
        <item x="450"/>
        <item x="128"/>
        <item x="426"/>
        <item x="466"/>
        <item x="480"/>
        <item x="358"/>
        <item x="478"/>
        <item x="325"/>
        <item x="294"/>
        <item x="17"/>
        <item x="243"/>
        <item x="354"/>
        <item x="204"/>
        <item x="64"/>
        <item x="182"/>
        <item x="25"/>
        <item x="256"/>
        <item x="181"/>
        <item x="228"/>
        <item x="112"/>
        <item x="477"/>
        <item x="63"/>
        <item x="382"/>
        <item x="289"/>
        <item x="451"/>
        <item x="27"/>
        <item x="114"/>
        <item x="229"/>
        <item x="366"/>
        <item x="101"/>
        <item x="266"/>
        <item x="486"/>
        <item x="22"/>
        <item x="285"/>
        <item x="83"/>
        <item x="374"/>
        <item x="187"/>
        <item x="310"/>
        <item x="48"/>
        <item x="351"/>
        <item x="299"/>
        <item x="340"/>
        <item x="327"/>
        <item x="368"/>
        <item x="316"/>
        <item x="2"/>
        <item x="212"/>
        <item x="56"/>
        <item x="491"/>
        <item x="443"/>
        <item x="156"/>
        <item x="476"/>
        <item x="353"/>
        <item x="295"/>
        <item x="138"/>
        <item x="328"/>
        <item x="400"/>
        <item x="160"/>
        <item x="177"/>
        <item x="59"/>
      </items>
    </pivotField>
    <pivotField compact="0" outline="0" showAll="0" defaultSubtotal="0"/>
    <pivotField compact="0" outline="0" showAll="0" defaultSubtotal="0"/>
    <pivotField compact="0" outline="0" showAll="0" defaultSubtotal="0"/>
    <pivotField compact="0" outline="0" showAll="0" defaultSubtotal="0">
      <items count="12">
        <item x="10"/>
        <item x="7"/>
        <item x="6"/>
        <item x="2"/>
        <item x="0"/>
        <item x="9"/>
        <item x="4"/>
        <item x="3"/>
        <item x="5"/>
        <item x="1"/>
        <item x="11"/>
        <item x="8"/>
      </items>
    </pivotField>
  </pivotFields>
  <rowFields count="4">
    <field x="0"/>
    <field x="2"/>
    <field x="3"/>
    <field x="4"/>
  </rowFields>
  <rowItems count="501">
    <i>
      <x/>
      <x v="15"/>
      <x v="16"/>
      <x/>
    </i>
    <i>
      <x v="1"/>
      <x v="6"/>
      <x v="3"/>
      <x v="4"/>
    </i>
    <i>
      <x v="2"/>
      <x v="10"/>
      <x v="6"/>
      <x v="2"/>
    </i>
    <i>
      <x v="3"/>
      <x v="13"/>
      <x v="17"/>
      <x v="3"/>
    </i>
    <i>
      <x v="4"/>
      <x/>
      <x v="7"/>
      <x v="3"/>
    </i>
    <i>
      <x v="5"/>
      <x v="3"/>
      <x v="2"/>
      <x v="1"/>
    </i>
    <i>
      <x v="6"/>
      <x v="5"/>
      <x v="1"/>
      <x v="4"/>
    </i>
    <i>
      <x v="7"/>
      <x/>
      <x v="15"/>
      <x v="1"/>
    </i>
    <i>
      <x v="8"/>
      <x v="4"/>
      <x v="8"/>
      <x v="4"/>
    </i>
    <i>
      <x v="9"/>
      <x v="1"/>
      <x v="17"/>
      <x v="3"/>
    </i>
    <i>
      <x v="10"/>
      <x v="19"/>
      <x v="1"/>
      <x v="4"/>
    </i>
    <i>
      <x v="11"/>
      <x v="9"/>
      <x v="12"/>
      <x v="4"/>
    </i>
    <i>
      <x v="12"/>
      <x v="5"/>
      <x v="7"/>
      <x v="3"/>
    </i>
    <i>
      <x v="13"/>
      <x v="9"/>
      <x v="14"/>
      <x/>
    </i>
    <i>
      <x v="14"/>
      <x v="4"/>
      <x v="20"/>
      <x v="3"/>
    </i>
    <i>
      <x v="15"/>
      <x v="19"/>
      <x v="14"/>
      <x/>
    </i>
    <i>
      <x v="16"/>
      <x v="6"/>
      <x v="3"/>
      <x v="4"/>
    </i>
    <i>
      <x v="17"/>
      <x v="5"/>
      <x/>
      <x v="2"/>
    </i>
    <i>
      <x v="18"/>
      <x v="19"/>
      <x v="16"/>
      <x/>
    </i>
    <i>
      <x v="19"/>
      <x v="12"/>
      <x v="17"/>
      <x v="3"/>
    </i>
    <i>
      <x v="20"/>
      <x v="19"/>
      <x/>
      <x v="2"/>
    </i>
    <i>
      <x v="21"/>
      <x v="9"/>
      <x v="4"/>
      <x v="1"/>
    </i>
    <i>
      <x v="22"/>
      <x v="11"/>
      <x v="9"/>
      <x v="2"/>
    </i>
    <i>
      <x v="23"/>
      <x v="9"/>
      <x v="10"/>
      <x/>
    </i>
    <i>
      <x v="24"/>
      <x v="10"/>
      <x v="16"/>
      <x/>
    </i>
    <i>
      <x v="25"/>
      <x v="2"/>
      <x v="6"/>
      <x v="2"/>
    </i>
    <i>
      <x v="26"/>
      <x v="16"/>
      <x v="14"/>
      <x/>
    </i>
    <i>
      <x v="27"/>
      <x v="7"/>
      <x v="11"/>
      <x v="2"/>
    </i>
    <i>
      <x v="28"/>
      <x v="18"/>
      <x v="16"/>
      <x/>
    </i>
    <i>
      <x v="29"/>
      <x v="7"/>
      <x v="12"/>
      <x v="4"/>
    </i>
    <i>
      <x v="30"/>
      <x v="13"/>
      <x v="1"/>
      <x v="4"/>
    </i>
    <i>
      <x v="31"/>
      <x v="18"/>
      <x v="20"/>
      <x v="3"/>
    </i>
    <i>
      <x v="32"/>
      <x v="19"/>
      <x v="20"/>
      <x v="3"/>
    </i>
    <i>
      <x v="33"/>
      <x v="3"/>
      <x v="15"/>
      <x v="1"/>
    </i>
    <i>
      <x v="34"/>
      <x v="8"/>
      <x v="13"/>
      <x v="1"/>
    </i>
    <i>
      <x v="35"/>
      <x v="11"/>
      <x v="20"/>
      <x v="3"/>
    </i>
    <i>
      <x v="36"/>
      <x v="3"/>
      <x v="17"/>
      <x v="3"/>
    </i>
    <i>
      <x v="37"/>
      <x v="5"/>
      <x v="10"/>
      <x/>
    </i>
    <i>
      <x v="38"/>
      <x v="2"/>
      <x v="17"/>
      <x v="3"/>
    </i>
    <i>
      <x v="39"/>
      <x v="5"/>
      <x v="10"/>
      <x/>
    </i>
    <i>
      <x v="40"/>
      <x v="3"/>
      <x v="19"/>
      <x v="3"/>
    </i>
    <i>
      <x v="41"/>
      <x v="15"/>
      <x v="10"/>
      <x/>
    </i>
    <i>
      <x v="42"/>
      <x v="6"/>
      <x v="2"/>
      <x v="1"/>
    </i>
    <i>
      <x v="43"/>
      <x/>
      <x v="18"/>
      <x v="2"/>
    </i>
    <i>
      <x v="44"/>
      <x v="18"/>
      <x v="8"/>
      <x v="4"/>
    </i>
    <i>
      <x v="45"/>
      <x v="17"/>
      <x v="19"/>
      <x v="3"/>
    </i>
    <i>
      <x v="46"/>
      <x v="12"/>
      <x v="19"/>
      <x v="3"/>
    </i>
    <i>
      <x v="47"/>
      <x v="16"/>
      <x v="3"/>
      <x v="4"/>
    </i>
    <i>
      <x v="48"/>
      <x v="7"/>
      <x v="6"/>
      <x v="2"/>
    </i>
    <i>
      <x v="49"/>
      <x v="14"/>
      <x v="11"/>
      <x v="2"/>
    </i>
    <i>
      <x v="50"/>
      <x v="12"/>
      <x v="1"/>
      <x v="4"/>
    </i>
    <i>
      <x v="51"/>
      <x v="12"/>
      <x v="2"/>
      <x v="1"/>
    </i>
    <i>
      <x v="52"/>
      <x v="9"/>
      <x v="20"/>
      <x v="3"/>
    </i>
    <i>
      <x v="53"/>
      <x v="19"/>
      <x v="20"/>
      <x v="3"/>
    </i>
    <i>
      <x v="54"/>
      <x v="13"/>
      <x v="3"/>
      <x v="4"/>
    </i>
    <i>
      <x v="55"/>
      <x v="1"/>
      <x v="4"/>
      <x v="1"/>
    </i>
    <i>
      <x v="56"/>
      <x v="8"/>
      <x v="18"/>
      <x v="2"/>
    </i>
    <i>
      <x v="57"/>
      <x v="5"/>
      <x v="18"/>
      <x v="2"/>
    </i>
    <i>
      <x v="58"/>
      <x v="17"/>
      <x v="8"/>
      <x v="4"/>
    </i>
    <i>
      <x v="59"/>
      <x v="17"/>
      <x/>
      <x v="2"/>
    </i>
    <i>
      <x v="60"/>
      <x v="14"/>
      <x v="8"/>
      <x v="4"/>
    </i>
    <i>
      <x v="61"/>
      <x v="19"/>
      <x v="20"/>
      <x v="3"/>
    </i>
    <i>
      <x v="62"/>
      <x v="3"/>
      <x v="14"/>
      <x/>
    </i>
    <i>
      <x v="63"/>
      <x v="1"/>
      <x/>
      <x v="2"/>
    </i>
    <i>
      <x v="64"/>
      <x v="10"/>
      <x v="18"/>
      <x v="2"/>
    </i>
    <i>
      <x v="65"/>
      <x v="4"/>
      <x v="19"/>
      <x v="3"/>
    </i>
    <i>
      <x v="66"/>
      <x v="17"/>
      <x v="2"/>
      <x v="1"/>
    </i>
    <i>
      <x v="67"/>
      <x v="8"/>
      <x v="17"/>
      <x v="3"/>
    </i>
    <i>
      <x v="68"/>
      <x v="6"/>
      <x v="5"/>
      <x/>
    </i>
    <i>
      <x v="69"/>
      <x v="13"/>
      <x v="12"/>
      <x v="4"/>
    </i>
    <i>
      <x v="70"/>
      <x v="16"/>
      <x v="7"/>
      <x v="3"/>
    </i>
    <i>
      <x v="71"/>
      <x/>
      <x v="1"/>
      <x v="4"/>
    </i>
    <i>
      <x v="72"/>
      <x v="13"/>
      <x v="4"/>
      <x v="1"/>
    </i>
    <i>
      <x v="73"/>
      <x v="11"/>
      <x v="13"/>
      <x v="1"/>
    </i>
    <i>
      <x v="74"/>
      <x v="9"/>
      <x/>
      <x v="2"/>
    </i>
    <i>
      <x v="75"/>
      <x v="4"/>
      <x v="5"/>
      <x/>
    </i>
    <i>
      <x v="76"/>
      <x v="10"/>
      <x v="5"/>
      <x/>
    </i>
    <i>
      <x v="77"/>
      <x v="18"/>
      <x v="16"/>
      <x/>
    </i>
    <i>
      <x v="78"/>
      <x v="4"/>
      <x v="8"/>
      <x v="4"/>
    </i>
    <i>
      <x v="79"/>
      <x v="10"/>
      <x v="10"/>
      <x/>
    </i>
    <i>
      <x v="80"/>
      <x v="12"/>
      <x v="12"/>
      <x v="4"/>
    </i>
    <i>
      <x v="81"/>
      <x v="12"/>
      <x v="13"/>
      <x v="1"/>
    </i>
    <i>
      <x v="82"/>
      <x/>
      <x v="3"/>
      <x v="4"/>
    </i>
    <i>
      <x v="83"/>
      <x/>
      <x v="16"/>
      <x/>
    </i>
    <i>
      <x v="84"/>
      <x v="4"/>
      <x v="18"/>
      <x v="2"/>
    </i>
    <i>
      <x v="85"/>
      <x v="7"/>
      <x v="19"/>
      <x v="3"/>
    </i>
    <i>
      <x v="86"/>
      <x v="4"/>
      <x v="16"/>
      <x/>
    </i>
    <i>
      <x v="87"/>
      <x v="2"/>
      <x v="5"/>
      <x/>
    </i>
    <i>
      <x v="88"/>
      <x v="17"/>
      <x v="5"/>
      <x/>
    </i>
    <i>
      <x v="89"/>
      <x v="17"/>
      <x v="2"/>
      <x v="1"/>
    </i>
    <i>
      <x v="90"/>
      <x v="8"/>
      <x v="18"/>
      <x v="2"/>
    </i>
    <i>
      <x v="91"/>
      <x v="11"/>
      <x v="8"/>
      <x v="4"/>
    </i>
    <i>
      <x v="92"/>
      <x v="17"/>
      <x v="2"/>
      <x v="1"/>
    </i>
    <i>
      <x v="93"/>
      <x v="3"/>
      <x v="19"/>
      <x v="3"/>
    </i>
    <i>
      <x v="94"/>
      <x v="3"/>
      <x v="10"/>
      <x/>
    </i>
    <i>
      <x v="95"/>
      <x v="3"/>
      <x v="8"/>
      <x v="4"/>
    </i>
    <i>
      <x v="96"/>
      <x v="2"/>
      <x v="6"/>
      <x v="2"/>
    </i>
    <i>
      <x v="97"/>
      <x v="5"/>
      <x v="15"/>
      <x v="1"/>
    </i>
    <i>
      <x v="98"/>
      <x v="13"/>
      <x v="2"/>
      <x v="1"/>
    </i>
    <i>
      <x v="99"/>
      <x v="8"/>
      <x v="5"/>
      <x/>
    </i>
    <i>
      <x v="100"/>
      <x v="10"/>
      <x v="8"/>
      <x v="4"/>
    </i>
    <i>
      <x v="101"/>
      <x v="19"/>
      <x v="12"/>
      <x v="4"/>
    </i>
    <i>
      <x v="102"/>
      <x v="1"/>
      <x v="11"/>
      <x v="2"/>
    </i>
    <i>
      <x v="103"/>
      <x v="15"/>
      <x v="8"/>
      <x v="4"/>
    </i>
    <i>
      <x v="104"/>
      <x v="11"/>
      <x v="4"/>
      <x v="1"/>
    </i>
    <i>
      <x v="105"/>
      <x v="18"/>
      <x v="12"/>
      <x v="4"/>
    </i>
    <i>
      <x v="106"/>
      <x v="8"/>
      <x v="1"/>
      <x v="4"/>
    </i>
    <i>
      <x v="107"/>
      <x v="13"/>
      <x v="15"/>
      <x v="1"/>
    </i>
    <i>
      <x v="108"/>
      <x v="2"/>
      <x v="19"/>
      <x v="3"/>
    </i>
    <i>
      <x v="109"/>
      <x v="1"/>
      <x v="13"/>
      <x v="1"/>
    </i>
    <i>
      <x v="110"/>
      <x v="13"/>
      <x v="3"/>
      <x v="4"/>
    </i>
    <i>
      <x v="111"/>
      <x v="1"/>
      <x v="14"/>
      <x/>
    </i>
    <i>
      <x v="112"/>
      <x v="3"/>
      <x v="1"/>
      <x v="4"/>
    </i>
    <i>
      <x v="113"/>
      <x v="1"/>
      <x v="11"/>
      <x v="2"/>
    </i>
    <i>
      <x v="114"/>
      <x v="10"/>
      <x v="2"/>
      <x v="1"/>
    </i>
    <i>
      <x v="115"/>
      <x v="17"/>
      <x v="18"/>
      <x v="2"/>
    </i>
    <i>
      <x v="116"/>
      <x v="19"/>
      <x v="20"/>
      <x v="3"/>
    </i>
    <i>
      <x v="117"/>
      <x/>
      <x v="19"/>
      <x v="3"/>
    </i>
    <i>
      <x v="118"/>
      <x v="19"/>
      <x v="7"/>
      <x v="3"/>
    </i>
    <i>
      <x v="119"/>
      <x v="7"/>
      <x v="12"/>
      <x v="4"/>
    </i>
    <i>
      <x v="120"/>
      <x v="2"/>
      <x v="7"/>
      <x v="3"/>
    </i>
    <i>
      <x v="121"/>
      <x v="14"/>
      <x v="20"/>
      <x v="3"/>
    </i>
    <i>
      <x v="122"/>
      <x v="6"/>
      <x v="19"/>
      <x v="3"/>
    </i>
    <i>
      <x v="123"/>
      <x v="8"/>
      <x v="12"/>
      <x v="4"/>
    </i>
    <i>
      <x v="124"/>
      <x v="19"/>
      <x v="5"/>
      <x/>
    </i>
    <i>
      <x v="125"/>
      <x v="17"/>
      <x v="15"/>
      <x v="1"/>
    </i>
    <i>
      <x v="126"/>
      <x v="11"/>
      <x v="1"/>
      <x v="4"/>
    </i>
    <i>
      <x v="127"/>
      <x v="5"/>
      <x v="4"/>
      <x v="1"/>
    </i>
    <i>
      <x v="128"/>
      <x v="6"/>
      <x v="1"/>
      <x v="4"/>
    </i>
    <i>
      <x v="129"/>
      <x v="17"/>
      <x v="19"/>
      <x v="3"/>
    </i>
    <i>
      <x v="130"/>
      <x v="17"/>
      <x/>
      <x v="2"/>
    </i>
    <i>
      <x v="131"/>
      <x v="2"/>
      <x v="2"/>
      <x v="1"/>
    </i>
    <i>
      <x v="132"/>
      <x v="7"/>
      <x v="5"/>
      <x/>
    </i>
    <i>
      <x v="133"/>
      <x/>
      <x v="17"/>
      <x v="3"/>
    </i>
    <i>
      <x v="134"/>
      <x v="10"/>
      <x v="10"/>
      <x/>
    </i>
    <i>
      <x v="135"/>
      <x v="5"/>
      <x v="20"/>
      <x v="3"/>
    </i>
    <i>
      <x v="136"/>
      <x/>
      <x v="17"/>
      <x v="3"/>
    </i>
    <i>
      <x v="137"/>
      <x v="17"/>
      <x v="10"/>
      <x/>
    </i>
    <i>
      <x v="138"/>
      <x v="11"/>
      <x v="2"/>
      <x v="1"/>
    </i>
    <i>
      <x v="139"/>
      <x v="9"/>
      <x v="7"/>
      <x v="3"/>
    </i>
    <i>
      <x v="140"/>
      <x v="3"/>
      <x v="6"/>
      <x v="2"/>
    </i>
    <i>
      <x v="141"/>
      <x v="9"/>
      <x v="5"/>
      <x/>
    </i>
    <i>
      <x v="142"/>
      <x v="17"/>
      <x v="14"/>
      <x/>
    </i>
    <i>
      <x v="143"/>
      <x v="19"/>
      <x v="13"/>
      <x v="1"/>
    </i>
    <i>
      <x v="144"/>
      <x v="17"/>
      <x v="2"/>
      <x v="1"/>
    </i>
    <i>
      <x v="145"/>
      <x v="15"/>
      <x v="2"/>
      <x v="1"/>
    </i>
    <i>
      <x v="146"/>
      <x v="1"/>
      <x v="12"/>
      <x v="4"/>
    </i>
    <i>
      <x v="147"/>
      <x v="12"/>
      <x v="5"/>
      <x/>
    </i>
    <i>
      <x v="148"/>
      <x v="7"/>
      <x v="16"/>
      <x/>
    </i>
    <i>
      <x v="149"/>
      <x v="2"/>
      <x v="2"/>
      <x v="1"/>
    </i>
    <i>
      <x v="150"/>
      <x v="17"/>
      <x v="1"/>
      <x v="4"/>
    </i>
    <i>
      <x v="151"/>
      <x v="9"/>
      <x v="2"/>
      <x v="1"/>
    </i>
    <i>
      <x v="152"/>
      <x v="19"/>
      <x v="7"/>
      <x v="3"/>
    </i>
    <i>
      <x v="153"/>
      <x v="7"/>
      <x v="19"/>
      <x v="3"/>
    </i>
    <i>
      <x v="154"/>
      <x v="2"/>
      <x v="12"/>
      <x v="4"/>
    </i>
    <i>
      <x v="155"/>
      <x/>
      <x v="6"/>
      <x v="2"/>
    </i>
    <i>
      <x v="156"/>
      <x v="2"/>
      <x v="13"/>
      <x v="1"/>
    </i>
    <i>
      <x v="157"/>
      <x v="18"/>
      <x v="4"/>
      <x v="1"/>
    </i>
    <i>
      <x v="158"/>
      <x v="2"/>
      <x/>
      <x v="2"/>
    </i>
    <i>
      <x v="159"/>
      <x v="19"/>
      <x v="17"/>
      <x v="3"/>
    </i>
    <i>
      <x v="160"/>
      <x v="16"/>
      <x v="12"/>
      <x v="4"/>
    </i>
    <i>
      <x v="161"/>
      <x v="13"/>
      <x v="14"/>
      <x/>
    </i>
    <i>
      <x v="162"/>
      <x v="10"/>
      <x v="11"/>
      <x v="2"/>
    </i>
    <i>
      <x v="163"/>
      <x v="16"/>
      <x v="5"/>
      <x/>
    </i>
    <i>
      <x v="164"/>
      <x v="11"/>
      <x v="20"/>
      <x v="3"/>
    </i>
    <i>
      <x v="165"/>
      <x/>
      <x v="10"/>
      <x/>
    </i>
    <i>
      <x v="166"/>
      <x v="11"/>
      <x v="16"/>
      <x/>
    </i>
    <i>
      <x v="167"/>
      <x v="3"/>
      <x v="16"/>
      <x/>
    </i>
    <i>
      <x v="168"/>
      <x v="10"/>
      <x v="19"/>
      <x v="3"/>
    </i>
    <i>
      <x v="169"/>
      <x v="12"/>
      <x v="10"/>
      <x/>
    </i>
    <i>
      <x v="170"/>
      <x v="6"/>
      <x v="3"/>
      <x v="4"/>
    </i>
    <i>
      <x v="171"/>
      <x v="19"/>
      <x v="1"/>
      <x v="4"/>
    </i>
    <i>
      <x v="172"/>
      <x v="19"/>
      <x v="5"/>
      <x/>
    </i>
    <i>
      <x v="173"/>
      <x v="13"/>
      <x v="16"/>
      <x/>
    </i>
    <i>
      <x v="174"/>
      <x v="19"/>
      <x v="14"/>
      <x/>
    </i>
    <i>
      <x v="175"/>
      <x v="6"/>
      <x v="17"/>
      <x v="3"/>
    </i>
    <i>
      <x v="176"/>
      <x v="7"/>
      <x/>
      <x v="2"/>
    </i>
    <i>
      <x v="177"/>
      <x v="17"/>
      <x v="12"/>
      <x v="4"/>
    </i>
    <i>
      <x v="178"/>
      <x v="13"/>
      <x v="12"/>
      <x v="4"/>
    </i>
    <i>
      <x v="179"/>
      <x v="9"/>
      <x/>
      <x v="2"/>
    </i>
    <i>
      <x v="180"/>
      <x v="18"/>
      <x v="7"/>
      <x v="3"/>
    </i>
    <i>
      <x v="181"/>
      <x v="9"/>
      <x v="8"/>
      <x v="4"/>
    </i>
    <i>
      <x v="182"/>
      <x v="2"/>
      <x v="4"/>
      <x v="1"/>
    </i>
    <i>
      <x v="183"/>
      <x v="4"/>
      <x/>
      <x v="2"/>
    </i>
    <i>
      <x v="184"/>
      <x v="17"/>
      <x v="11"/>
      <x v="2"/>
    </i>
    <i>
      <x v="185"/>
      <x v="9"/>
      <x v="16"/>
      <x/>
    </i>
    <i>
      <x v="186"/>
      <x v="15"/>
      <x v="19"/>
      <x v="3"/>
    </i>
    <i>
      <x v="187"/>
      <x v="16"/>
      <x v="9"/>
      <x v="2"/>
    </i>
    <i>
      <x v="188"/>
      <x/>
      <x v="8"/>
      <x v="4"/>
    </i>
    <i>
      <x v="189"/>
      <x v="5"/>
      <x v="9"/>
      <x v="2"/>
    </i>
    <i>
      <x v="190"/>
      <x v="7"/>
      <x v="19"/>
      <x v="3"/>
    </i>
    <i>
      <x v="191"/>
      <x v="2"/>
      <x v="2"/>
      <x v="1"/>
    </i>
    <i>
      <x v="192"/>
      <x v="9"/>
      <x v="4"/>
      <x v="1"/>
    </i>
    <i>
      <x v="193"/>
      <x v="8"/>
      <x v="12"/>
      <x v="4"/>
    </i>
    <i>
      <x v="194"/>
      <x/>
      <x v="1"/>
      <x v="4"/>
    </i>
    <i>
      <x v="195"/>
      <x v="1"/>
      <x v="11"/>
      <x v="2"/>
    </i>
    <i>
      <x v="196"/>
      <x v="3"/>
      <x v="2"/>
      <x v="1"/>
    </i>
    <i>
      <x v="197"/>
      <x v="9"/>
      <x v="20"/>
      <x v="3"/>
    </i>
    <i>
      <x v="198"/>
      <x v="17"/>
      <x v="2"/>
      <x v="1"/>
    </i>
    <i>
      <x v="199"/>
      <x v="13"/>
      <x v="10"/>
      <x/>
    </i>
    <i>
      <x v="200"/>
      <x v="18"/>
      <x v="11"/>
      <x v="2"/>
    </i>
    <i>
      <x v="201"/>
      <x v="4"/>
      <x v="14"/>
      <x/>
    </i>
    <i>
      <x v="202"/>
      <x v="3"/>
      <x v="14"/>
      <x/>
    </i>
    <i>
      <x v="203"/>
      <x v="14"/>
      <x v="3"/>
      <x v="4"/>
    </i>
    <i>
      <x v="204"/>
      <x v="15"/>
      <x v="10"/>
      <x/>
    </i>
    <i>
      <x v="205"/>
      <x/>
      <x v="12"/>
      <x v="4"/>
    </i>
    <i>
      <x v="206"/>
      <x v="15"/>
      <x v="6"/>
      <x v="2"/>
    </i>
    <i>
      <x v="207"/>
      <x v="12"/>
      <x v="10"/>
      <x/>
    </i>
    <i>
      <x v="208"/>
      <x v="18"/>
      <x v="12"/>
      <x v="4"/>
    </i>
    <i>
      <x v="209"/>
      <x v="6"/>
      <x v="6"/>
      <x v="2"/>
    </i>
    <i>
      <x v="210"/>
      <x v="8"/>
      <x v="16"/>
      <x/>
    </i>
    <i>
      <x v="211"/>
      <x v="10"/>
      <x v="19"/>
      <x v="3"/>
    </i>
    <i>
      <x v="212"/>
      <x v="17"/>
      <x v="7"/>
      <x v="3"/>
    </i>
    <i>
      <x v="213"/>
      <x v="17"/>
      <x v="16"/>
      <x/>
    </i>
    <i>
      <x v="214"/>
      <x v="9"/>
      <x v="6"/>
      <x v="2"/>
    </i>
    <i>
      <x v="215"/>
      <x v="4"/>
      <x v="17"/>
      <x v="3"/>
    </i>
    <i>
      <x v="216"/>
      <x v="8"/>
      <x v="17"/>
      <x v="3"/>
    </i>
    <i>
      <x v="217"/>
      <x v="3"/>
      <x v="12"/>
      <x v="4"/>
    </i>
    <i>
      <x v="218"/>
      <x v="8"/>
      <x v="7"/>
      <x v="3"/>
    </i>
    <i>
      <x v="219"/>
      <x/>
      <x v="1"/>
      <x v="4"/>
    </i>
    <i>
      <x v="220"/>
      <x v="15"/>
      <x v="13"/>
      <x v="1"/>
    </i>
    <i>
      <x v="221"/>
      <x v="7"/>
      <x v="10"/>
      <x/>
    </i>
    <i>
      <x v="222"/>
      <x v="10"/>
      <x v="16"/>
      <x/>
    </i>
    <i>
      <x v="223"/>
      <x v="10"/>
      <x v="17"/>
      <x v="3"/>
    </i>
    <i>
      <x v="224"/>
      <x v="9"/>
      <x v="20"/>
      <x v="3"/>
    </i>
    <i>
      <x v="225"/>
      <x v="12"/>
      <x v="20"/>
      <x v="3"/>
    </i>
    <i>
      <x v="226"/>
      <x v="5"/>
      <x v="12"/>
      <x v="4"/>
    </i>
    <i>
      <x v="227"/>
      <x v="5"/>
      <x v="15"/>
      <x v="1"/>
    </i>
    <i>
      <x v="228"/>
      <x v="17"/>
      <x v="2"/>
      <x v="1"/>
    </i>
    <i>
      <x v="229"/>
      <x v="19"/>
      <x v="6"/>
      <x v="2"/>
    </i>
    <i>
      <x v="230"/>
      <x v="2"/>
      <x v="11"/>
      <x v="2"/>
    </i>
    <i>
      <x v="231"/>
      <x/>
      <x v="11"/>
      <x v="2"/>
    </i>
    <i>
      <x v="232"/>
      <x v="8"/>
      <x v="4"/>
      <x v="1"/>
    </i>
    <i>
      <x v="233"/>
      <x v="18"/>
      <x v="13"/>
      <x v="1"/>
    </i>
    <i>
      <x v="234"/>
      <x v="13"/>
      <x v="8"/>
      <x v="4"/>
    </i>
    <i>
      <x v="235"/>
      <x v="15"/>
      <x v="16"/>
      <x/>
    </i>
    <i>
      <x v="236"/>
      <x v="13"/>
      <x v="13"/>
      <x v="1"/>
    </i>
    <i>
      <x v="237"/>
      <x v="14"/>
      <x v="20"/>
      <x v="3"/>
    </i>
    <i>
      <x v="238"/>
      <x v="19"/>
      <x v="4"/>
      <x v="1"/>
    </i>
    <i>
      <x v="239"/>
      <x v="5"/>
      <x/>
      <x v="2"/>
    </i>
    <i>
      <x v="240"/>
      <x v="9"/>
      <x v="5"/>
      <x/>
    </i>
    <i>
      <x v="241"/>
      <x v="4"/>
      <x v="7"/>
      <x v="3"/>
    </i>
    <i>
      <x v="242"/>
      <x v="17"/>
      <x v="15"/>
      <x v="1"/>
    </i>
    <i>
      <x v="243"/>
      <x v="4"/>
      <x v="20"/>
      <x v="3"/>
    </i>
    <i>
      <x v="244"/>
      <x v="5"/>
      <x v="3"/>
      <x v="4"/>
    </i>
    <i>
      <x v="245"/>
      <x v="16"/>
      <x v="4"/>
      <x v="1"/>
    </i>
    <i>
      <x v="246"/>
      <x v="17"/>
      <x v="11"/>
      <x v="2"/>
    </i>
    <i>
      <x v="247"/>
      <x v="13"/>
      <x v="2"/>
      <x v="1"/>
    </i>
    <i>
      <x v="248"/>
      <x v="14"/>
      <x v="3"/>
      <x v="4"/>
    </i>
    <i>
      <x v="249"/>
      <x v="16"/>
      <x v="8"/>
      <x v="4"/>
    </i>
    <i>
      <x v="250"/>
      <x v="2"/>
      <x v="4"/>
      <x v="1"/>
    </i>
    <i>
      <x v="251"/>
      <x v="2"/>
      <x/>
      <x v="2"/>
    </i>
    <i>
      <x v="252"/>
      <x v="5"/>
      <x v="20"/>
      <x v="3"/>
    </i>
    <i>
      <x v="253"/>
      <x v="12"/>
      <x v="1"/>
      <x v="4"/>
    </i>
    <i>
      <x v="254"/>
      <x v="12"/>
      <x v="15"/>
      <x v="1"/>
    </i>
    <i>
      <x v="255"/>
      <x v="9"/>
      <x v="14"/>
      <x/>
    </i>
    <i>
      <x v="256"/>
      <x v="18"/>
      <x v="19"/>
      <x v="3"/>
    </i>
    <i>
      <x v="257"/>
      <x v="11"/>
      <x v="1"/>
      <x v="4"/>
    </i>
    <i>
      <x v="258"/>
      <x v="19"/>
      <x v="17"/>
      <x v="3"/>
    </i>
    <i>
      <x v="259"/>
      <x v="1"/>
      <x v="9"/>
      <x v="2"/>
    </i>
    <i>
      <x v="260"/>
      <x v="11"/>
      <x v="20"/>
      <x v="3"/>
    </i>
    <i>
      <x v="261"/>
      <x v="19"/>
      <x v="15"/>
      <x v="1"/>
    </i>
    <i>
      <x v="262"/>
      <x v="15"/>
      <x v="7"/>
      <x v="3"/>
    </i>
    <i>
      <x v="263"/>
      <x/>
      <x v="13"/>
      <x v="1"/>
    </i>
    <i>
      <x v="264"/>
      <x v="15"/>
      <x v="16"/>
      <x/>
    </i>
    <i>
      <x v="265"/>
      <x v="16"/>
      <x v="1"/>
      <x v="4"/>
    </i>
    <i>
      <x v="266"/>
      <x v="17"/>
      <x v="12"/>
      <x v="4"/>
    </i>
    <i>
      <x v="267"/>
      <x v="8"/>
      <x v="16"/>
      <x/>
    </i>
    <i>
      <x v="268"/>
      <x v="15"/>
      <x v="16"/>
      <x/>
    </i>
    <i>
      <x v="269"/>
      <x v="12"/>
      <x/>
      <x v="2"/>
    </i>
    <i>
      <x v="270"/>
      <x v="6"/>
      <x v="13"/>
      <x v="1"/>
    </i>
    <i>
      <x v="271"/>
      <x v="17"/>
      <x v="3"/>
      <x v="4"/>
    </i>
    <i>
      <x v="272"/>
      <x v="15"/>
      <x v="3"/>
      <x v="4"/>
    </i>
    <i>
      <x v="273"/>
      <x v="3"/>
      <x v="19"/>
      <x v="3"/>
    </i>
    <i>
      <x v="274"/>
      <x v="18"/>
      <x v="20"/>
      <x v="3"/>
    </i>
    <i>
      <x v="275"/>
      <x v="17"/>
      <x v="1"/>
      <x v="4"/>
    </i>
    <i>
      <x v="276"/>
      <x v="4"/>
      <x v="17"/>
      <x v="3"/>
    </i>
    <i>
      <x v="277"/>
      <x v="17"/>
      <x v="2"/>
      <x v="1"/>
    </i>
    <i>
      <x v="278"/>
      <x v="9"/>
      <x v="3"/>
      <x v="4"/>
    </i>
    <i>
      <x v="279"/>
      <x v="12"/>
      <x v="12"/>
      <x v="4"/>
    </i>
    <i>
      <x v="280"/>
      <x v="14"/>
      <x v="19"/>
      <x v="3"/>
    </i>
    <i>
      <x v="281"/>
      <x v="9"/>
      <x v="15"/>
      <x v="1"/>
    </i>
    <i>
      <x v="282"/>
      <x v="13"/>
      <x v="3"/>
      <x v="4"/>
    </i>
    <i>
      <x v="283"/>
      <x v="9"/>
      <x v="5"/>
      <x/>
    </i>
    <i>
      <x v="284"/>
      <x/>
      <x v="10"/>
      <x/>
    </i>
    <i>
      <x v="285"/>
      <x v="3"/>
      <x v="12"/>
      <x v="4"/>
    </i>
    <i>
      <x v="286"/>
      <x v="10"/>
      <x v="1"/>
      <x v="4"/>
    </i>
    <i>
      <x v="287"/>
      <x v="18"/>
      <x v="1"/>
      <x v="4"/>
    </i>
    <i>
      <x v="288"/>
      <x v="4"/>
      <x v="6"/>
      <x v="2"/>
    </i>
    <i>
      <x v="289"/>
      <x v="11"/>
      <x v="15"/>
      <x v="1"/>
    </i>
    <i>
      <x v="290"/>
      <x v="19"/>
      <x v="5"/>
      <x/>
    </i>
    <i>
      <x v="291"/>
      <x v="19"/>
      <x v="14"/>
      <x/>
    </i>
    <i>
      <x v="292"/>
      <x v="15"/>
      <x v="18"/>
      <x v="2"/>
    </i>
    <i>
      <x v="293"/>
      <x/>
      <x v="3"/>
      <x v="4"/>
    </i>
    <i>
      <x v="294"/>
      <x v="1"/>
      <x v="20"/>
      <x v="3"/>
    </i>
    <i>
      <x v="295"/>
      <x v="14"/>
      <x v="12"/>
      <x v="4"/>
    </i>
    <i>
      <x v="296"/>
      <x v="9"/>
      <x v="15"/>
      <x v="1"/>
    </i>
    <i>
      <x v="297"/>
      <x v="14"/>
      <x v="9"/>
      <x v="2"/>
    </i>
    <i>
      <x v="298"/>
      <x v="6"/>
      <x v="18"/>
      <x v="2"/>
    </i>
    <i>
      <x v="299"/>
      <x v="16"/>
      <x v="2"/>
      <x v="1"/>
    </i>
    <i>
      <x v="300"/>
      <x v="11"/>
      <x v="3"/>
      <x v="4"/>
    </i>
    <i>
      <x v="301"/>
      <x v="1"/>
      <x v="12"/>
      <x v="4"/>
    </i>
    <i>
      <x v="302"/>
      <x v="16"/>
      <x v="18"/>
      <x v="2"/>
    </i>
    <i>
      <x v="303"/>
      <x v="3"/>
      <x v="19"/>
      <x v="3"/>
    </i>
    <i>
      <x v="304"/>
      <x v="5"/>
      <x v="5"/>
      <x/>
    </i>
    <i>
      <x v="305"/>
      <x v="8"/>
      <x v="19"/>
      <x v="3"/>
    </i>
    <i>
      <x v="306"/>
      <x v="17"/>
      <x v="1"/>
      <x v="4"/>
    </i>
    <i>
      <x v="307"/>
      <x v="1"/>
      <x v="20"/>
      <x v="3"/>
    </i>
    <i>
      <x v="308"/>
      <x v="19"/>
      <x v="14"/>
      <x/>
    </i>
    <i>
      <x v="309"/>
      <x v="6"/>
      <x v="19"/>
      <x v="3"/>
    </i>
    <i>
      <x v="310"/>
      <x v="1"/>
      <x v="3"/>
      <x v="4"/>
    </i>
    <i>
      <x v="311"/>
      <x v="11"/>
      <x v="17"/>
      <x v="3"/>
    </i>
    <i>
      <x v="312"/>
      <x v="16"/>
      <x v="8"/>
      <x v="4"/>
    </i>
    <i>
      <x v="313"/>
      <x v="14"/>
      <x v="8"/>
      <x v="4"/>
    </i>
    <i>
      <x v="314"/>
      <x v="3"/>
      <x v="9"/>
      <x v="2"/>
    </i>
    <i>
      <x v="315"/>
      <x v="2"/>
      <x v="4"/>
      <x v="1"/>
    </i>
    <i>
      <x v="316"/>
      <x v="19"/>
      <x v="2"/>
      <x v="1"/>
    </i>
    <i>
      <x v="317"/>
      <x v="6"/>
      <x v="9"/>
      <x v="2"/>
    </i>
    <i>
      <x v="318"/>
      <x v="10"/>
      <x v="14"/>
      <x/>
    </i>
    <i>
      <x v="319"/>
      <x v="19"/>
      <x v="13"/>
      <x v="1"/>
    </i>
    <i>
      <x v="320"/>
      <x v="9"/>
      <x v="11"/>
      <x v="2"/>
    </i>
    <i>
      <x v="321"/>
      <x v="8"/>
      <x v="5"/>
      <x/>
    </i>
    <i>
      <x v="322"/>
      <x v="12"/>
      <x v="17"/>
      <x v="3"/>
    </i>
    <i>
      <x v="323"/>
      <x v="16"/>
      <x v="7"/>
      <x v="3"/>
    </i>
    <i>
      <x v="324"/>
      <x v="19"/>
      <x v="4"/>
      <x v="1"/>
    </i>
    <i>
      <x v="325"/>
      <x v="3"/>
      <x v="3"/>
      <x v="4"/>
    </i>
    <i>
      <x v="326"/>
      <x v="17"/>
      <x v="8"/>
      <x v="4"/>
    </i>
    <i>
      <x v="327"/>
      <x v="12"/>
      <x v="2"/>
      <x v="1"/>
    </i>
    <i>
      <x v="328"/>
      <x v="5"/>
      <x v="2"/>
      <x v="1"/>
    </i>
    <i>
      <x v="329"/>
      <x v="18"/>
      <x v="6"/>
      <x v="2"/>
    </i>
    <i>
      <x v="330"/>
      <x v="4"/>
      <x v="7"/>
      <x v="3"/>
    </i>
    <i>
      <x v="331"/>
      <x v="5"/>
      <x v="11"/>
      <x v="2"/>
    </i>
    <i>
      <x v="332"/>
      <x v="6"/>
      <x v="11"/>
      <x v="2"/>
    </i>
    <i>
      <x v="333"/>
      <x/>
      <x v="8"/>
      <x v="4"/>
    </i>
    <i>
      <x v="334"/>
      <x v="19"/>
      <x v="7"/>
      <x v="3"/>
    </i>
    <i>
      <x v="335"/>
      <x v="4"/>
      <x v="16"/>
      <x/>
    </i>
    <i>
      <x v="336"/>
      <x v="15"/>
      <x v="7"/>
      <x v="3"/>
    </i>
    <i>
      <x v="337"/>
      <x v="5"/>
      <x v="20"/>
      <x v="3"/>
    </i>
    <i>
      <x v="338"/>
      <x v="11"/>
      <x v="19"/>
      <x v="3"/>
    </i>
    <i>
      <x v="339"/>
      <x v="9"/>
      <x v="17"/>
      <x v="3"/>
    </i>
    <i>
      <x v="340"/>
      <x v="11"/>
      <x v="8"/>
      <x v="4"/>
    </i>
    <i>
      <x v="341"/>
      <x v="12"/>
      <x v="1"/>
      <x v="4"/>
    </i>
    <i>
      <x v="342"/>
      <x v="15"/>
      <x v="9"/>
      <x v="2"/>
    </i>
    <i>
      <x v="343"/>
      <x v="17"/>
      <x v="10"/>
      <x/>
    </i>
    <i>
      <x v="344"/>
      <x v="3"/>
      <x/>
      <x v="2"/>
    </i>
    <i>
      <x v="345"/>
      <x v="9"/>
      <x v="2"/>
      <x v="1"/>
    </i>
    <i>
      <x v="346"/>
      <x v="6"/>
      <x v="7"/>
      <x v="3"/>
    </i>
    <i>
      <x v="347"/>
      <x/>
      <x v="13"/>
      <x v="1"/>
    </i>
    <i>
      <x v="348"/>
      <x v="8"/>
      <x v="6"/>
      <x v="2"/>
    </i>
    <i>
      <x v="349"/>
      <x v="14"/>
      <x v="7"/>
      <x v="3"/>
    </i>
    <i>
      <x v="350"/>
      <x v="8"/>
      <x/>
      <x v="2"/>
    </i>
    <i>
      <x v="351"/>
      <x v="9"/>
      <x v="5"/>
      <x/>
    </i>
    <i>
      <x v="352"/>
      <x v="4"/>
      <x v="7"/>
      <x v="3"/>
    </i>
    <i>
      <x v="353"/>
      <x v="15"/>
      <x v="10"/>
      <x/>
    </i>
    <i>
      <x v="354"/>
      <x v="13"/>
      <x v="17"/>
      <x v="3"/>
    </i>
    <i>
      <x v="355"/>
      <x v="9"/>
      <x v="14"/>
      <x/>
    </i>
    <i>
      <x v="356"/>
      <x v="6"/>
      <x v="1"/>
      <x v="4"/>
    </i>
    <i>
      <x v="357"/>
      <x v="3"/>
      <x v="18"/>
      <x v="2"/>
    </i>
    <i>
      <x v="358"/>
      <x v="15"/>
      <x v="20"/>
      <x v="3"/>
    </i>
    <i>
      <x v="359"/>
      <x v="8"/>
      <x v="9"/>
      <x v="2"/>
    </i>
    <i>
      <x v="360"/>
      <x v="19"/>
      <x v="11"/>
      <x v="2"/>
    </i>
    <i>
      <x v="361"/>
      <x v="17"/>
      <x v="2"/>
      <x v="1"/>
    </i>
    <i>
      <x v="362"/>
      <x v="17"/>
      <x v="14"/>
      <x/>
    </i>
    <i>
      <x v="363"/>
      <x v="16"/>
      <x v="10"/>
      <x/>
    </i>
    <i>
      <x v="364"/>
      <x v="5"/>
      <x v="9"/>
      <x v="2"/>
    </i>
    <i>
      <x v="365"/>
      <x v="17"/>
      <x v="5"/>
      <x/>
    </i>
    <i>
      <x v="366"/>
      <x v="1"/>
      <x v="4"/>
      <x v="1"/>
    </i>
    <i>
      <x v="367"/>
      <x v="17"/>
      <x v="14"/>
      <x/>
    </i>
    <i>
      <x v="368"/>
      <x v="12"/>
      <x v="1"/>
      <x v="4"/>
    </i>
    <i>
      <x v="369"/>
      <x v="4"/>
      <x v="4"/>
      <x v="1"/>
    </i>
    <i>
      <x v="370"/>
      <x v="9"/>
      <x v="2"/>
      <x v="1"/>
    </i>
    <i>
      <x v="371"/>
      <x v="2"/>
      <x v="4"/>
      <x v="1"/>
    </i>
    <i>
      <x v="372"/>
      <x v="11"/>
      <x/>
      <x v="2"/>
    </i>
    <i>
      <x v="373"/>
      <x v="5"/>
      <x v="15"/>
      <x v="1"/>
    </i>
    <i>
      <x v="374"/>
      <x v="6"/>
      <x v="18"/>
      <x v="2"/>
    </i>
    <i>
      <x v="375"/>
      <x/>
      <x/>
      <x v="2"/>
    </i>
    <i>
      <x v="376"/>
      <x v="7"/>
      <x v="12"/>
      <x v="4"/>
    </i>
    <i>
      <x v="377"/>
      <x v="14"/>
      <x v="19"/>
      <x v="3"/>
    </i>
    <i>
      <x v="378"/>
      <x v="17"/>
      <x v="20"/>
      <x v="3"/>
    </i>
    <i>
      <x v="379"/>
      <x v="14"/>
      <x v="20"/>
      <x v="3"/>
    </i>
    <i>
      <x v="380"/>
      <x v="8"/>
      <x v="11"/>
      <x v="2"/>
    </i>
    <i>
      <x v="381"/>
      <x v="8"/>
      <x v="12"/>
      <x v="4"/>
    </i>
    <i>
      <x v="382"/>
      <x v="3"/>
      <x v="13"/>
      <x v="1"/>
    </i>
    <i>
      <x v="383"/>
      <x v="13"/>
      <x v="4"/>
      <x v="1"/>
    </i>
    <i>
      <x v="384"/>
      <x v="2"/>
      <x v="15"/>
      <x v="1"/>
    </i>
    <i>
      <x v="385"/>
      <x v="10"/>
      <x v="20"/>
      <x v="3"/>
    </i>
    <i>
      <x v="386"/>
      <x v="6"/>
      <x v="9"/>
      <x v="2"/>
    </i>
    <i>
      <x v="387"/>
      <x v="13"/>
      <x v="7"/>
      <x v="3"/>
    </i>
    <i>
      <x v="388"/>
      <x v="16"/>
      <x v="11"/>
      <x v="2"/>
    </i>
    <i>
      <x v="389"/>
      <x/>
      <x v="1"/>
      <x v="4"/>
    </i>
    <i>
      <x v="390"/>
      <x v="7"/>
      <x v="16"/>
      <x/>
    </i>
    <i>
      <x v="391"/>
      <x v="17"/>
      <x v="4"/>
      <x v="1"/>
    </i>
    <i>
      <x v="392"/>
      <x v="8"/>
      <x v="15"/>
      <x v="1"/>
    </i>
    <i>
      <x v="393"/>
      <x v="7"/>
      <x v="17"/>
      <x v="3"/>
    </i>
    <i>
      <x v="394"/>
      <x v="17"/>
      <x v="5"/>
      <x/>
    </i>
    <i>
      <x v="395"/>
      <x v="7"/>
      <x v="17"/>
      <x v="3"/>
    </i>
    <i>
      <x v="396"/>
      <x v="4"/>
      <x v="17"/>
      <x v="3"/>
    </i>
    <i>
      <x v="397"/>
      <x v="4"/>
      <x v="10"/>
      <x/>
    </i>
    <i>
      <x v="398"/>
      <x v="4"/>
      <x v="1"/>
      <x v="4"/>
    </i>
    <i>
      <x v="399"/>
      <x v="5"/>
      <x v="9"/>
      <x v="2"/>
    </i>
    <i>
      <x v="400"/>
      <x v="10"/>
      <x v="18"/>
      <x v="2"/>
    </i>
    <i>
      <x v="401"/>
      <x v="5"/>
      <x v="2"/>
      <x v="1"/>
    </i>
    <i>
      <x v="402"/>
      <x v="3"/>
      <x v="10"/>
      <x/>
    </i>
    <i>
      <x v="403"/>
      <x v="7"/>
      <x v="20"/>
      <x v="3"/>
    </i>
    <i>
      <x v="404"/>
      <x v="9"/>
      <x v="17"/>
      <x v="3"/>
    </i>
    <i>
      <x v="405"/>
      <x v="5"/>
      <x v="5"/>
      <x/>
    </i>
    <i>
      <x v="406"/>
      <x v="17"/>
      <x v="18"/>
      <x v="2"/>
    </i>
    <i>
      <x v="407"/>
      <x v="14"/>
      <x v="15"/>
      <x v="1"/>
    </i>
    <i>
      <x v="408"/>
      <x v="10"/>
      <x v="1"/>
      <x v="4"/>
    </i>
    <i>
      <x v="409"/>
      <x v="3"/>
      <x v="1"/>
      <x v="4"/>
    </i>
    <i>
      <x v="410"/>
      <x v="1"/>
      <x v="2"/>
      <x v="1"/>
    </i>
    <i>
      <x v="411"/>
      <x/>
      <x v="2"/>
      <x v="1"/>
    </i>
    <i>
      <x v="412"/>
      <x v="11"/>
      <x v="8"/>
      <x v="4"/>
    </i>
    <i>
      <x v="413"/>
      <x v="1"/>
      <x v="16"/>
      <x/>
    </i>
    <i>
      <x v="414"/>
      <x/>
      <x v="3"/>
      <x v="4"/>
    </i>
    <i>
      <x v="415"/>
      <x/>
      <x v="20"/>
      <x v="3"/>
    </i>
    <i>
      <x v="416"/>
      <x v="1"/>
      <x v="10"/>
      <x/>
    </i>
    <i>
      <x v="417"/>
      <x v="8"/>
      <x v="6"/>
      <x v="2"/>
    </i>
    <i>
      <x v="418"/>
      <x v="3"/>
      <x v="2"/>
      <x v="1"/>
    </i>
    <i>
      <x v="419"/>
      <x v="9"/>
      <x v="4"/>
      <x v="1"/>
    </i>
    <i>
      <x v="420"/>
      <x v="4"/>
      <x v="7"/>
      <x v="3"/>
    </i>
    <i>
      <x v="421"/>
      <x v="5"/>
      <x v="1"/>
      <x v="4"/>
    </i>
    <i>
      <x v="422"/>
      <x v="7"/>
      <x v="18"/>
      <x v="2"/>
    </i>
    <i>
      <x v="423"/>
      <x v="19"/>
      <x v="13"/>
      <x v="1"/>
    </i>
    <i>
      <x v="424"/>
      <x v="18"/>
      <x v="12"/>
      <x v="4"/>
    </i>
    <i>
      <x v="425"/>
      <x v="6"/>
      <x v="13"/>
      <x v="1"/>
    </i>
    <i>
      <x v="426"/>
      <x v="8"/>
      <x v="2"/>
      <x v="1"/>
    </i>
    <i>
      <x v="427"/>
      <x v="3"/>
      <x v="16"/>
      <x/>
    </i>
    <i>
      <x v="428"/>
      <x v="16"/>
      <x v="17"/>
      <x v="3"/>
    </i>
    <i>
      <x v="429"/>
      <x v="14"/>
      <x/>
      <x v="2"/>
    </i>
    <i>
      <x v="430"/>
      <x v="1"/>
      <x v="4"/>
      <x v="1"/>
    </i>
    <i>
      <x v="431"/>
      <x v="15"/>
      <x v="12"/>
      <x v="4"/>
    </i>
    <i>
      <x v="432"/>
      <x v="19"/>
      <x v="9"/>
      <x v="2"/>
    </i>
    <i>
      <x v="433"/>
      <x v="4"/>
      <x v="10"/>
      <x/>
    </i>
    <i>
      <x v="434"/>
      <x v="5"/>
      <x v="16"/>
      <x/>
    </i>
    <i>
      <x v="435"/>
      <x v="7"/>
      <x v="13"/>
      <x v="1"/>
    </i>
    <i>
      <x v="436"/>
      <x v="6"/>
      <x v="13"/>
      <x v="1"/>
    </i>
    <i>
      <x v="437"/>
      <x/>
      <x v="19"/>
      <x v="3"/>
    </i>
    <i>
      <x v="438"/>
      <x/>
      <x v="17"/>
      <x v="3"/>
    </i>
    <i>
      <x v="439"/>
      <x v="10"/>
      <x v="4"/>
      <x v="1"/>
    </i>
    <i>
      <x v="440"/>
      <x v="6"/>
      <x v="2"/>
      <x v="1"/>
    </i>
    <i>
      <x v="441"/>
      <x v="2"/>
      <x v="14"/>
      <x/>
    </i>
    <i>
      <x v="442"/>
      <x v="6"/>
      <x v="19"/>
      <x v="3"/>
    </i>
    <i>
      <x v="443"/>
      <x v="12"/>
      <x v="19"/>
      <x v="3"/>
    </i>
    <i>
      <x v="444"/>
      <x v="5"/>
      <x v="20"/>
      <x v="3"/>
    </i>
    <i>
      <x v="445"/>
      <x v="5"/>
      <x v="20"/>
      <x v="3"/>
    </i>
    <i>
      <x v="446"/>
      <x v="8"/>
      <x v="17"/>
      <x v="3"/>
    </i>
    <i>
      <x v="447"/>
      <x v="15"/>
      <x v="3"/>
      <x v="4"/>
    </i>
    <i>
      <x v="448"/>
      <x v="19"/>
      <x v="17"/>
      <x v="3"/>
    </i>
    <i>
      <x v="449"/>
      <x v="10"/>
      <x/>
      <x v="2"/>
    </i>
    <i>
      <x v="450"/>
      <x v="9"/>
      <x v="17"/>
      <x v="3"/>
    </i>
    <i>
      <x v="451"/>
      <x v="16"/>
      <x v="4"/>
      <x v="1"/>
    </i>
    <i>
      <x v="452"/>
      <x v="13"/>
      <x v="1"/>
      <x v="4"/>
    </i>
    <i>
      <x v="453"/>
      <x v="9"/>
      <x v="9"/>
      <x v="2"/>
    </i>
    <i>
      <x v="454"/>
      <x v="18"/>
      <x v="20"/>
      <x v="3"/>
    </i>
    <i>
      <x v="455"/>
      <x v="13"/>
      <x v="20"/>
      <x v="3"/>
    </i>
    <i>
      <x v="456"/>
      <x v="6"/>
      <x/>
      <x v="2"/>
    </i>
    <i>
      <x v="457"/>
      <x v="7"/>
      <x v="18"/>
      <x v="2"/>
    </i>
    <i>
      <x v="458"/>
      <x v="1"/>
      <x v="12"/>
      <x v="4"/>
    </i>
    <i>
      <x v="459"/>
      <x v="9"/>
      <x v="7"/>
      <x v="3"/>
    </i>
    <i>
      <x v="460"/>
      <x v="12"/>
      <x v="19"/>
      <x v="3"/>
    </i>
    <i>
      <x v="461"/>
      <x v="7"/>
      <x v="8"/>
      <x v="4"/>
    </i>
    <i>
      <x v="462"/>
      <x v="14"/>
      <x/>
      <x v="2"/>
    </i>
    <i>
      <x v="463"/>
      <x v="13"/>
      <x v="7"/>
      <x v="3"/>
    </i>
    <i>
      <x v="464"/>
      <x v="14"/>
      <x v="8"/>
      <x v="4"/>
    </i>
    <i>
      <x v="465"/>
      <x v="1"/>
      <x v="8"/>
      <x v="4"/>
    </i>
    <i>
      <x v="466"/>
      <x/>
      <x v="5"/>
      <x/>
    </i>
    <i>
      <x v="467"/>
      <x v="6"/>
      <x v="8"/>
      <x v="4"/>
    </i>
    <i>
      <x v="468"/>
      <x v="10"/>
      <x/>
      <x v="2"/>
    </i>
    <i>
      <x v="469"/>
      <x v="12"/>
      <x v="12"/>
      <x v="4"/>
    </i>
    <i>
      <x v="470"/>
      <x v="4"/>
      <x v="1"/>
      <x v="4"/>
    </i>
    <i>
      <x v="471"/>
      <x v="1"/>
      <x v="13"/>
      <x v="1"/>
    </i>
    <i>
      <x v="472"/>
      <x v="18"/>
      <x v="9"/>
      <x v="2"/>
    </i>
    <i>
      <x v="473"/>
      <x v="12"/>
      <x v="10"/>
      <x/>
    </i>
    <i>
      <x v="474"/>
      <x v="5"/>
      <x v="16"/>
      <x/>
    </i>
    <i>
      <x v="475"/>
      <x v="9"/>
      <x v="12"/>
      <x v="4"/>
    </i>
    <i>
      <x v="476"/>
      <x v="18"/>
      <x v="8"/>
      <x v="4"/>
    </i>
    <i>
      <x v="477"/>
      <x v="4"/>
      <x v="17"/>
      <x v="3"/>
    </i>
    <i>
      <x v="478"/>
      <x v="7"/>
      <x v="1"/>
      <x v="4"/>
    </i>
    <i>
      <x v="479"/>
      <x v="19"/>
      <x v="10"/>
      <x/>
    </i>
    <i>
      <x v="480"/>
      <x v="7"/>
      <x v="2"/>
      <x v="1"/>
    </i>
    <i>
      <x v="481"/>
      <x v="15"/>
      <x v="1"/>
      <x v="4"/>
    </i>
    <i>
      <x v="482"/>
      <x v="11"/>
      <x v="17"/>
      <x v="3"/>
    </i>
    <i>
      <x v="483"/>
      <x v="18"/>
      <x/>
      <x v="2"/>
    </i>
    <i>
      <x v="484"/>
      <x v="6"/>
      <x/>
      <x v="2"/>
    </i>
    <i>
      <x v="485"/>
      <x v="11"/>
      <x/>
      <x v="2"/>
    </i>
    <i>
      <x v="486"/>
      <x v="7"/>
      <x v="20"/>
      <x v="3"/>
    </i>
    <i>
      <x v="487"/>
      <x v="13"/>
      <x v="17"/>
      <x v="3"/>
    </i>
    <i>
      <x v="488"/>
      <x v="5"/>
      <x v="9"/>
      <x v="2"/>
    </i>
    <i>
      <x v="489"/>
      <x v="4"/>
      <x v="10"/>
      <x/>
    </i>
    <i>
      <x v="490"/>
      <x v="9"/>
      <x v="7"/>
      <x v="3"/>
    </i>
    <i>
      <x v="491"/>
      <x v="5"/>
      <x v="5"/>
      <x/>
    </i>
    <i>
      <x v="492"/>
      <x v="12"/>
      <x v="4"/>
      <x v="1"/>
    </i>
    <i>
      <x v="493"/>
      <x v="5"/>
      <x v="14"/>
      <x/>
    </i>
    <i>
      <x v="494"/>
      <x v="14"/>
      <x/>
      <x v="2"/>
    </i>
    <i>
      <x v="495"/>
      <x v="8"/>
      <x v="4"/>
      <x v="1"/>
    </i>
    <i>
      <x v="496"/>
      <x v="16"/>
      <x v="14"/>
      <x/>
    </i>
    <i>
      <x v="497"/>
      <x v="11"/>
      <x v="18"/>
      <x v="2"/>
    </i>
    <i>
      <x v="498"/>
      <x v="1"/>
      <x v="14"/>
      <x/>
    </i>
    <i>
      <x v="499"/>
      <x v="17"/>
      <x/>
      <x v="2"/>
    </i>
    <i t="grand">
      <x/>
    </i>
  </rowItems>
  <colItems count="1">
    <i/>
  </colItems>
  <dataFields count="1">
    <dataField name="Sum of Sales" fld="8" baseField="0" baseItem="0"/>
  </dataFields>
  <formats count="1">
    <format dxfId="105">
      <pivotArea collapsedLevelsAreSubtotals="1" fieldPosition="0">
        <references count="1">
          <reference field="4294967294" count="1">
            <x v="0"/>
          </reference>
        </references>
      </pivotArea>
    </format>
  </formats>
  <pivotTableStyleInfo name="PivotStyleLight16" showRowHeaders="1" showColHeaders="1" showRowStripes="0" showColStripes="0" showLastColumn="1"/>
  <filters count="1">
    <filter fld="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B3E7765-DEC3-4B13-B11A-F936CE66CBEB}" name="PivotTable12" cacheId="0" dataOnRows="1" applyNumberFormats="0" applyBorderFormats="0" applyFontFormats="0" applyPatternFormats="0" applyAlignmentFormats="0" applyWidthHeightFormats="1" dataCaption="Values" updatedVersion="7" minRefreshableVersion="3" itemPrintTitles="1" createdVersion="7" indent="0" outline="1" outlineData="1" multipleFieldFilters="0">
  <location ref="A3:B8" firstHeaderRow="1" firstDataRow="1" firstDataCol="1"/>
  <pivotFields count="13">
    <pivotField dataField="1" showAll="0"/>
    <pivotField showAll="0"/>
    <pivotField showAll="0"/>
    <pivotField showAll="0"/>
    <pivotField showAll="0"/>
    <pivotField showAll="0"/>
    <pivotField showAll="0">
      <items count="5">
        <item x="2"/>
        <item x="0"/>
        <item x="3"/>
        <item x="1"/>
        <item t="default"/>
      </items>
    </pivotField>
    <pivotField showAll="0">
      <items count="5">
        <item x="2"/>
        <item x="0"/>
        <item x="1"/>
        <item x="3"/>
        <item t="default"/>
      </items>
    </pivotField>
    <pivotField dataField="1" showAll="0"/>
    <pivotField dataField="1" showAll="0"/>
    <pivotField dataField="1" showAll="0"/>
    <pivotField dataField="1" showAll="0"/>
    <pivotField showAll="0">
      <items count="13">
        <item x="10"/>
        <item x="7"/>
        <item x="6"/>
        <item x="2"/>
        <item x="0"/>
        <item x="9"/>
        <item x="4"/>
        <item x="3"/>
        <item x="5"/>
        <item x="1"/>
        <item x="11"/>
        <item x="8"/>
        <item t="default"/>
      </items>
    </pivotField>
  </pivotFields>
  <rowFields count="1">
    <field x="-2"/>
  </rowFields>
  <rowItems count="5">
    <i>
      <x/>
    </i>
    <i i="1">
      <x v="1"/>
    </i>
    <i i="2">
      <x v="2"/>
    </i>
    <i i="3">
      <x v="3"/>
    </i>
    <i i="4">
      <x v="4"/>
    </i>
  </rowItems>
  <colItems count="1">
    <i/>
  </colItems>
  <dataFields count="5">
    <dataField name="Count of Order_ID" fld="0" subtotal="count" baseField="0" baseItem="0"/>
    <dataField name="Average of Rating" fld="10" subtotal="average" baseField="0" baseItem="34865372"/>
    <dataField name="Sum of Sales" fld="8" baseField="0" baseItem="0"/>
    <dataField name="Average of Quantity" fld="9" subtotal="average" baseField="0" baseItem="262601"/>
    <dataField name="Sum of Delivery" fld="11" baseField="0" baseItem="0"/>
  </dataFields>
  <formats count="4">
    <format dxfId="109">
      <pivotArea collapsedLevelsAreSubtotals="1" fieldPosition="0">
        <references count="1">
          <reference field="4294967294" count="1">
            <x v="1"/>
          </reference>
        </references>
      </pivotArea>
    </format>
    <format dxfId="108">
      <pivotArea collapsedLevelsAreSubtotals="1" fieldPosition="0">
        <references count="1">
          <reference field="4294967294" count="1">
            <x v="2"/>
          </reference>
        </references>
      </pivotArea>
    </format>
    <format dxfId="107">
      <pivotArea outline="0" fieldPosition="0">
        <references count="1">
          <reference field="4294967294" count="1">
            <x v="4"/>
          </reference>
        </references>
      </pivotArea>
    </format>
    <format dxfId="106">
      <pivotArea collapsedLevelsAreSubtotals="1" fieldPosition="0">
        <references count="1">
          <reference field="4294967294" count="1">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ller" xr10:uid="{A80A22C3-E859-421E-ADCC-FA9E8247AAF8}" sourceName="Seller">
  <pivotTables>
    <pivotTable tabId="7" name="PivotTable17"/>
    <pivotTable tabId="7" name="PivotTable12"/>
    <pivotTable tabId="7" name="PivotTable13"/>
    <pivotTable tabId="7" name="PivotTable14"/>
    <pivotTable tabId="7" name="PivotTable15"/>
    <pivotTable tabId="7" name="PivotTable16"/>
    <pivotTable tabId="7" name="PivotTable18"/>
  </pivotTables>
  <data>
    <tabular pivotCacheId="1899728452">
      <items count="4">
        <i x="2" s="1"/>
        <i x="0"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FBC7FEA8-DB28-4385-9E33-1F7BA8152AF4}" sourceName="Payment_Method">
  <pivotTables>
    <pivotTable tabId="7" name="PivotTable17"/>
    <pivotTable tabId="7" name="PivotTable12"/>
    <pivotTable tabId="7" name="PivotTable13"/>
    <pivotTable tabId="7" name="PivotTable14"/>
    <pivotTable tabId="7" name="PivotTable15"/>
    <pivotTable tabId="7" name="PivotTable16"/>
    <pivotTable tabId="7" name="PivotTable18"/>
  </pivotTables>
  <data>
    <tabular pivotCacheId="1899728452">
      <items count="4">
        <i x="2" s="1"/>
        <i x="0"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 xr10:uid="{D67F6D88-040F-4013-800B-BD0C2D295E1F}" sourceName="Sales">
  <pivotTables>
    <pivotTable tabId="7" name="PivotTable17"/>
  </pivotTables>
  <data>
    <tabular pivotCacheId="1899728452">
      <items count="492">
        <i x="23" s="1"/>
        <i x="80" s="1"/>
        <i x="239" s="1"/>
        <i x="125" s="1"/>
        <i x="412" s="1"/>
        <i x="391" s="1"/>
        <i x="267" s="1"/>
        <i x="467" s="1"/>
        <i x="247" s="1"/>
        <i x="427" s="1"/>
        <i x="401" s="1"/>
        <i x="448" s="1"/>
        <i x="265" s="1"/>
        <i x="481" s="1"/>
        <i x="13" s="1"/>
        <i x="41" s="1"/>
        <i x="280" s="1"/>
        <i x="91" s="1"/>
        <i x="473" s="1"/>
        <i x="88" s="1"/>
        <i x="199" s="1"/>
        <i x="326" s="1"/>
        <i x="197" s="1"/>
        <i x="231" s="1"/>
        <i x="106" s="1"/>
        <i x="51" s="1"/>
        <i x="235" s="1"/>
        <i x="357" s="1"/>
        <i x="429" s="1"/>
        <i x="356" s="1"/>
        <i x="219" s="1"/>
        <i x="140" s="1"/>
        <i x="96" s="1"/>
        <i x="428" s="1"/>
        <i x="10" s="1"/>
        <i x="163" s="1"/>
        <i x="107" s="1"/>
        <i x="419" s="1"/>
        <i x="312" s="1"/>
        <i x="490" s="1"/>
        <i x="180" s="1"/>
        <i x="292" s="1"/>
        <i x="33" s="1"/>
        <i x="78" s="1"/>
        <i x="164" s="1"/>
        <i x="363" s="1"/>
        <i x="417" s="1"/>
        <i x="142" s="1"/>
        <i x="42" s="1"/>
        <i x="413" s="1"/>
        <i x="165" s="1"/>
        <i x="226" s="1"/>
        <i x="74" s="1"/>
        <i x="291" s="1"/>
        <i x="377" s="1"/>
        <i x="290" s="1"/>
        <i x="159" s="1"/>
        <i x="361" s="1"/>
        <i x="55" s="1"/>
        <i x="488" s="1"/>
        <i x="385" s="1"/>
        <i x="355" s="1"/>
        <i x="0" s="1"/>
        <i x="146" s="1"/>
        <i x="216" s="1"/>
        <i x="52" s="1"/>
        <i x="233" s="1"/>
        <i x="171" s="1"/>
        <i x="98" s="1"/>
        <i x="61" s="1"/>
        <i x="108" s="1"/>
        <i x="103" s="1"/>
        <i x="76" s="1"/>
        <i x="371" s="1"/>
        <i x="123" s="1"/>
        <i x="183" s="1"/>
        <i x="65" s="1"/>
        <i x="110" s="1"/>
        <i x="224" s="1"/>
        <i x="433" s="1"/>
        <i x="323" s="1"/>
        <i x="85" s="1"/>
        <i x="314" s="1"/>
        <i x="347" s="1"/>
        <i x="7" s="1"/>
        <i x="172" s="1"/>
        <i x="430" s="1"/>
        <i x="200" s="1"/>
        <i x="293" s="1"/>
        <i x="287" s="1"/>
        <i x="460" s="1"/>
        <i x="207" s="1"/>
        <i x="136" s="1"/>
        <i x="194" s="1"/>
        <i x="305" s="1"/>
        <i x="373" s="1"/>
        <i x="405" s="1"/>
        <i x="376" s="1"/>
        <i x="301" s="1"/>
        <i x="135" s="1"/>
        <i x="24" s="1"/>
        <i x="117" s="1"/>
        <i x="213" s="1"/>
        <i x="286" s="1"/>
        <i x="278" s="1"/>
        <i x="388" s="1"/>
        <i x="410" s="1"/>
        <i x="28" s="1"/>
        <i x="364" s="1"/>
        <i x="258" s="1"/>
        <i x="87" s="1"/>
        <i x="240" s="1"/>
        <i x="349" s="1"/>
        <i x="264" s="1"/>
        <i x="145" s="1"/>
        <i x="453" s="1"/>
        <i x="487" s="1"/>
        <i x="120" s="1"/>
        <i x="209" s="1"/>
        <i x="169" s="1"/>
        <i x="320" s="1"/>
        <i x="86" s="1"/>
        <i x="71" s="1"/>
        <i x="67" s="1"/>
        <i x="260" s="1"/>
        <i x="274" s="1"/>
        <i x="483" s="1"/>
        <i x="211" s="1"/>
        <i x="223" s="1"/>
        <i x="19" s="1"/>
        <i x="406" s="1"/>
        <i x="162" s="1"/>
        <i x="54" s="1"/>
        <i x="32" s="1"/>
        <i x="352" s="1"/>
        <i x="15" s="1"/>
        <i x="21" s="1"/>
        <i x="242" s="1"/>
        <i x="118" s="1"/>
        <i x="5" s="1"/>
        <i x="379" s="1"/>
        <i x="72" s="1"/>
        <i x="465" s="1"/>
        <i x="166" s="1"/>
        <i x="485" s="1"/>
        <i x="195" s="1"/>
        <i x="155" s="1"/>
        <i x="208" s="1"/>
        <i x="468" s="1"/>
        <i x="421" s="1"/>
        <i x="170" s="1"/>
        <i x="297" s="1"/>
        <i x="234" s="1"/>
        <i x="230" s="1"/>
        <i x="161" s="1"/>
        <i x="143" s="1"/>
        <i x="220" s="1"/>
        <i x="75" s="1"/>
        <i x="66" s="1"/>
        <i x="99" s="1"/>
        <i x="318" s="1"/>
        <i x="141" s="1"/>
        <i x="202" s="1"/>
        <i x="188" s="1"/>
        <i x="62" s="1"/>
        <i x="420" s="1"/>
        <i x="259" s="1"/>
        <i x="272" s="1"/>
        <i x="360" s="1"/>
        <i x="34" s="1"/>
        <i x="252" s="1"/>
        <i x="332" s="1"/>
        <i x="435" s="1"/>
        <i x="339" s="1"/>
        <i x="275" s="1"/>
        <i x="479" s="1"/>
        <i x="343" s="1"/>
        <i x="130" s="1"/>
        <i x="324" s="1"/>
        <i x="330" s="1"/>
        <i x="365" s="1"/>
        <i x="139" s="1"/>
        <i x="186" s="1"/>
        <i x="404" s="1"/>
        <i x="341" s="1"/>
        <i x="484" s="1"/>
        <i x="319" s="1"/>
        <i x="218" s="1"/>
        <i x="253" s="1"/>
        <i x="381" s="1"/>
        <i x="152" s="1"/>
        <i x="469" s="1"/>
        <i x="205" s="1"/>
        <i x="398" s="1"/>
        <i x="113" s="1"/>
        <i x="367" s="1"/>
        <i x="77" s="1"/>
        <i x="304" s="1"/>
        <i x="262" s="1"/>
        <i x="82" s="1"/>
        <i x="303" s="1"/>
        <i x="322" s="1"/>
        <i x="399" s="1"/>
        <i x="14" s="1"/>
        <i x="37" s="1"/>
        <i x="317" s="1"/>
        <i x="261" s="1"/>
        <i x="132" s="1"/>
        <i x="464" s="1"/>
        <i x="167" s="1"/>
        <i x="84" s="1"/>
        <i x="93" s="1"/>
        <i x="60" s="1"/>
        <i x="370" s="1"/>
        <i x="474" s="1"/>
        <i x="397" s="1"/>
        <i x="9" s="1"/>
        <i x="29" s="1"/>
        <i x="296" s="1"/>
        <i x="395" s="1"/>
        <i x="12" s="1"/>
        <i x="196" s="1"/>
        <i x="179" s="1"/>
        <i x="201" s="1"/>
        <i x="389" s="1"/>
        <i x="458" s="1"/>
        <i x="445" s="1"/>
        <i x="396" s="1"/>
        <i x="40" s="1"/>
        <i x="422" s="1"/>
        <i x="359" s="1"/>
        <i x="241" s="1"/>
        <i x="225" s="1"/>
        <i x="337" s="1"/>
        <i x="437" s="1"/>
        <i x="449" s="1"/>
        <i x="237" s="1"/>
        <i x="53" s="1"/>
        <i x="18" s="1"/>
        <i x="378" s="1"/>
        <i x="109" s="1"/>
        <i x="251" s="1"/>
        <i x="309" s="1"/>
        <i x="122" s="1"/>
        <i x="307" s="1"/>
        <i x="288" s="1"/>
        <i x="3" s="1"/>
        <i x="331" s="1"/>
        <i x="26" s="1"/>
        <i x="133" s="1"/>
        <i x="178" s="1"/>
        <i x="127" s="1"/>
        <i x="438" s="1"/>
        <i x="97" s="1"/>
        <i x="281" s="1"/>
        <i x="300" s="1"/>
        <i x="329" s="1"/>
        <i x="455" s="1"/>
        <i x="424" s="1"/>
        <i x="311" s="1"/>
        <i x="129" s="1"/>
        <i x="192" s="1"/>
        <i x="210" s="1"/>
        <i x="39" s="1"/>
        <i x="175" s="1"/>
        <i x="434" s="1"/>
        <i x="384" s="1"/>
        <i x="79" s="1"/>
        <i x="315" s="1"/>
        <i x="431" s="1"/>
        <i x="386" s="1"/>
        <i x="111" s="1"/>
        <i x="446" s="1"/>
        <i x="407" s="1"/>
        <i x="147" s="1"/>
        <i x="444" s="1"/>
        <i x="4" s="1"/>
        <i x="68" s="1"/>
        <i x="390" s="1"/>
        <i x="276" s="1"/>
        <i x="306" s="1"/>
        <i x="131" s="1"/>
        <i x="31" s="1"/>
        <i x="221" s="1"/>
        <i x="471" s="1"/>
        <i x="342" s="1"/>
        <i x="452" s="1"/>
        <i x="105" s="1"/>
        <i x="232" s="1"/>
        <i x="255" s="1"/>
        <i x="184" s="1"/>
        <i x="257" s="1"/>
        <i x="191" s="1"/>
        <i x="244" s="1"/>
        <i x="150" s="1"/>
        <i x="149" s="1"/>
        <i x="116" s="1"/>
        <i x="16" s="1"/>
        <i x="246" s="1"/>
        <i x="463" s="1"/>
        <i x="189" s="1"/>
        <i x="190" s="1"/>
        <i x="282" s="1"/>
        <i x="217" s="1"/>
        <i x="173" s="1"/>
        <i x="308" s="1"/>
        <i x="408" s="1"/>
        <i x="154" s="1"/>
        <i x="348" s="1"/>
        <i x="148" s="1"/>
        <i x="336" s="1"/>
        <i x="36" s="1"/>
        <i x="81" s="1"/>
        <i x="470" s="1"/>
        <i x="392" s="1"/>
        <i x="411" s="1"/>
        <i x="254" s="1"/>
        <i x="69" s="1"/>
        <i x="176" s="1"/>
        <i x="45" s="1"/>
        <i x="35" s="1"/>
        <i x="250" s="1"/>
        <i x="334" s="1"/>
        <i x="284" s="1"/>
        <i x="50" s="1"/>
        <i x="30" s="1"/>
        <i x="46" s="1"/>
        <i x="273" s="1"/>
        <i x="270" s="1"/>
        <i x="482" s="1"/>
        <i x="268" s="1"/>
        <i x="372" s="1"/>
        <i x="104" s="1"/>
        <i x="6" s="1"/>
        <i x="214" s="1"/>
        <i x="283" s="1"/>
        <i x="249" s="1"/>
        <i x="387" s="1"/>
        <i x="58" s="1"/>
        <i x="333" s="1"/>
        <i x="8" s="1"/>
        <i x="38" s="1"/>
        <i x="432" s="1"/>
        <i x="345" s="1"/>
        <i x="70" s="1"/>
        <i x="151" s="1"/>
        <i x="414" s="1"/>
        <i x="121" s="1"/>
        <i x="338" s="1"/>
        <i x="157" s="1"/>
        <i x="137" s="1"/>
        <i x="206" s="1"/>
        <i x="462" s="1"/>
        <i x="489" s="1"/>
        <i x="409" s="1"/>
        <i x="124" s="1"/>
        <i x="119" s="1"/>
        <i x="442" s="1"/>
        <i x="350" s="1"/>
        <i x="222" s="1"/>
        <i x="472" s="1"/>
        <i x="321" s="1"/>
        <i x="302" s="1"/>
        <i x="1" s="1"/>
        <i x="215" s="1"/>
        <i x="134" s="1"/>
        <i x="441" s="1"/>
        <i x="245" s="1"/>
        <i x="115" s="1"/>
        <i x="439" s="1"/>
        <i x="418" s="1"/>
        <i x="335" s="1"/>
        <i x="298" s="1"/>
        <i x="454" s="1"/>
        <i x="436" s="1"/>
        <i x="203" s="1"/>
        <i x="415" s="1"/>
        <i x="279" s="1"/>
        <i x="403" s="1"/>
        <i x="277" s="1"/>
        <i x="92" s="1"/>
        <i x="238" s="1"/>
        <i x="271" s="1"/>
        <i x="457" s="1"/>
        <i x="90" s="1"/>
        <i x="47" s="1"/>
        <i x="269" s="1"/>
        <i x="440" s="1"/>
        <i x="126" s="1"/>
        <i x="459" s="1"/>
        <i x="168" s="1"/>
        <i x="402" s="1"/>
        <i x="380" s="1"/>
        <i x="44" s="1"/>
        <i x="89" s="1"/>
        <i x="94" s="1"/>
        <i x="456" s="1"/>
        <i x="394" s="1"/>
        <i x="144" s="1"/>
        <i x="158" s="1"/>
        <i x="383" s="1"/>
        <i x="313" s="1"/>
        <i x="198" s="1"/>
        <i x="95" s="1"/>
        <i x="416" s="1"/>
        <i x="375" s="1"/>
        <i x="20" s="1"/>
        <i x="263" s="1"/>
        <i x="248" s="1"/>
        <i x="344" s="1"/>
        <i x="425" s="1"/>
        <i x="346" s="1"/>
        <i x="102" s="1"/>
        <i x="100" s="1"/>
        <i x="475" s="1"/>
        <i x="73" s="1"/>
        <i x="174" s="1"/>
        <i x="57" s="1"/>
        <i x="227" s="1"/>
        <i x="461" s="1"/>
        <i x="362" s="1"/>
        <i x="153" s="1"/>
        <i x="11" s="1"/>
        <i x="43" s="1"/>
        <i x="49" s="1"/>
        <i x="447" s="1"/>
        <i x="423" s="1"/>
        <i x="393" s="1"/>
        <i x="185" s="1"/>
        <i x="193" s="1"/>
        <i x="236" s="1"/>
        <i x="369" s="1"/>
        <i x="450" s="1"/>
        <i x="128" s="1"/>
        <i x="426" s="1"/>
        <i x="466" s="1"/>
        <i x="480" s="1"/>
        <i x="358" s="1"/>
        <i x="478" s="1"/>
        <i x="325" s="1"/>
        <i x="294" s="1"/>
        <i x="17" s="1"/>
        <i x="243" s="1"/>
        <i x="354" s="1"/>
        <i x="204" s="1"/>
        <i x="64" s="1"/>
        <i x="182" s="1"/>
        <i x="25" s="1"/>
        <i x="256" s="1"/>
        <i x="181" s="1"/>
        <i x="228" s="1"/>
        <i x="112" s="1"/>
        <i x="477" s="1"/>
        <i x="63" s="1"/>
        <i x="382" s="1"/>
        <i x="289" s="1"/>
        <i x="451" s="1"/>
        <i x="27" s="1"/>
        <i x="114" s="1"/>
        <i x="229" s="1"/>
        <i x="366" s="1"/>
        <i x="101" s="1"/>
        <i x="266" s="1"/>
        <i x="486" s="1"/>
        <i x="22" s="1"/>
        <i x="285" s="1"/>
        <i x="83" s="1"/>
        <i x="374" s="1"/>
        <i x="187" s="1"/>
        <i x="310" s="1"/>
        <i x="48" s="1"/>
        <i x="351" s="1"/>
        <i x="299" s="1"/>
        <i x="340" s="1"/>
        <i x="327" s="1"/>
        <i x="368" s="1"/>
        <i x="316" s="1"/>
        <i x="2" s="1"/>
        <i x="212" s="1"/>
        <i x="56" s="1"/>
        <i x="491" s="1"/>
        <i x="443" s="1"/>
        <i x="156" s="1"/>
        <i x="476" s="1"/>
        <i x="353" s="1"/>
        <i x="295" s="1"/>
        <i x="138" s="1"/>
        <i x="328" s="1"/>
        <i x="400" s="1"/>
        <i x="160" s="1"/>
        <i x="177" s="1"/>
        <i x="59"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638ABFD6-4B99-4FC0-9686-4B4DCC232434}" sourceName="Month">
  <pivotTables>
    <pivotTable tabId="7" name="PivotTable17"/>
    <pivotTable tabId="7" name="PivotTable12"/>
    <pivotTable tabId="7" name="PivotTable13"/>
    <pivotTable tabId="7" name="PivotTable14"/>
    <pivotTable tabId="7" name="PivotTable15"/>
    <pivotTable tabId="7" name="PivotTable16"/>
    <pivotTable tabId="7" name="PivotTable18"/>
  </pivotTables>
  <data>
    <tabular pivotCacheId="1899728452">
      <items count="12">
        <i x="10" s="1"/>
        <i x="7" s="1"/>
        <i x="6" s="1"/>
        <i x="2" s="1"/>
        <i x="0" s="1"/>
        <i x="9" s="1"/>
        <i x="4" s="1"/>
        <i x="3" s="1"/>
        <i x="5" s="1"/>
        <i x="1" s="1"/>
        <i x="11" s="1"/>
        <i x="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ller" xr10:uid="{63C2A623-49E3-4A3E-92D8-BA175205CF54}" cache="Slicer_Seller" caption="Seller" rowHeight="241300"/>
  <slicer name="Payment_Method" xr10:uid="{5C445043-DDAA-4EBB-AABE-70A632ED0169}" cache="Slicer_Payment_Method" caption="Payment_Method" rowHeight="241300"/>
  <slicer name="Sales" xr10:uid="{77106D44-40C6-476A-B6F8-96198D030699}" cache="Slicer_Sales" caption="Sales" startItem="8" rowHeight="241300"/>
  <slicer name="Month" xr10:uid="{8835B09B-A4E2-4BD9-BEBD-C5DBC5DDF8C5}" cache="Slicer_Month" caption="Month"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ller 1" xr10:uid="{EFBF4E2B-A78C-4B7B-BDB9-6D7DAA67906E}" cache="Slicer_Seller" caption="Seller" style="SlicerStyleLight5" rowHeight="180000"/>
  <slicer name="Payment_Method 1" xr10:uid="{1381B570-BF08-4FC8-90AA-5FE1FCE0710A}" cache="Slicer_Payment_Method" caption="Payment_Method" style="SlicerStyleLight5" rowHeight="180000"/>
  <slicer name="Month 1" xr10:uid="{64909291-4C2E-4006-A9C0-BC5275874CB6}" cache="Slicer_Month" caption="Month" columnCount="2" style="SlicerStyleLight5" rowHeight="180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54C12AA-F022-4A28-893E-8372F24070C0}" name="Table3" displayName="Table3" ref="A1:M501" totalsRowShown="0">
  <autoFilter ref="A1:M501" xr:uid="{A54C12AA-F022-4A28-893E-8372F24070C0}"/>
  <tableColumns count="13">
    <tableColumn id="1" xr3:uid="{8C420140-C631-4E26-8E23-5F01DFBB08D4}" name="Column1"/>
    <tableColumn id="2" xr3:uid="{A9E0659C-6A03-4EF1-B915-BB0A45CE52A5}" name="Date"/>
    <tableColumn id="3" xr3:uid="{192B9F89-9E10-418B-BC75-EEEEDA949984}" name="Customer_Name"/>
    <tableColumn id="4" xr3:uid="{A02000D4-9730-4AFF-8566-DB7BFD5EAD8F}" name="Product"/>
    <tableColumn id="5" xr3:uid="{CE73AAEE-9035-43DD-AB06-A508B8C252A8}" name="Category"/>
    <tableColumn id="6" xr3:uid="{648C1A95-98F3-484C-972C-CD76C89E1253}" name="State"/>
    <tableColumn id="7" xr3:uid="{F51A7D13-3D99-4E95-98B3-E25722C70333}" name="Seller"/>
    <tableColumn id="8" xr3:uid="{F1118EB2-E7C7-48E4-B243-96785E8F1EF8}" name="Payment_Method"/>
    <tableColumn id="9" xr3:uid="{2CA55635-AE8B-44DD-B2EE-58C199AB5A5B}" name="Sales"/>
    <tableColumn id="10" xr3:uid="{F2B3C360-CBF3-49F3-855A-28FEEC94DD5F}" name="Quantity"/>
    <tableColumn id="11" xr3:uid="{77EB2A1E-0983-4663-BB81-2D0427709AF7}" name="Rating"/>
    <tableColumn id="12" xr3:uid="{3105B5B7-8554-48EC-B539-0C30238887B8}" name="Delivery"/>
    <tableColumn id="13" xr3:uid="{8C44E694-E168-4256-B8FB-9FBAC007A5B0}" name="Month"/>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480D071-5323-4C66-BA22-00F82BF17697}" name="Table2" displayName="Table2" ref="A1:M501" totalsRowShown="0">
  <autoFilter ref="A1:M501" xr:uid="{2480D071-5323-4C66-BA22-00F82BF17697}"/>
  <tableColumns count="13">
    <tableColumn id="1" xr3:uid="{4619DDE8-E45E-40F5-9CDE-83F49B529241}" name="Order_ID"/>
    <tableColumn id="2" xr3:uid="{135ACC30-3CAE-4A4B-B5CB-59E5AD460DD3}" name="Date"/>
    <tableColumn id="3" xr3:uid="{CAE3042A-9808-464A-BC2A-9A5D7F3F309C}" name="Customer_Name"/>
    <tableColumn id="4" xr3:uid="{FB80DA67-A5C8-4B90-A1EF-46E18B030293}" name="Product"/>
    <tableColumn id="5" xr3:uid="{5E81FBA1-71A1-4F40-BD7A-FBF54904BE1A}" name="Category"/>
    <tableColumn id="6" xr3:uid="{2F226CA1-19E8-4AB1-A5D6-BBE87C5DB869}" name="State"/>
    <tableColumn id="7" xr3:uid="{F8102C39-594C-41AC-9686-541DDD1537E7}" name="Seller"/>
    <tableColumn id="8" xr3:uid="{0A8097C8-83EB-4DE0-A641-267C0F4EFC44}" name="Payment_Method"/>
    <tableColumn id="9" xr3:uid="{081A5C4B-54A1-4BBF-A014-0EBBF3191B2D}" name="Sales"/>
    <tableColumn id="10" xr3:uid="{C9E67D15-90D1-48D9-862A-8498B31085A7}" name="Quantity"/>
    <tableColumn id="11" xr3:uid="{AE998671-AC4D-4B9A-AFF2-4F542F21E837}" name="Rating"/>
    <tableColumn id="12" xr3:uid="{49941C77-18ED-46A5-8B32-A178909E271D}" name="Delivery"/>
    <tableColumn id="13" xr3:uid="{7F51789C-1BBD-40A2-89EF-B0174FE343E5}" name="Month"/>
  </tableColumns>
  <tableStyleInfo name="TableStyleMedium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54B868-8CEE-46B0-81B2-9BDF4192B76F}">
  <dimension ref="A1:M501"/>
  <sheetViews>
    <sheetView workbookViewId="0">
      <selection sqref="A1:M501"/>
    </sheetView>
  </sheetViews>
  <sheetFormatPr defaultRowHeight="14.25"/>
  <cols>
    <col min="1" max="1" width="10.875" customWidth="1"/>
    <col min="3" max="3" width="17.375" customWidth="1"/>
    <col min="4" max="4" width="9.75" customWidth="1"/>
    <col min="5" max="5" width="10.75" customWidth="1"/>
    <col min="8" max="8" width="18" customWidth="1"/>
    <col min="10" max="10" width="10.125" customWidth="1"/>
    <col min="12" max="12" width="10.125" customWidth="1"/>
  </cols>
  <sheetData>
    <row r="1" spans="1:13">
      <c r="A1" t="s">
        <v>878</v>
      </c>
      <c r="B1" t="s">
        <v>1</v>
      </c>
      <c r="C1" t="s">
        <v>2</v>
      </c>
      <c r="D1" t="s">
        <v>3</v>
      </c>
      <c r="E1" t="s">
        <v>4</v>
      </c>
      <c r="F1" t="s">
        <v>5</v>
      </c>
      <c r="G1" t="s">
        <v>6</v>
      </c>
      <c r="H1" t="s">
        <v>7</v>
      </c>
      <c r="I1" t="s">
        <v>8</v>
      </c>
      <c r="J1" t="s">
        <v>9</v>
      </c>
      <c r="K1" t="s">
        <v>10</v>
      </c>
      <c r="L1" t="s">
        <v>11</v>
      </c>
      <c r="M1" t="s">
        <v>12</v>
      </c>
    </row>
    <row r="2" spans="1:13">
      <c r="A2" t="s">
        <v>13</v>
      </c>
      <c r="B2" t="s">
        <v>14</v>
      </c>
      <c r="C2" t="s">
        <v>15</v>
      </c>
      <c r="D2" t="s">
        <v>16</v>
      </c>
      <c r="E2" t="s">
        <v>17</v>
      </c>
      <c r="F2" t="s">
        <v>18</v>
      </c>
      <c r="G2" t="s">
        <v>19</v>
      </c>
      <c r="H2" t="s">
        <v>20</v>
      </c>
      <c r="I2">
        <v>3028</v>
      </c>
      <c r="J2">
        <v>4</v>
      </c>
      <c r="K2">
        <v>4.3</v>
      </c>
      <c r="L2">
        <v>1</v>
      </c>
      <c r="M2" t="s">
        <v>21</v>
      </c>
    </row>
    <row r="3" spans="1:13">
      <c r="A3" t="s">
        <v>22</v>
      </c>
      <c r="B3" t="s">
        <v>23</v>
      </c>
      <c r="C3" t="s">
        <v>24</v>
      </c>
      <c r="D3" t="s">
        <v>25</v>
      </c>
      <c r="E3" t="s">
        <v>26</v>
      </c>
      <c r="F3" t="s">
        <v>27</v>
      </c>
      <c r="G3" t="s">
        <v>28</v>
      </c>
      <c r="H3" t="s">
        <v>29</v>
      </c>
      <c r="I3">
        <v>32636</v>
      </c>
      <c r="J3">
        <v>4</v>
      </c>
      <c r="K3">
        <v>4.3</v>
      </c>
      <c r="L3">
        <v>1</v>
      </c>
      <c r="M3" t="s">
        <v>30</v>
      </c>
    </row>
    <row r="4" spans="1:13">
      <c r="A4" t="s">
        <v>31</v>
      </c>
      <c r="B4" t="s">
        <v>32</v>
      </c>
      <c r="C4" t="s">
        <v>33</v>
      </c>
      <c r="D4" t="s">
        <v>34</v>
      </c>
      <c r="E4" t="s">
        <v>35</v>
      </c>
      <c r="F4" t="s">
        <v>27</v>
      </c>
      <c r="G4" t="s">
        <v>28</v>
      </c>
      <c r="H4" t="s">
        <v>36</v>
      </c>
      <c r="I4">
        <v>313782</v>
      </c>
      <c r="J4">
        <v>6</v>
      </c>
      <c r="K4">
        <v>4.7</v>
      </c>
      <c r="L4">
        <v>5</v>
      </c>
      <c r="M4" t="s">
        <v>37</v>
      </c>
    </row>
    <row r="5" spans="1:13">
      <c r="A5" t="s">
        <v>38</v>
      </c>
      <c r="B5" t="s">
        <v>39</v>
      </c>
      <c r="C5" t="s">
        <v>40</v>
      </c>
      <c r="D5" t="s">
        <v>41</v>
      </c>
      <c r="E5" t="s">
        <v>42</v>
      </c>
      <c r="F5" t="s">
        <v>18</v>
      </c>
      <c r="G5" t="s">
        <v>19</v>
      </c>
      <c r="H5" t="s">
        <v>36</v>
      </c>
      <c r="I5">
        <v>11375</v>
      </c>
      <c r="J5">
        <v>5</v>
      </c>
      <c r="K5">
        <v>3.3</v>
      </c>
      <c r="L5">
        <v>4</v>
      </c>
      <c r="M5" t="s">
        <v>30</v>
      </c>
    </row>
    <row r="6" spans="1:13">
      <c r="A6" t="s">
        <v>43</v>
      </c>
      <c r="B6" t="s">
        <v>44</v>
      </c>
      <c r="C6" t="s">
        <v>45</v>
      </c>
      <c r="D6" t="s">
        <v>46</v>
      </c>
      <c r="E6" t="s">
        <v>42</v>
      </c>
      <c r="F6" t="s">
        <v>27</v>
      </c>
      <c r="G6" t="s">
        <v>19</v>
      </c>
      <c r="H6" t="s">
        <v>20</v>
      </c>
      <c r="I6">
        <v>14496</v>
      </c>
      <c r="J6">
        <v>6</v>
      </c>
      <c r="K6">
        <v>3.7</v>
      </c>
      <c r="L6">
        <v>2</v>
      </c>
      <c r="M6" t="s">
        <v>47</v>
      </c>
    </row>
    <row r="7" spans="1:13">
      <c r="A7" t="s">
        <v>48</v>
      </c>
      <c r="B7" t="s">
        <v>49</v>
      </c>
      <c r="C7" t="s">
        <v>50</v>
      </c>
      <c r="D7" t="s">
        <v>51</v>
      </c>
      <c r="E7" t="s">
        <v>52</v>
      </c>
      <c r="F7" t="s">
        <v>53</v>
      </c>
      <c r="G7" t="s">
        <v>54</v>
      </c>
      <c r="H7" t="s">
        <v>20</v>
      </c>
      <c r="I7">
        <v>5745</v>
      </c>
      <c r="J7">
        <v>5</v>
      </c>
      <c r="K7">
        <v>4.7</v>
      </c>
      <c r="L7">
        <v>6</v>
      </c>
      <c r="M7" t="s">
        <v>55</v>
      </c>
    </row>
    <row r="8" spans="1:13">
      <c r="A8" t="s">
        <v>56</v>
      </c>
      <c r="B8" t="s">
        <v>57</v>
      </c>
      <c r="C8" t="s">
        <v>58</v>
      </c>
      <c r="D8" t="s">
        <v>59</v>
      </c>
      <c r="E8" t="s">
        <v>26</v>
      </c>
      <c r="F8" t="s">
        <v>60</v>
      </c>
      <c r="G8" t="s">
        <v>28</v>
      </c>
      <c r="H8" t="s">
        <v>29</v>
      </c>
      <c r="I8">
        <v>24696</v>
      </c>
      <c r="J8">
        <v>8</v>
      </c>
      <c r="K8">
        <v>3.6</v>
      </c>
      <c r="L8">
        <v>5</v>
      </c>
      <c r="M8" t="s">
        <v>37</v>
      </c>
    </row>
    <row r="9" spans="1:13">
      <c r="A9" t="s">
        <v>61</v>
      </c>
      <c r="B9" t="s">
        <v>62</v>
      </c>
      <c r="C9" t="s">
        <v>45</v>
      </c>
      <c r="D9" t="s">
        <v>63</v>
      </c>
      <c r="E9" t="s">
        <v>52</v>
      </c>
      <c r="F9" t="s">
        <v>18</v>
      </c>
      <c r="G9" t="s">
        <v>28</v>
      </c>
      <c r="H9" t="s">
        <v>64</v>
      </c>
      <c r="I9">
        <v>3536</v>
      </c>
      <c r="J9">
        <v>8</v>
      </c>
      <c r="K9">
        <v>3.5</v>
      </c>
      <c r="L9">
        <v>7</v>
      </c>
      <c r="M9" t="s">
        <v>65</v>
      </c>
    </row>
    <row r="10" spans="1:13">
      <c r="A10" t="s">
        <v>66</v>
      </c>
      <c r="B10" t="s">
        <v>67</v>
      </c>
      <c r="C10" t="s">
        <v>68</v>
      </c>
      <c r="D10" t="s">
        <v>69</v>
      </c>
      <c r="E10" t="s">
        <v>26</v>
      </c>
      <c r="F10" t="s">
        <v>53</v>
      </c>
      <c r="G10" t="s">
        <v>28</v>
      </c>
      <c r="H10" t="s">
        <v>20</v>
      </c>
      <c r="I10">
        <v>25855</v>
      </c>
      <c r="J10">
        <v>5</v>
      </c>
      <c r="K10">
        <v>4.5999999999999996</v>
      </c>
      <c r="L10">
        <v>6</v>
      </c>
      <c r="M10" t="s">
        <v>65</v>
      </c>
    </row>
    <row r="11" spans="1:13">
      <c r="A11" t="s">
        <v>70</v>
      </c>
      <c r="B11" t="s">
        <v>71</v>
      </c>
      <c r="C11" t="s">
        <v>72</v>
      </c>
      <c r="D11" t="s">
        <v>41</v>
      </c>
      <c r="E11" t="s">
        <v>42</v>
      </c>
      <c r="F11" t="s">
        <v>53</v>
      </c>
      <c r="G11" t="s">
        <v>19</v>
      </c>
      <c r="H11" t="s">
        <v>36</v>
      </c>
      <c r="I11">
        <v>9432</v>
      </c>
      <c r="J11">
        <v>3</v>
      </c>
      <c r="K11">
        <v>4.0999999999999996</v>
      </c>
      <c r="L11">
        <v>4</v>
      </c>
      <c r="M11" t="s">
        <v>21</v>
      </c>
    </row>
    <row r="12" spans="1:13">
      <c r="A12" t="s">
        <v>73</v>
      </c>
      <c r="B12" t="s">
        <v>74</v>
      </c>
      <c r="C12" t="s">
        <v>75</v>
      </c>
      <c r="D12" t="s">
        <v>59</v>
      </c>
      <c r="E12" t="s">
        <v>26</v>
      </c>
      <c r="F12" t="s">
        <v>27</v>
      </c>
      <c r="G12" t="s">
        <v>28</v>
      </c>
      <c r="H12" t="s">
        <v>36</v>
      </c>
      <c r="I12">
        <v>1749</v>
      </c>
      <c r="J12">
        <v>1</v>
      </c>
      <c r="K12">
        <v>3.6</v>
      </c>
      <c r="L12">
        <v>2</v>
      </c>
      <c r="M12" t="s">
        <v>65</v>
      </c>
    </row>
    <row r="13" spans="1:13">
      <c r="A13" t="s">
        <v>76</v>
      </c>
      <c r="B13" t="s">
        <v>77</v>
      </c>
      <c r="C13" t="s">
        <v>78</v>
      </c>
      <c r="D13" t="s">
        <v>79</v>
      </c>
      <c r="E13" t="s">
        <v>26</v>
      </c>
      <c r="F13" t="s">
        <v>27</v>
      </c>
      <c r="G13" t="s">
        <v>19</v>
      </c>
      <c r="H13" t="s">
        <v>29</v>
      </c>
      <c r="I13">
        <v>85904</v>
      </c>
      <c r="J13">
        <v>8</v>
      </c>
      <c r="K13">
        <v>4</v>
      </c>
      <c r="L13">
        <v>4</v>
      </c>
      <c r="M13" t="s">
        <v>80</v>
      </c>
    </row>
    <row r="14" spans="1:13">
      <c r="A14" t="s">
        <v>81</v>
      </c>
      <c r="B14" t="s">
        <v>82</v>
      </c>
      <c r="C14" t="s">
        <v>58</v>
      </c>
      <c r="D14" t="s">
        <v>46</v>
      </c>
      <c r="E14" t="s">
        <v>42</v>
      </c>
      <c r="F14" t="s">
        <v>83</v>
      </c>
      <c r="G14" t="s">
        <v>54</v>
      </c>
      <c r="H14" t="s">
        <v>36</v>
      </c>
      <c r="I14">
        <v>9792</v>
      </c>
      <c r="J14">
        <v>8</v>
      </c>
      <c r="K14">
        <v>3.2</v>
      </c>
      <c r="L14">
        <v>4</v>
      </c>
      <c r="M14" t="s">
        <v>47</v>
      </c>
    </row>
    <row r="15" spans="1:13">
      <c r="A15" t="s">
        <v>84</v>
      </c>
      <c r="B15" t="s">
        <v>85</v>
      </c>
      <c r="C15" t="s">
        <v>78</v>
      </c>
      <c r="D15" t="s">
        <v>86</v>
      </c>
      <c r="E15" t="s">
        <v>17</v>
      </c>
      <c r="F15" t="s">
        <v>83</v>
      </c>
      <c r="G15" t="s">
        <v>28</v>
      </c>
      <c r="H15" t="s">
        <v>20</v>
      </c>
      <c r="I15">
        <v>976</v>
      </c>
      <c r="J15">
        <v>1</v>
      </c>
      <c r="K15">
        <v>4.4000000000000004</v>
      </c>
      <c r="L15">
        <v>4</v>
      </c>
      <c r="M15" t="s">
        <v>87</v>
      </c>
    </row>
    <row r="16" spans="1:13">
      <c r="A16" t="s">
        <v>88</v>
      </c>
      <c r="B16" t="s">
        <v>89</v>
      </c>
      <c r="C16" t="s">
        <v>68</v>
      </c>
      <c r="D16" t="s">
        <v>90</v>
      </c>
      <c r="E16" t="s">
        <v>42</v>
      </c>
      <c r="F16" t="s">
        <v>18</v>
      </c>
      <c r="G16" t="s">
        <v>28</v>
      </c>
      <c r="H16" t="s">
        <v>29</v>
      </c>
      <c r="I16">
        <v>8338</v>
      </c>
      <c r="J16">
        <v>2</v>
      </c>
      <c r="K16">
        <v>4</v>
      </c>
      <c r="L16">
        <v>1</v>
      </c>
      <c r="M16" t="s">
        <v>37</v>
      </c>
    </row>
    <row r="17" spans="1:13">
      <c r="A17" t="s">
        <v>91</v>
      </c>
      <c r="B17" t="s">
        <v>92</v>
      </c>
      <c r="C17" t="s">
        <v>75</v>
      </c>
      <c r="D17" t="s">
        <v>86</v>
      </c>
      <c r="E17" t="s">
        <v>17</v>
      </c>
      <c r="F17" t="s">
        <v>60</v>
      </c>
      <c r="G17" t="s">
        <v>54</v>
      </c>
      <c r="H17" t="s">
        <v>36</v>
      </c>
      <c r="I17">
        <v>5592</v>
      </c>
      <c r="J17">
        <v>4</v>
      </c>
      <c r="K17">
        <v>3.7</v>
      </c>
      <c r="L17">
        <v>4</v>
      </c>
      <c r="M17" t="s">
        <v>37</v>
      </c>
    </row>
    <row r="18" spans="1:13">
      <c r="A18" t="s">
        <v>93</v>
      </c>
      <c r="B18" t="s">
        <v>94</v>
      </c>
      <c r="C18" t="s">
        <v>24</v>
      </c>
      <c r="D18" t="s">
        <v>25</v>
      </c>
      <c r="E18" t="s">
        <v>26</v>
      </c>
      <c r="F18" t="s">
        <v>60</v>
      </c>
      <c r="G18" t="s">
        <v>54</v>
      </c>
      <c r="H18" t="s">
        <v>64</v>
      </c>
      <c r="I18">
        <v>17208</v>
      </c>
      <c r="J18">
        <v>4</v>
      </c>
      <c r="K18">
        <v>4.8</v>
      </c>
      <c r="L18">
        <v>1</v>
      </c>
      <c r="M18" t="s">
        <v>87</v>
      </c>
    </row>
    <row r="19" spans="1:13">
      <c r="A19" t="s">
        <v>95</v>
      </c>
      <c r="B19" t="s">
        <v>96</v>
      </c>
      <c r="C19" t="s">
        <v>58</v>
      </c>
      <c r="D19" t="s">
        <v>97</v>
      </c>
      <c r="E19" t="s">
        <v>35</v>
      </c>
      <c r="F19" t="s">
        <v>27</v>
      </c>
      <c r="G19" t="s">
        <v>54</v>
      </c>
      <c r="H19" t="s">
        <v>29</v>
      </c>
      <c r="I19">
        <v>159523</v>
      </c>
      <c r="J19">
        <v>7</v>
      </c>
      <c r="K19">
        <v>3.6</v>
      </c>
      <c r="L19">
        <v>1</v>
      </c>
      <c r="M19" t="s">
        <v>21</v>
      </c>
    </row>
    <row r="20" spans="1:13">
      <c r="A20" t="s">
        <v>98</v>
      </c>
      <c r="B20" t="s">
        <v>99</v>
      </c>
      <c r="C20" t="s">
        <v>75</v>
      </c>
      <c r="D20" t="s">
        <v>16</v>
      </c>
      <c r="E20" t="s">
        <v>17</v>
      </c>
      <c r="F20" t="s">
        <v>100</v>
      </c>
      <c r="G20" t="s">
        <v>54</v>
      </c>
      <c r="H20" t="s">
        <v>20</v>
      </c>
      <c r="I20">
        <v>10632</v>
      </c>
      <c r="J20">
        <v>8</v>
      </c>
      <c r="K20">
        <v>3.3</v>
      </c>
      <c r="L20">
        <v>3</v>
      </c>
      <c r="M20" t="s">
        <v>30</v>
      </c>
    </row>
    <row r="21" spans="1:13">
      <c r="A21" t="s">
        <v>101</v>
      </c>
      <c r="B21" t="s">
        <v>102</v>
      </c>
      <c r="C21" t="s">
        <v>103</v>
      </c>
      <c r="D21" t="s">
        <v>41</v>
      </c>
      <c r="E21" t="s">
        <v>42</v>
      </c>
      <c r="F21" t="s">
        <v>100</v>
      </c>
      <c r="G21" t="s">
        <v>104</v>
      </c>
      <c r="H21" t="s">
        <v>20</v>
      </c>
      <c r="I21">
        <v>5484</v>
      </c>
      <c r="J21">
        <v>4</v>
      </c>
      <c r="K21">
        <v>4.4000000000000004</v>
      </c>
      <c r="L21">
        <v>6</v>
      </c>
      <c r="M21" t="s">
        <v>30</v>
      </c>
    </row>
    <row r="22" spans="1:13">
      <c r="A22" t="s">
        <v>105</v>
      </c>
      <c r="B22" t="s">
        <v>106</v>
      </c>
      <c r="C22" t="s">
        <v>75</v>
      </c>
      <c r="D22" t="s">
        <v>97</v>
      </c>
      <c r="E22" t="s">
        <v>35</v>
      </c>
      <c r="F22" t="s">
        <v>100</v>
      </c>
      <c r="G22" t="s">
        <v>19</v>
      </c>
      <c r="H22" t="s">
        <v>29</v>
      </c>
      <c r="I22">
        <v>60040</v>
      </c>
      <c r="J22">
        <v>5</v>
      </c>
      <c r="K22">
        <v>4.3</v>
      </c>
      <c r="L22">
        <v>2</v>
      </c>
      <c r="M22" t="s">
        <v>80</v>
      </c>
    </row>
    <row r="23" spans="1:13">
      <c r="A23" t="s">
        <v>107</v>
      </c>
      <c r="B23" t="s">
        <v>108</v>
      </c>
      <c r="C23" t="s">
        <v>78</v>
      </c>
      <c r="D23" t="s">
        <v>109</v>
      </c>
      <c r="E23" t="s">
        <v>52</v>
      </c>
      <c r="F23" t="s">
        <v>53</v>
      </c>
      <c r="G23" t="s">
        <v>54</v>
      </c>
      <c r="H23" t="s">
        <v>20</v>
      </c>
      <c r="I23">
        <v>5668</v>
      </c>
      <c r="J23">
        <v>4</v>
      </c>
      <c r="K23">
        <v>4.5</v>
      </c>
      <c r="L23">
        <v>1</v>
      </c>
      <c r="M23" t="s">
        <v>87</v>
      </c>
    </row>
    <row r="24" spans="1:13">
      <c r="A24" t="s">
        <v>110</v>
      </c>
      <c r="B24" t="s">
        <v>111</v>
      </c>
      <c r="C24" t="s">
        <v>112</v>
      </c>
      <c r="D24" t="s">
        <v>113</v>
      </c>
      <c r="E24" t="s">
        <v>35</v>
      </c>
      <c r="F24" t="s">
        <v>60</v>
      </c>
      <c r="G24" t="s">
        <v>104</v>
      </c>
      <c r="H24" t="s">
        <v>36</v>
      </c>
      <c r="I24">
        <v>245328</v>
      </c>
      <c r="J24">
        <v>3</v>
      </c>
      <c r="K24">
        <v>3.6</v>
      </c>
      <c r="L24">
        <v>5</v>
      </c>
      <c r="M24" t="s">
        <v>87</v>
      </c>
    </row>
    <row r="25" spans="1:13">
      <c r="A25" t="s">
        <v>114</v>
      </c>
      <c r="B25" t="s">
        <v>115</v>
      </c>
      <c r="C25" t="s">
        <v>78</v>
      </c>
      <c r="D25" t="s">
        <v>116</v>
      </c>
      <c r="E25" t="s">
        <v>17</v>
      </c>
      <c r="F25" t="s">
        <v>27</v>
      </c>
      <c r="G25" t="s">
        <v>28</v>
      </c>
      <c r="H25" t="s">
        <v>36</v>
      </c>
      <c r="I25">
        <v>307</v>
      </c>
      <c r="J25">
        <v>1</v>
      </c>
      <c r="K25">
        <v>3.5</v>
      </c>
      <c r="L25">
        <v>8</v>
      </c>
      <c r="M25" t="s">
        <v>21</v>
      </c>
    </row>
    <row r="26" spans="1:13">
      <c r="A26" t="s">
        <v>117</v>
      </c>
      <c r="B26" t="s">
        <v>118</v>
      </c>
      <c r="C26" t="s">
        <v>33</v>
      </c>
      <c r="D26" t="s">
        <v>16</v>
      </c>
      <c r="E26" t="s">
        <v>17</v>
      </c>
      <c r="F26" t="s">
        <v>53</v>
      </c>
      <c r="G26" t="s">
        <v>104</v>
      </c>
      <c r="H26" t="s">
        <v>36</v>
      </c>
      <c r="I26">
        <v>4251</v>
      </c>
      <c r="J26">
        <v>3</v>
      </c>
      <c r="K26">
        <v>3.5</v>
      </c>
      <c r="L26">
        <v>3</v>
      </c>
      <c r="M26" t="s">
        <v>119</v>
      </c>
    </row>
    <row r="27" spans="1:13">
      <c r="A27" t="s">
        <v>120</v>
      </c>
      <c r="B27" t="s">
        <v>121</v>
      </c>
      <c r="C27" t="s">
        <v>122</v>
      </c>
      <c r="D27" t="s">
        <v>34</v>
      </c>
      <c r="E27" t="s">
        <v>35</v>
      </c>
      <c r="F27" t="s">
        <v>83</v>
      </c>
      <c r="G27" t="s">
        <v>19</v>
      </c>
      <c r="H27" t="s">
        <v>64</v>
      </c>
      <c r="I27">
        <v>195428</v>
      </c>
      <c r="J27">
        <v>4</v>
      </c>
      <c r="K27">
        <v>5</v>
      </c>
      <c r="L27">
        <v>3</v>
      </c>
      <c r="M27" t="s">
        <v>119</v>
      </c>
    </row>
    <row r="28" spans="1:13">
      <c r="A28" t="s">
        <v>123</v>
      </c>
      <c r="B28" t="s">
        <v>124</v>
      </c>
      <c r="C28" t="s">
        <v>125</v>
      </c>
      <c r="D28" t="s">
        <v>86</v>
      </c>
      <c r="E28" t="s">
        <v>17</v>
      </c>
      <c r="F28" t="s">
        <v>83</v>
      </c>
      <c r="G28" t="s">
        <v>19</v>
      </c>
      <c r="H28" t="s">
        <v>64</v>
      </c>
      <c r="I28">
        <v>11697</v>
      </c>
      <c r="J28">
        <v>7</v>
      </c>
      <c r="K28">
        <v>3.9</v>
      </c>
      <c r="L28">
        <v>1</v>
      </c>
      <c r="M28" t="s">
        <v>126</v>
      </c>
    </row>
    <row r="29" spans="1:13">
      <c r="A29" t="s">
        <v>127</v>
      </c>
      <c r="B29" t="s">
        <v>128</v>
      </c>
      <c r="C29" t="s">
        <v>129</v>
      </c>
      <c r="D29" t="s">
        <v>130</v>
      </c>
      <c r="E29" t="s">
        <v>35</v>
      </c>
      <c r="F29" t="s">
        <v>27</v>
      </c>
      <c r="G29" t="s">
        <v>28</v>
      </c>
      <c r="H29" t="s">
        <v>29</v>
      </c>
      <c r="I29">
        <v>218908</v>
      </c>
      <c r="J29">
        <v>4</v>
      </c>
      <c r="K29">
        <v>4.8</v>
      </c>
      <c r="L29">
        <v>5</v>
      </c>
      <c r="M29" t="s">
        <v>37</v>
      </c>
    </row>
    <row r="30" spans="1:13">
      <c r="A30" t="s">
        <v>131</v>
      </c>
      <c r="B30" t="s">
        <v>132</v>
      </c>
      <c r="C30" t="s">
        <v>133</v>
      </c>
      <c r="D30" t="s">
        <v>16</v>
      </c>
      <c r="E30" t="s">
        <v>17</v>
      </c>
      <c r="F30" t="s">
        <v>100</v>
      </c>
      <c r="G30" t="s">
        <v>54</v>
      </c>
      <c r="H30" t="s">
        <v>64</v>
      </c>
      <c r="I30">
        <v>4467</v>
      </c>
      <c r="J30">
        <v>3</v>
      </c>
      <c r="K30">
        <v>4</v>
      </c>
      <c r="L30">
        <v>6</v>
      </c>
      <c r="M30" t="s">
        <v>21</v>
      </c>
    </row>
    <row r="31" spans="1:13">
      <c r="A31" t="s">
        <v>134</v>
      </c>
      <c r="B31" t="s">
        <v>135</v>
      </c>
      <c r="C31" t="s">
        <v>129</v>
      </c>
      <c r="D31" t="s">
        <v>79</v>
      </c>
      <c r="E31" t="s">
        <v>26</v>
      </c>
      <c r="F31" t="s">
        <v>60</v>
      </c>
      <c r="G31" t="s">
        <v>54</v>
      </c>
      <c r="H31" t="s">
        <v>29</v>
      </c>
      <c r="I31">
        <v>9621</v>
      </c>
      <c r="J31">
        <v>1</v>
      </c>
      <c r="K31">
        <v>4.4000000000000004</v>
      </c>
      <c r="L31">
        <v>4</v>
      </c>
      <c r="M31" t="s">
        <v>21</v>
      </c>
    </row>
    <row r="32" spans="1:13">
      <c r="A32" t="s">
        <v>136</v>
      </c>
      <c r="B32" t="s">
        <v>137</v>
      </c>
      <c r="C32" t="s">
        <v>40</v>
      </c>
      <c r="D32" t="s">
        <v>59</v>
      </c>
      <c r="E32" t="s">
        <v>26</v>
      </c>
      <c r="F32" t="s">
        <v>100</v>
      </c>
      <c r="G32" t="s">
        <v>19</v>
      </c>
      <c r="H32" t="s">
        <v>20</v>
      </c>
      <c r="I32">
        <v>23452</v>
      </c>
      <c r="J32">
        <v>2</v>
      </c>
      <c r="K32">
        <v>3.9</v>
      </c>
      <c r="L32">
        <v>7</v>
      </c>
      <c r="M32" t="s">
        <v>119</v>
      </c>
    </row>
    <row r="33" spans="1:13">
      <c r="A33" t="s">
        <v>138</v>
      </c>
      <c r="B33" t="s">
        <v>139</v>
      </c>
      <c r="C33" t="s">
        <v>133</v>
      </c>
      <c r="D33" t="s">
        <v>90</v>
      </c>
      <c r="E33" t="s">
        <v>42</v>
      </c>
      <c r="F33" t="s">
        <v>100</v>
      </c>
      <c r="G33" t="s">
        <v>104</v>
      </c>
      <c r="H33" t="s">
        <v>64</v>
      </c>
      <c r="I33">
        <v>15564</v>
      </c>
      <c r="J33">
        <v>3</v>
      </c>
      <c r="K33">
        <v>3.7</v>
      </c>
      <c r="L33">
        <v>4</v>
      </c>
      <c r="M33" t="s">
        <v>119</v>
      </c>
    </row>
    <row r="34" spans="1:13">
      <c r="A34" t="s">
        <v>140</v>
      </c>
      <c r="B34" t="s">
        <v>141</v>
      </c>
      <c r="C34" t="s">
        <v>75</v>
      </c>
      <c r="D34" t="s">
        <v>90</v>
      </c>
      <c r="E34" t="s">
        <v>42</v>
      </c>
      <c r="F34" t="s">
        <v>83</v>
      </c>
      <c r="G34" t="s">
        <v>104</v>
      </c>
      <c r="H34" t="s">
        <v>20</v>
      </c>
      <c r="I34">
        <v>5576</v>
      </c>
      <c r="J34">
        <v>4</v>
      </c>
      <c r="K34">
        <v>4.0999999999999996</v>
      </c>
      <c r="L34">
        <v>6</v>
      </c>
      <c r="M34" t="s">
        <v>119</v>
      </c>
    </row>
    <row r="35" spans="1:13">
      <c r="A35" t="s">
        <v>142</v>
      </c>
      <c r="B35" t="s">
        <v>143</v>
      </c>
      <c r="C35" t="s">
        <v>50</v>
      </c>
      <c r="D35" t="s">
        <v>63</v>
      </c>
      <c r="E35" t="s">
        <v>52</v>
      </c>
      <c r="F35" t="s">
        <v>60</v>
      </c>
      <c r="G35" t="s">
        <v>28</v>
      </c>
      <c r="H35" t="s">
        <v>20</v>
      </c>
      <c r="I35">
        <v>2196</v>
      </c>
      <c r="J35">
        <v>1</v>
      </c>
      <c r="K35">
        <v>3.9</v>
      </c>
      <c r="L35">
        <v>4</v>
      </c>
      <c r="M35" t="s">
        <v>144</v>
      </c>
    </row>
    <row r="36" spans="1:13">
      <c r="A36" t="s">
        <v>145</v>
      </c>
      <c r="B36" t="s">
        <v>111</v>
      </c>
      <c r="C36" t="s">
        <v>146</v>
      </c>
      <c r="D36" t="s">
        <v>147</v>
      </c>
      <c r="E36" t="s">
        <v>52</v>
      </c>
      <c r="F36" t="s">
        <v>83</v>
      </c>
      <c r="G36" t="s">
        <v>28</v>
      </c>
      <c r="H36" t="s">
        <v>29</v>
      </c>
      <c r="I36">
        <v>6790</v>
      </c>
      <c r="J36">
        <v>7</v>
      </c>
      <c r="K36">
        <v>4.2</v>
      </c>
      <c r="L36">
        <v>2</v>
      </c>
      <c r="M36" t="s">
        <v>87</v>
      </c>
    </row>
    <row r="37" spans="1:13">
      <c r="A37" t="s">
        <v>148</v>
      </c>
      <c r="B37" t="s">
        <v>149</v>
      </c>
      <c r="C37" t="s">
        <v>112</v>
      </c>
      <c r="D37" t="s">
        <v>90</v>
      </c>
      <c r="E37" t="s">
        <v>42</v>
      </c>
      <c r="F37" t="s">
        <v>60</v>
      </c>
      <c r="G37" t="s">
        <v>19</v>
      </c>
      <c r="H37" t="s">
        <v>29</v>
      </c>
      <c r="I37">
        <v>22584</v>
      </c>
      <c r="J37">
        <v>8</v>
      </c>
      <c r="K37">
        <v>4.7</v>
      </c>
      <c r="L37">
        <v>5</v>
      </c>
      <c r="M37" t="s">
        <v>30</v>
      </c>
    </row>
    <row r="38" spans="1:13">
      <c r="A38" t="s">
        <v>150</v>
      </c>
      <c r="B38" t="s">
        <v>96</v>
      </c>
      <c r="C38" t="s">
        <v>50</v>
      </c>
      <c r="D38" t="s">
        <v>41</v>
      </c>
      <c r="E38" t="s">
        <v>42</v>
      </c>
      <c r="F38" t="s">
        <v>27</v>
      </c>
      <c r="G38" t="s">
        <v>19</v>
      </c>
      <c r="H38" t="s">
        <v>20</v>
      </c>
      <c r="I38">
        <v>20496</v>
      </c>
      <c r="J38">
        <v>4</v>
      </c>
      <c r="K38">
        <v>3.4</v>
      </c>
      <c r="L38">
        <v>4</v>
      </c>
      <c r="M38" t="s">
        <v>21</v>
      </c>
    </row>
    <row r="39" spans="1:13">
      <c r="A39" t="s">
        <v>151</v>
      </c>
      <c r="B39" t="s">
        <v>152</v>
      </c>
      <c r="C39" t="s">
        <v>58</v>
      </c>
      <c r="D39" t="s">
        <v>116</v>
      </c>
      <c r="E39" t="s">
        <v>17</v>
      </c>
      <c r="F39" t="s">
        <v>27</v>
      </c>
      <c r="G39" t="s">
        <v>54</v>
      </c>
      <c r="H39" t="s">
        <v>64</v>
      </c>
      <c r="I39">
        <v>8466</v>
      </c>
      <c r="J39">
        <v>6</v>
      </c>
      <c r="K39">
        <v>4.7</v>
      </c>
      <c r="L39">
        <v>7</v>
      </c>
      <c r="M39" t="s">
        <v>55</v>
      </c>
    </row>
    <row r="40" spans="1:13">
      <c r="A40" t="s">
        <v>153</v>
      </c>
      <c r="B40" t="s">
        <v>154</v>
      </c>
      <c r="C40" t="s">
        <v>122</v>
      </c>
      <c r="D40" t="s">
        <v>41</v>
      </c>
      <c r="E40" t="s">
        <v>42</v>
      </c>
      <c r="F40" t="s">
        <v>53</v>
      </c>
      <c r="G40" t="s">
        <v>28</v>
      </c>
      <c r="H40" t="s">
        <v>64</v>
      </c>
      <c r="I40">
        <v>25865</v>
      </c>
      <c r="J40">
        <v>5</v>
      </c>
      <c r="K40">
        <v>4.8</v>
      </c>
      <c r="L40">
        <v>8</v>
      </c>
      <c r="M40" t="s">
        <v>126</v>
      </c>
    </row>
    <row r="41" spans="1:13">
      <c r="A41" t="s">
        <v>155</v>
      </c>
      <c r="B41" t="s">
        <v>156</v>
      </c>
      <c r="C41" t="s">
        <v>58</v>
      </c>
      <c r="D41" t="s">
        <v>116</v>
      </c>
      <c r="E41" t="s">
        <v>17</v>
      </c>
      <c r="F41" t="s">
        <v>100</v>
      </c>
      <c r="G41" t="s">
        <v>54</v>
      </c>
      <c r="H41" t="s">
        <v>36</v>
      </c>
      <c r="I41">
        <v>12481</v>
      </c>
      <c r="J41">
        <v>7</v>
      </c>
      <c r="K41">
        <v>4.2</v>
      </c>
      <c r="L41">
        <v>7</v>
      </c>
      <c r="M41" t="s">
        <v>126</v>
      </c>
    </row>
    <row r="42" spans="1:13">
      <c r="A42" t="s">
        <v>157</v>
      </c>
      <c r="B42" t="s">
        <v>158</v>
      </c>
      <c r="C42" t="s">
        <v>50</v>
      </c>
      <c r="D42" t="s">
        <v>159</v>
      </c>
      <c r="E42" t="s">
        <v>42</v>
      </c>
      <c r="F42" t="s">
        <v>53</v>
      </c>
      <c r="G42" t="s">
        <v>28</v>
      </c>
      <c r="H42" t="s">
        <v>29</v>
      </c>
      <c r="I42">
        <v>10143</v>
      </c>
      <c r="J42">
        <v>3</v>
      </c>
      <c r="K42">
        <v>4</v>
      </c>
      <c r="L42">
        <v>6</v>
      </c>
      <c r="M42" t="s">
        <v>47</v>
      </c>
    </row>
    <row r="43" spans="1:13">
      <c r="A43" t="s">
        <v>160</v>
      </c>
      <c r="B43" t="s">
        <v>161</v>
      </c>
      <c r="C43" t="s">
        <v>15</v>
      </c>
      <c r="D43" t="s">
        <v>116</v>
      </c>
      <c r="E43" t="s">
        <v>17</v>
      </c>
      <c r="F43" t="s">
        <v>100</v>
      </c>
      <c r="G43" t="s">
        <v>19</v>
      </c>
      <c r="H43" t="s">
        <v>20</v>
      </c>
      <c r="I43">
        <v>1016</v>
      </c>
      <c r="J43">
        <v>1</v>
      </c>
      <c r="K43">
        <v>4.9000000000000004</v>
      </c>
      <c r="L43">
        <v>4</v>
      </c>
      <c r="M43" t="s">
        <v>144</v>
      </c>
    </row>
    <row r="44" spans="1:13">
      <c r="A44" t="s">
        <v>162</v>
      </c>
      <c r="B44" t="s">
        <v>163</v>
      </c>
      <c r="C44" t="s">
        <v>24</v>
      </c>
      <c r="D44" t="s">
        <v>51</v>
      </c>
      <c r="E44" t="s">
        <v>52</v>
      </c>
      <c r="F44" t="s">
        <v>53</v>
      </c>
      <c r="G44" t="s">
        <v>54</v>
      </c>
      <c r="H44" t="s">
        <v>36</v>
      </c>
      <c r="I44">
        <v>2284</v>
      </c>
      <c r="J44">
        <v>2</v>
      </c>
      <c r="K44">
        <v>3.5</v>
      </c>
      <c r="L44">
        <v>2</v>
      </c>
      <c r="M44" t="s">
        <v>119</v>
      </c>
    </row>
    <row r="45" spans="1:13">
      <c r="A45" t="s">
        <v>164</v>
      </c>
      <c r="B45" t="s">
        <v>139</v>
      </c>
      <c r="C45" t="s">
        <v>45</v>
      </c>
      <c r="D45" t="s">
        <v>165</v>
      </c>
      <c r="E45" t="s">
        <v>35</v>
      </c>
      <c r="F45" t="s">
        <v>18</v>
      </c>
      <c r="G45" t="s">
        <v>54</v>
      </c>
      <c r="H45" t="s">
        <v>29</v>
      </c>
      <c r="I45">
        <v>87227</v>
      </c>
      <c r="J45">
        <v>7</v>
      </c>
      <c r="K45">
        <v>3.6</v>
      </c>
      <c r="L45">
        <v>5</v>
      </c>
      <c r="M45" t="s">
        <v>119</v>
      </c>
    </row>
    <row r="46" spans="1:13">
      <c r="A46" t="s">
        <v>166</v>
      </c>
      <c r="B46" t="s">
        <v>167</v>
      </c>
      <c r="C46" t="s">
        <v>133</v>
      </c>
      <c r="D46" t="s">
        <v>69</v>
      </c>
      <c r="E46" t="s">
        <v>26</v>
      </c>
      <c r="F46" t="s">
        <v>53</v>
      </c>
      <c r="G46" t="s">
        <v>28</v>
      </c>
      <c r="H46" t="s">
        <v>20</v>
      </c>
      <c r="I46">
        <v>46092</v>
      </c>
      <c r="J46">
        <v>6</v>
      </c>
      <c r="K46">
        <v>4.7</v>
      </c>
      <c r="L46">
        <v>2</v>
      </c>
      <c r="M46" t="s">
        <v>119</v>
      </c>
    </row>
    <row r="47" spans="1:13">
      <c r="A47" t="s">
        <v>168</v>
      </c>
      <c r="B47" t="s">
        <v>169</v>
      </c>
      <c r="C47" t="s">
        <v>170</v>
      </c>
      <c r="D47" t="s">
        <v>159</v>
      </c>
      <c r="E47" t="s">
        <v>42</v>
      </c>
      <c r="F47" t="s">
        <v>83</v>
      </c>
      <c r="G47" t="s">
        <v>54</v>
      </c>
      <c r="H47" t="s">
        <v>29</v>
      </c>
      <c r="I47">
        <v>22540</v>
      </c>
      <c r="J47">
        <v>5</v>
      </c>
      <c r="K47">
        <v>4.7</v>
      </c>
      <c r="L47">
        <v>5</v>
      </c>
      <c r="M47" t="s">
        <v>65</v>
      </c>
    </row>
    <row r="48" spans="1:13">
      <c r="A48" t="s">
        <v>171</v>
      </c>
      <c r="B48" t="s">
        <v>172</v>
      </c>
      <c r="C48" t="s">
        <v>103</v>
      </c>
      <c r="D48" t="s">
        <v>159</v>
      </c>
      <c r="E48" t="s">
        <v>42</v>
      </c>
      <c r="F48" t="s">
        <v>53</v>
      </c>
      <c r="G48" t="s">
        <v>104</v>
      </c>
      <c r="H48" t="s">
        <v>29</v>
      </c>
      <c r="I48">
        <v>23534</v>
      </c>
      <c r="J48">
        <v>7</v>
      </c>
      <c r="K48">
        <v>4.0999999999999996</v>
      </c>
      <c r="L48">
        <v>6</v>
      </c>
      <c r="M48" t="s">
        <v>47</v>
      </c>
    </row>
    <row r="49" spans="1:13">
      <c r="A49" t="s">
        <v>173</v>
      </c>
      <c r="B49" t="s">
        <v>174</v>
      </c>
      <c r="C49" t="s">
        <v>125</v>
      </c>
      <c r="D49" t="s">
        <v>25</v>
      </c>
      <c r="E49" t="s">
        <v>26</v>
      </c>
      <c r="F49" t="s">
        <v>60</v>
      </c>
      <c r="G49" t="s">
        <v>54</v>
      </c>
      <c r="H49" t="s">
        <v>36</v>
      </c>
      <c r="I49">
        <v>39584</v>
      </c>
      <c r="J49">
        <v>4</v>
      </c>
      <c r="K49">
        <v>4.5999999999999996</v>
      </c>
      <c r="L49">
        <v>8</v>
      </c>
      <c r="M49" t="s">
        <v>65</v>
      </c>
    </row>
    <row r="50" spans="1:13">
      <c r="A50" t="s">
        <v>175</v>
      </c>
      <c r="B50" t="s">
        <v>176</v>
      </c>
      <c r="C50" t="s">
        <v>129</v>
      </c>
      <c r="D50" t="s">
        <v>34</v>
      </c>
      <c r="E50" t="s">
        <v>35</v>
      </c>
      <c r="F50" t="s">
        <v>27</v>
      </c>
      <c r="G50" t="s">
        <v>28</v>
      </c>
      <c r="H50" t="s">
        <v>29</v>
      </c>
      <c r="I50">
        <v>258124</v>
      </c>
      <c r="J50">
        <v>4</v>
      </c>
      <c r="K50">
        <v>3.8</v>
      </c>
      <c r="L50">
        <v>6</v>
      </c>
      <c r="M50" t="s">
        <v>55</v>
      </c>
    </row>
    <row r="51" spans="1:13">
      <c r="A51" t="s">
        <v>177</v>
      </c>
      <c r="B51" t="s">
        <v>178</v>
      </c>
      <c r="C51" t="s">
        <v>179</v>
      </c>
      <c r="D51" t="s">
        <v>130</v>
      </c>
      <c r="E51" t="s">
        <v>35</v>
      </c>
      <c r="F51" t="s">
        <v>83</v>
      </c>
      <c r="G51" t="s">
        <v>28</v>
      </c>
      <c r="H51" t="s">
        <v>29</v>
      </c>
      <c r="I51">
        <v>87718</v>
      </c>
      <c r="J51">
        <v>2</v>
      </c>
      <c r="K51">
        <v>4.9000000000000004</v>
      </c>
      <c r="L51">
        <v>3</v>
      </c>
      <c r="M51" t="s">
        <v>37</v>
      </c>
    </row>
    <row r="52" spans="1:13">
      <c r="A52" t="s">
        <v>180</v>
      </c>
      <c r="B52" t="s">
        <v>181</v>
      </c>
      <c r="C52" t="s">
        <v>103</v>
      </c>
      <c r="D52" t="s">
        <v>59</v>
      </c>
      <c r="E52" t="s">
        <v>26</v>
      </c>
      <c r="F52" t="s">
        <v>18</v>
      </c>
      <c r="G52" t="s">
        <v>54</v>
      </c>
      <c r="H52" t="s">
        <v>29</v>
      </c>
      <c r="I52">
        <v>23008</v>
      </c>
      <c r="J52">
        <v>4</v>
      </c>
      <c r="K52">
        <v>3.2</v>
      </c>
      <c r="L52">
        <v>3</v>
      </c>
      <c r="M52" t="s">
        <v>87</v>
      </c>
    </row>
    <row r="53" spans="1:13">
      <c r="A53" t="s">
        <v>182</v>
      </c>
      <c r="B53" t="s">
        <v>183</v>
      </c>
      <c r="C53" t="s">
        <v>103</v>
      </c>
      <c r="D53" t="s">
        <v>51</v>
      </c>
      <c r="E53" t="s">
        <v>52</v>
      </c>
      <c r="F53" t="s">
        <v>60</v>
      </c>
      <c r="G53" t="s">
        <v>54</v>
      </c>
      <c r="H53" t="s">
        <v>36</v>
      </c>
      <c r="I53">
        <v>1414</v>
      </c>
      <c r="J53">
        <v>1</v>
      </c>
      <c r="K53">
        <v>3.8</v>
      </c>
      <c r="L53">
        <v>1</v>
      </c>
      <c r="M53" t="s">
        <v>87</v>
      </c>
    </row>
    <row r="54" spans="1:13">
      <c r="A54" t="s">
        <v>184</v>
      </c>
      <c r="B54" t="s">
        <v>185</v>
      </c>
      <c r="C54" t="s">
        <v>78</v>
      </c>
      <c r="D54" t="s">
        <v>90</v>
      </c>
      <c r="E54" t="s">
        <v>42</v>
      </c>
      <c r="F54" t="s">
        <v>60</v>
      </c>
      <c r="G54" t="s">
        <v>19</v>
      </c>
      <c r="H54" t="s">
        <v>64</v>
      </c>
      <c r="I54">
        <v>3189</v>
      </c>
      <c r="J54">
        <v>1</v>
      </c>
      <c r="K54">
        <v>5</v>
      </c>
      <c r="L54">
        <v>2</v>
      </c>
      <c r="M54" t="s">
        <v>87</v>
      </c>
    </row>
    <row r="55" spans="1:13">
      <c r="A55" t="s">
        <v>186</v>
      </c>
      <c r="B55" t="s">
        <v>187</v>
      </c>
      <c r="C55" t="s">
        <v>75</v>
      </c>
      <c r="D55" t="s">
        <v>90</v>
      </c>
      <c r="E55" t="s">
        <v>42</v>
      </c>
      <c r="F55" t="s">
        <v>83</v>
      </c>
      <c r="G55" t="s">
        <v>19</v>
      </c>
      <c r="H55" t="s">
        <v>20</v>
      </c>
      <c r="I55">
        <v>10584</v>
      </c>
      <c r="J55">
        <v>7</v>
      </c>
      <c r="K55">
        <v>4.3</v>
      </c>
      <c r="L55">
        <v>5</v>
      </c>
      <c r="M55" t="s">
        <v>126</v>
      </c>
    </row>
    <row r="56" spans="1:13">
      <c r="A56" t="s">
        <v>188</v>
      </c>
      <c r="B56" t="s">
        <v>189</v>
      </c>
      <c r="C56" t="s">
        <v>40</v>
      </c>
      <c r="D56" t="s">
        <v>25</v>
      </c>
      <c r="E56" t="s">
        <v>26</v>
      </c>
      <c r="F56" t="s">
        <v>27</v>
      </c>
      <c r="G56" t="s">
        <v>28</v>
      </c>
      <c r="H56" t="s">
        <v>36</v>
      </c>
      <c r="I56">
        <v>5571</v>
      </c>
      <c r="J56">
        <v>1</v>
      </c>
      <c r="K56">
        <v>3.3</v>
      </c>
      <c r="L56">
        <v>5</v>
      </c>
      <c r="M56" t="s">
        <v>80</v>
      </c>
    </row>
    <row r="57" spans="1:13">
      <c r="A57" t="s">
        <v>190</v>
      </c>
      <c r="B57" t="s">
        <v>191</v>
      </c>
      <c r="C57" t="s">
        <v>72</v>
      </c>
      <c r="D57" t="s">
        <v>109</v>
      </c>
      <c r="E57" t="s">
        <v>52</v>
      </c>
      <c r="F57" t="s">
        <v>18</v>
      </c>
      <c r="G57" t="s">
        <v>54</v>
      </c>
      <c r="H57" t="s">
        <v>20</v>
      </c>
      <c r="I57">
        <v>2880</v>
      </c>
      <c r="J57">
        <v>4</v>
      </c>
      <c r="K57">
        <v>3.5</v>
      </c>
      <c r="L57">
        <v>5</v>
      </c>
      <c r="M57" t="s">
        <v>192</v>
      </c>
    </row>
    <row r="58" spans="1:13">
      <c r="A58" t="s">
        <v>193</v>
      </c>
      <c r="B58" t="s">
        <v>102</v>
      </c>
      <c r="C58" t="s">
        <v>146</v>
      </c>
      <c r="D58" t="s">
        <v>165</v>
      </c>
      <c r="E58" t="s">
        <v>35</v>
      </c>
      <c r="F58" t="s">
        <v>18</v>
      </c>
      <c r="G58" t="s">
        <v>54</v>
      </c>
      <c r="H58" t="s">
        <v>64</v>
      </c>
      <c r="I58">
        <v>319665</v>
      </c>
      <c r="J58">
        <v>5</v>
      </c>
      <c r="K58">
        <v>4.9000000000000004</v>
      </c>
      <c r="L58">
        <v>8</v>
      </c>
      <c r="M58" t="s">
        <v>30</v>
      </c>
    </row>
    <row r="59" spans="1:13">
      <c r="A59" t="s">
        <v>194</v>
      </c>
      <c r="B59" t="s">
        <v>195</v>
      </c>
      <c r="C59" t="s">
        <v>58</v>
      </c>
      <c r="D59" t="s">
        <v>165</v>
      </c>
      <c r="E59" t="s">
        <v>35</v>
      </c>
      <c r="F59" t="s">
        <v>18</v>
      </c>
      <c r="G59" t="s">
        <v>19</v>
      </c>
      <c r="H59" t="s">
        <v>64</v>
      </c>
      <c r="I59">
        <v>77892</v>
      </c>
      <c r="J59">
        <v>1</v>
      </c>
      <c r="K59">
        <v>5</v>
      </c>
      <c r="L59">
        <v>5</v>
      </c>
      <c r="M59" t="s">
        <v>21</v>
      </c>
    </row>
    <row r="60" spans="1:13">
      <c r="A60" t="s">
        <v>196</v>
      </c>
      <c r="B60" t="s">
        <v>197</v>
      </c>
      <c r="C60" t="s">
        <v>170</v>
      </c>
      <c r="D60" t="s">
        <v>69</v>
      </c>
      <c r="E60" t="s">
        <v>26</v>
      </c>
      <c r="F60" t="s">
        <v>27</v>
      </c>
      <c r="G60" t="s">
        <v>54</v>
      </c>
      <c r="H60" t="s">
        <v>20</v>
      </c>
      <c r="I60">
        <v>25500</v>
      </c>
      <c r="J60">
        <v>3</v>
      </c>
      <c r="K60">
        <v>3.8</v>
      </c>
      <c r="L60">
        <v>6</v>
      </c>
      <c r="M60" t="s">
        <v>21</v>
      </c>
    </row>
    <row r="61" spans="1:13">
      <c r="A61" t="s">
        <v>198</v>
      </c>
      <c r="B61" t="s">
        <v>199</v>
      </c>
      <c r="C61" t="s">
        <v>170</v>
      </c>
      <c r="D61" t="s">
        <v>97</v>
      </c>
      <c r="E61" t="s">
        <v>35</v>
      </c>
      <c r="F61" t="s">
        <v>18</v>
      </c>
      <c r="G61" t="s">
        <v>28</v>
      </c>
      <c r="H61" t="s">
        <v>36</v>
      </c>
      <c r="I61">
        <v>596816</v>
      </c>
      <c r="J61">
        <v>8</v>
      </c>
      <c r="K61">
        <v>3.4</v>
      </c>
      <c r="L61">
        <v>5</v>
      </c>
      <c r="M61" t="s">
        <v>119</v>
      </c>
    </row>
    <row r="62" spans="1:13">
      <c r="A62" t="s">
        <v>200</v>
      </c>
      <c r="B62" t="s">
        <v>201</v>
      </c>
      <c r="C62" t="s">
        <v>179</v>
      </c>
      <c r="D62" t="s">
        <v>69</v>
      </c>
      <c r="E62" t="s">
        <v>26</v>
      </c>
      <c r="F62" t="s">
        <v>53</v>
      </c>
      <c r="G62" t="s">
        <v>19</v>
      </c>
      <c r="H62" t="s">
        <v>29</v>
      </c>
      <c r="I62">
        <v>8967</v>
      </c>
      <c r="J62">
        <v>1</v>
      </c>
      <c r="K62">
        <v>4.3</v>
      </c>
      <c r="L62">
        <v>1</v>
      </c>
      <c r="M62" t="s">
        <v>55</v>
      </c>
    </row>
    <row r="63" spans="1:13">
      <c r="A63" t="s">
        <v>202</v>
      </c>
      <c r="B63" t="s">
        <v>203</v>
      </c>
      <c r="C63" t="s">
        <v>75</v>
      </c>
      <c r="D63" t="s">
        <v>90</v>
      </c>
      <c r="E63" t="s">
        <v>42</v>
      </c>
      <c r="F63" t="s">
        <v>83</v>
      </c>
      <c r="G63" t="s">
        <v>54</v>
      </c>
      <c r="H63" t="s">
        <v>64</v>
      </c>
      <c r="I63">
        <v>3245</v>
      </c>
      <c r="J63">
        <v>1</v>
      </c>
      <c r="K63">
        <v>3.2</v>
      </c>
      <c r="L63">
        <v>7</v>
      </c>
      <c r="M63" t="s">
        <v>80</v>
      </c>
    </row>
    <row r="64" spans="1:13">
      <c r="A64" t="s">
        <v>204</v>
      </c>
      <c r="B64" t="s">
        <v>205</v>
      </c>
      <c r="C64" t="s">
        <v>50</v>
      </c>
      <c r="D64" t="s">
        <v>86</v>
      </c>
      <c r="E64" t="s">
        <v>17</v>
      </c>
      <c r="F64" t="s">
        <v>83</v>
      </c>
      <c r="G64" t="s">
        <v>19</v>
      </c>
      <c r="H64" t="s">
        <v>36</v>
      </c>
      <c r="I64">
        <v>6710</v>
      </c>
      <c r="J64">
        <v>5</v>
      </c>
      <c r="K64">
        <v>3.6</v>
      </c>
      <c r="L64">
        <v>3</v>
      </c>
      <c r="M64" t="s">
        <v>65</v>
      </c>
    </row>
    <row r="65" spans="1:13">
      <c r="A65" t="s">
        <v>206</v>
      </c>
      <c r="B65" t="s">
        <v>207</v>
      </c>
      <c r="C65" t="s">
        <v>72</v>
      </c>
      <c r="D65" t="s">
        <v>97</v>
      </c>
      <c r="E65" t="s">
        <v>35</v>
      </c>
      <c r="F65" t="s">
        <v>60</v>
      </c>
      <c r="G65" t="s">
        <v>28</v>
      </c>
      <c r="H65" t="s">
        <v>29</v>
      </c>
      <c r="I65">
        <v>208160</v>
      </c>
      <c r="J65">
        <v>5</v>
      </c>
      <c r="K65">
        <v>5</v>
      </c>
      <c r="L65">
        <v>8</v>
      </c>
      <c r="M65" t="s">
        <v>126</v>
      </c>
    </row>
    <row r="66" spans="1:13">
      <c r="A66" t="s">
        <v>208</v>
      </c>
      <c r="B66" t="s">
        <v>209</v>
      </c>
      <c r="C66" t="s">
        <v>33</v>
      </c>
      <c r="D66" t="s">
        <v>165</v>
      </c>
      <c r="E66" t="s">
        <v>35</v>
      </c>
      <c r="F66" t="s">
        <v>53</v>
      </c>
      <c r="G66" t="s">
        <v>28</v>
      </c>
      <c r="H66" t="s">
        <v>64</v>
      </c>
      <c r="I66">
        <v>190589</v>
      </c>
      <c r="J66">
        <v>7</v>
      </c>
      <c r="K66">
        <v>3.9</v>
      </c>
      <c r="L66">
        <v>7</v>
      </c>
      <c r="M66" t="s">
        <v>30</v>
      </c>
    </row>
    <row r="67" spans="1:13">
      <c r="A67" t="s">
        <v>210</v>
      </c>
      <c r="B67" t="s">
        <v>211</v>
      </c>
      <c r="C67" t="s">
        <v>68</v>
      </c>
      <c r="D67" t="s">
        <v>159</v>
      </c>
      <c r="E67" t="s">
        <v>42</v>
      </c>
      <c r="F67" t="s">
        <v>100</v>
      </c>
      <c r="G67" t="s">
        <v>28</v>
      </c>
      <c r="H67" t="s">
        <v>36</v>
      </c>
      <c r="I67">
        <v>3419</v>
      </c>
      <c r="J67">
        <v>1</v>
      </c>
      <c r="K67">
        <v>4.8</v>
      </c>
      <c r="L67">
        <v>8</v>
      </c>
      <c r="M67" t="s">
        <v>65</v>
      </c>
    </row>
    <row r="68" spans="1:13">
      <c r="A68" t="s">
        <v>212</v>
      </c>
      <c r="B68" t="s">
        <v>213</v>
      </c>
      <c r="C68" t="s">
        <v>170</v>
      </c>
      <c r="D68" t="s">
        <v>51</v>
      </c>
      <c r="E68" t="s">
        <v>52</v>
      </c>
      <c r="F68" t="s">
        <v>27</v>
      </c>
      <c r="G68" t="s">
        <v>28</v>
      </c>
      <c r="H68" t="s">
        <v>29</v>
      </c>
      <c r="I68">
        <v>6519</v>
      </c>
      <c r="J68">
        <v>3</v>
      </c>
      <c r="K68">
        <v>4.4000000000000004</v>
      </c>
      <c r="L68">
        <v>2</v>
      </c>
      <c r="M68" t="s">
        <v>119</v>
      </c>
    </row>
    <row r="69" spans="1:13">
      <c r="A69" t="s">
        <v>214</v>
      </c>
      <c r="B69" t="s">
        <v>215</v>
      </c>
      <c r="C69" t="s">
        <v>146</v>
      </c>
      <c r="D69" t="s">
        <v>41</v>
      </c>
      <c r="E69" t="s">
        <v>42</v>
      </c>
      <c r="F69" t="s">
        <v>83</v>
      </c>
      <c r="G69" t="s">
        <v>104</v>
      </c>
      <c r="H69" t="s">
        <v>36</v>
      </c>
      <c r="I69">
        <v>2880</v>
      </c>
      <c r="J69">
        <v>2</v>
      </c>
      <c r="K69">
        <v>5</v>
      </c>
      <c r="L69">
        <v>2</v>
      </c>
      <c r="M69" t="s">
        <v>192</v>
      </c>
    </row>
    <row r="70" spans="1:13">
      <c r="A70" t="s">
        <v>216</v>
      </c>
      <c r="B70" t="s">
        <v>217</v>
      </c>
      <c r="C70" t="s">
        <v>24</v>
      </c>
      <c r="D70" t="s">
        <v>218</v>
      </c>
      <c r="E70" t="s">
        <v>17</v>
      </c>
      <c r="F70" t="s">
        <v>83</v>
      </c>
      <c r="G70" t="s">
        <v>54</v>
      </c>
      <c r="H70" t="s">
        <v>64</v>
      </c>
      <c r="I70">
        <v>5170</v>
      </c>
      <c r="J70">
        <v>5</v>
      </c>
      <c r="K70">
        <v>4.2</v>
      </c>
      <c r="L70">
        <v>3</v>
      </c>
      <c r="M70" t="s">
        <v>144</v>
      </c>
    </row>
    <row r="71" spans="1:13">
      <c r="A71" t="s">
        <v>219</v>
      </c>
      <c r="B71" t="s">
        <v>220</v>
      </c>
      <c r="C71" t="s">
        <v>40</v>
      </c>
      <c r="D71" t="s">
        <v>79</v>
      </c>
      <c r="E71" t="s">
        <v>26</v>
      </c>
      <c r="F71" t="s">
        <v>27</v>
      </c>
      <c r="G71" t="s">
        <v>19</v>
      </c>
      <c r="H71" t="s">
        <v>36</v>
      </c>
      <c r="I71">
        <v>14949</v>
      </c>
      <c r="J71">
        <v>3</v>
      </c>
      <c r="K71">
        <v>4.4000000000000004</v>
      </c>
      <c r="L71">
        <v>8</v>
      </c>
      <c r="M71" t="s">
        <v>65</v>
      </c>
    </row>
    <row r="72" spans="1:13">
      <c r="A72" t="s">
        <v>221</v>
      </c>
      <c r="B72" t="s">
        <v>222</v>
      </c>
      <c r="C72" t="s">
        <v>125</v>
      </c>
      <c r="D72" t="s">
        <v>46</v>
      </c>
      <c r="E72" t="s">
        <v>42</v>
      </c>
      <c r="F72" t="s">
        <v>18</v>
      </c>
      <c r="G72" t="s">
        <v>19</v>
      </c>
      <c r="H72" t="s">
        <v>64</v>
      </c>
      <c r="I72">
        <v>22210</v>
      </c>
      <c r="J72">
        <v>5</v>
      </c>
      <c r="K72">
        <v>3.6</v>
      </c>
      <c r="L72">
        <v>7</v>
      </c>
      <c r="M72" t="s">
        <v>30</v>
      </c>
    </row>
    <row r="73" spans="1:13">
      <c r="A73" t="s">
        <v>223</v>
      </c>
      <c r="B73" t="s">
        <v>224</v>
      </c>
      <c r="C73" t="s">
        <v>45</v>
      </c>
      <c r="D73" t="s">
        <v>59</v>
      </c>
      <c r="E73" t="s">
        <v>26</v>
      </c>
      <c r="F73" t="s">
        <v>27</v>
      </c>
      <c r="G73" t="s">
        <v>28</v>
      </c>
      <c r="H73" t="s">
        <v>29</v>
      </c>
      <c r="I73">
        <v>26485</v>
      </c>
      <c r="J73">
        <v>5</v>
      </c>
      <c r="K73">
        <v>3.2</v>
      </c>
      <c r="L73">
        <v>1</v>
      </c>
      <c r="M73" t="s">
        <v>30</v>
      </c>
    </row>
    <row r="74" spans="1:13">
      <c r="A74" t="s">
        <v>225</v>
      </c>
      <c r="B74" t="s">
        <v>226</v>
      </c>
      <c r="C74" t="s">
        <v>40</v>
      </c>
      <c r="D74" t="s">
        <v>109</v>
      </c>
      <c r="E74" t="s">
        <v>52</v>
      </c>
      <c r="F74" t="s">
        <v>60</v>
      </c>
      <c r="G74" t="s">
        <v>54</v>
      </c>
      <c r="H74" t="s">
        <v>29</v>
      </c>
      <c r="I74">
        <v>5104</v>
      </c>
      <c r="J74">
        <v>4</v>
      </c>
      <c r="K74">
        <v>4.8</v>
      </c>
      <c r="L74">
        <v>1</v>
      </c>
      <c r="M74" t="s">
        <v>37</v>
      </c>
    </row>
    <row r="75" spans="1:13">
      <c r="A75" t="s">
        <v>227</v>
      </c>
      <c r="B75" t="s">
        <v>228</v>
      </c>
      <c r="C75" t="s">
        <v>112</v>
      </c>
      <c r="D75" t="s">
        <v>147</v>
      </c>
      <c r="E75" t="s">
        <v>52</v>
      </c>
      <c r="F75" t="s">
        <v>100</v>
      </c>
      <c r="G75" t="s">
        <v>104</v>
      </c>
      <c r="H75" t="s">
        <v>20</v>
      </c>
      <c r="I75">
        <v>5814</v>
      </c>
      <c r="J75">
        <v>6</v>
      </c>
      <c r="K75">
        <v>4.8</v>
      </c>
      <c r="L75">
        <v>6</v>
      </c>
      <c r="M75" t="s">
        <v>126</v>
      </c>
    </row>
    <row r="76" spans="1:13">
      <c r="A76" t="s">
        <v>229</v>
      </c>
      <c r="B76" t="s">
        <v>228</v>
      </c>
      <c r="C76" t="s">
        <v>78</v>
      </c>
      <c r="D76" t="s">
        <v>97</v>
      </c>
      <c r="E76" t="s">
        <v>35</v>
      </c>
      <c r="F76" t="s">
        <v>53</v>
      </c>
      <c r="G76" t="s">
        <v>54</v>
      </c>
      <c r="H76" t="s">
        <v>64</v>
      </c>
      <c r="I76">
        <v>74214</v>
      </c>
      <c r="J76">
        <v>6</v>
      </c>
      <c r="K76">
        <v>4.7</v>
      </c>
      <c r="L76">
        <v>7</v>
      </c>
      <c r="M76" t="s">
        <v>126</v>
      </c>
    </row>
    <row r="77" spans="1:13">
      <c r="A77" t="s">
        <v>230</v>
      </c>
      <c r="B77" t="s">
        <v>231</v>
      </c>
      <c r="C77" t="s">
        <v>68</v>
      </c>
      <c r="D77" t="s">
        <v>218</v>
      </c>
      <c r="E77" t="s">
        <v>17</v>
      </c>
      <c r="F77" t="s">
        <v>27</v>
      </c>
      <c r="G77" t="s">
        <v>19</v>
      </c>
      <c r="H77" t="s">
        <v>64</v>
      </c>
      <c r="I77">
        <v>2462</v>
      </c>
      <c r="J77">
        <v>2</v>
      </c>
      <c r="K77">
        <v>4.7</v>
      </c>
      <c r="L77">
        <v>6</v>
      </c>
      <c r="M77" t="s">
        <v>30</v>
      </c>
    </row>
    <row r="78" spans="1:13">
      <c r="A78" t="s">
        <v>232</v>
      </c>
      <c r="B78" t="s">
        <v>233</v>
      </c>
      <c r="C78" t="s">
        <v>33</v>
      </c>
      <c r="D78" t="s">
        <v>218</v>
      </c>
      <c r="E78" t="s">
        <v>17</v>
      </c>
      <c r="F78" t="s">
        <v>18</v>
      </c>
      <c r="G78" t="s">
        <v>104</v>
      </c>
      <c r="H78" t="s">
        <v>64</v>
      </c>
      <c r="I78">
        <v>6504</v>
      </c>
      <c r="J78">
        <v>4</v>
      </c>
      <c r="K78">
        <v>3.9</v>
      </c>
      <c r="L78">
        <v>3</v>
      </c>
      <c r="M78" t="s">
        <v>192</v>
      </c>
    </row>
    <row r="79" spans="1:13">
      <c r="A79" t="s">
        <v>234</v>
      </c>
      <c r="B79" t="s">
        <v>235</v>
      </c>
      <c r="C79" t="s">
        <v>133</v>
      </c>
      <c r="D79" t="s">
        <v>16</v>
      </c>
      <c r="E79" t="s">
        <v>17</v>
      </c>
      <c r="F79" t="s">
        <v>27</v>
      </c>
      <c r="G79" t="s">
        <v>54</v>
      </c>
      <c r="H79" t="s">
        <v>64</v>
      </c>
      <c r="I79">
        <v>3285</v>
      </c>
      <c r="J79">
        <v>3</v>
      </c>
      <c r="K79">
        <v>4.3</v>
      </c>
      <c r="L79">
        <v>3</v>
      </c>
      <c r="M79" t="s">
        <v>21</v>
      </c>
    </row>
    <row r="80" spans="1:13">
      <c r="A80" t="s">
        <v>236</v>
      </c>
      <c r="B80" t="s">
        <v>237</v>
      </c>
      <c r="C80" t="s">
        <v>68</v>
      </c>
      <c r="D80" t="s">
        <v>69</v>
      </c>
      <c r="E80" t="s">
        <v>26</v>
      </c>
      <c r="F80" t="s">
        <v>27</v>
      </c>
      <c r="G80" t="s">
        <v>104</v>
      </c>
      <c r="H80" t="s">
        <v>29</v>
      </c>
      <c r="I80">
        <v>8085</v>
      </c>
      <c r="J80">
        <v>1</v>
      </c>
      <c r="K80">
        <v>4.9000000000000004</v>
      </c>
      <c r="L80">
        <v>6</v>
      </c>
      <c r="M80" t="s">
        <v>21</v>
      </c>
    </row>
    <row r="81" spans="1:13">
      <c r="A81" t="s">
        <v>238</v>
      </c>
      <c r="B81" t="s">
        <v>115</v>
      </c>
      <c r="C81" t="s">
        <v>33</v>
      </c>
      <c r="D81" t="s">
        <v>116</v>
      </c>
      <c r="E81" t="s">
        <v>17</v>
      </c>
      <c r="F81" t="s">
        <v>53</v>
      </c>
      <c r="G81" t="s">
        <v>19</v>
      </c>
      <c r="H81" t="s">
        <v>20</v>
      </c>
      <c r="I81">
        <v>2200</v>
      </c>
      <c r="J81">
        <v>4</v>
      </c>
      <c r="K81">
        <v>4.4000000000000004</v>
      </c>
      <c r="L81">
        <v>1</v>
      </c>
      <c r="M81" t="s">
        <v>21</v>
      </c>
    </row>
    <row r="82" spans="1:13">
      <c r="A82" t="s">
        <v>239</v>
      </c>
      <c r="B82" t="s">
        <v>108</v>
      </c>
      <c r="C82" t="s">
        <v>103</v>
      </c>
      <c r="D82" t="s">
        <v>79</v>
      </c>
      <c r="E82" t="s">
        <v>26</v>
      </c>
      <c r="F82" t="s">
        <v>83</v>
      </c>
      <c r="G82" t="s">
        <v>19</v>
      </c>
      <c r="H82" t="s">
        <v>29</v>
      </c>
      <c r="I82">
        <v>12868</v>
      </c>
      <c r="J82">
        <v>4</v>
      </c>
      <c r="K82">
        <v>4.5999999999999996</v>
      </c>
      <c r="L82">
        <v>1</v>
      </c>
      <c r="M82" t="s">
        <v>87</v>
      </c>
    </row>
    <row r="83" spans="1:13">
      <c r="A83" t="s">
        <v>240</v>
      </c>
      <c r="B83" t="s">
        <v>167</v>
      </c>
      <c r="C83" t="s">
        <v>103</v>
      </c>
      <c r="D83" t="s">
        <v>147</v>
      </c>
      <c r="E83" t="s">
        <v>52</v>
      </c>
      <c r="F83" t="s">
        <v>18</v>
      </c>
      <c r="G83" t="s">
        <v>19</v>
      </c>
      <c r="H83" t="s">
        <v>64</v>
      </c>
      <c r="I83">
        <v>310</v>
      </c>
      <c r="J83">
        <v>1</v>
      </c>
      <c r="K83">
        <v>3.8</v>
      </c>
      <c r="L83">
        <v>3</v>
      </c>
      <c r="M83" t="s">
        <v>119</v>
      </c>
    </row>
    <row r="84" spans="1:13">
      <c r="A84" t="s">
        <v>241</v>
      </c>
      <c r="B84" t="s">
        <v>242</v>
      </c>
      <c r="C84" t="s">
        <v>45</v>
      </c>
      <c r="D84" t="s">
        <v>25</v>
      </c>
      <c r="E84" t="s">
        <v>26</v>
      </c>
      <c r="F84" t="s">
        <v>18</v>
      </c>
      <c r="G84" t="s">
        <v>104</v>
      </c>
      <c r="H84" t="s">
        <v>64</v>
      </c>
      <c r="I84">
        <v>20688</v>
      </c>
      <c r="J84">
        <v>8</v>
      </c>
      <c r="K84">
        <v>4</v>
      </c>
      <c r="L84">
        <v>4</v>
      </c>
      <c r="M84" t="s">
        <v>87</v>
      </c>
    </row>
    <row r="85" spans="1:13">
      <c r="A85" t="s">
        <v>243</v>
      </c>
      <c r="B85" t="s">
        <v>244</v>
      </c>
      <c r="C85" t="s">
        <v>45</v>
      </c>
      <c r="D85" t="s">
        <v>16</v>
      </c>
      <c r="E85" t="s">
        <v>17</v>
      </c>
      <c r="F85" t="s">
        <v>83</v>
      </c>
      <c r="G85" t="s">
        <v>54</v>
      </c>
      <c r="H85" t="s">
        <v>20</v>
      </c>
      <c r="I85">
        <v>8211</v>
      </c>
      <c r="J85">
        <v>7</v>
      </c>
      <c r="K85">
        <v>4.8</v>
      </c>
      <c r="L85">
        <v>6</v>
      </c>
      <c r="M85" t="s">
        <v>65</v>
      </c>
    </row>
    <row r="86" spans="1:13">
      <c r="A86" t="s">
        <v>245</v>
      </c>
      <c r="B86" t="s">
        <v>246</v>
      </c>
      <c r="C86" t="s">
        <v>68</v>
      </c>
      <c r="D86" t="s">
        <v>165</v>
      </c>
      <c r="E86" t="s">
        <v>35</v>
      </c>
      <c r="F86" t="s">
        <v>27</v>
      </c>
      <c r="G86" t="s">
        <v>19</v>
      </c>
      <c r="H86" t="s">
        <v>64</v>
      </c>
      <c r="I86">
        <v>246912</v>
      </c>
      <c r="J86">
        <v>6</v>
      </c>
      <c r="K86">
        <v>4.3</v>
      </c>
      <c r="L86">
        <v>2</v>
      </c>
      <c r="M86" t="s">
        <v>192</v>
      </c>
    </row>
    <row r="87" spans="1:13">
      <c r="A87" t="s">
        <v>247</v>
      </c>
      <c r="B87" t="s">
        <v>201</v>
      </c>
      <c r="C87" t="s">
        <v>129</v>
      </c>
      <c r="D87" t="s">
        <v>159</v>
      </c>
      <c r="E87" t="s">
        <v>42</v>
      </c>
      <c r="F87" t="s">
        <v>83</v>
      </c>
      <c r="G87" t="s">
        <v>28</v>
      </c>
      <c r="H87" t="s">
        <v>36</v>
      </c>
      <c r="I87">
        <v>8868</v>
      </c>
      <c r="J87">
        <v>6</v>
      </c>
      <c r="K87">
        <v>4</v>
      </c>
      <c r="L87">
        <v>5</v>
      </c>
      <c r="M87" t="s">
        <v>55</v>
      </c>
    </row>
    <row r="88" spans="1:13">
      <c r="A88" t="s">
        <v>248</v>
      </c>
      <c r="B88" t="s">
        <v>94</v>
      </c>
      <c r="C88" t="s">
        <v>68</v>
      </c>
      <c r="D88" t="s">
        <v>16</v>
      </c>
      <c r="E88" t="s">
        <v>17</v>
      </c>
      <c r="F88" t="s">
        <v>60</v>
      </c>
      <c r="G88" t="s">
        <v>104</v>
      </c>
      <c r="H88" t="s">
        <v>64</v>
      </c>
      <c r="I88">
        <v>3479</v>
      </c>
      <c r="J88">
        <v>7</v>
      </c>
      <c r="K88">
        <v>4.3</v>
      </c>
      <c r="L88">
        <v>6</v>
      </c>
      <c r="M88" t="s">
        <v>87</v>
      </c>
    </row>
    <row r="89" spans="1:13">
      <c r="A89" t="s">
        <v>249</v>
      </c>
      <c r="B89" t="s">
        <v>250</v>
      </c>
      <c r="C89" t="s">
        <v>122</v>
      </c>
      <c r="D89" t="s">
        <v>218</v>
      </c>
      <c r="E89" t="s">
        <v>17</v>
      </c>
      <c r="F89" t="s">
        <v>18</v>
      </c>
      <c r="G89" t="s">
        <v>104</v>
      </c>
      <c r="H89" t="s">
        <v>29</v>
      </c>
      <c r="I89">
        <v>5100</v>
      </c>
      <c r="J89">
        <v>5</v>
      </c>
      <c r="K89">
        <v>3.5</v>
      </c>
      <c r="L89">
        <v>8</v>
      </c>
      <c r="M89" t="s">
        <v>192</v>
      </c>
    </row>
    <row r="90" spans="1:13">
      <c r="A90" t="s">
        <v>251</v>
      </c>
      <c r="B90" t="s">
        <v>252</v>
      </c>
      <c r="C90" t="s">
        <v>170</v>
      </c>
      <c r="D90" t="s">
        <v>218</v>
      </c>
      <c r="E90" t="s">
        <v>17</v>
      </c>
      <c r="F90" t="s">
        <v>53</v>
      </c>
      <c r="G90" t="s">
        <v>54</v>
      </c>
      <c r="H90" t="s">
        <v>20</v>
      </c>
      <c r="I90">
        <v>4712</v>
      </c>
      <c r="J90">
        <v>4</v>
      </c>
      <c r="K90">
        <v>3.5</v>
      </c>
      <c r="L90">
        <v>5</v>
      </c>
      <c r="M90" t="s">
        <v>30</v>
      </c>
    </row>
    <row r="91" spans="1:13">
      <c r="A91" t="s">
        <v>253</v>
      </c>
      <c r="B91" t="s">
        <v>108</v>
      </c>
      <c r="C91" t="s">
        <v>170</v>
      </c>
      <c r="D91" t="s">
        <v>51</v>
      </c>
      <c r="E91" t="s">
        <v>52</v>
      </c>
      <c r="F91" t="s">
        <v>83</v>
      </c>
      <c r="G91" t="s">
        <v>104</v>
      </c>
      <c r="H91" t="s">
        <v>29</v>
      </c>
      <c r="I91">
        <v>1125</v>
      </c>
      <c r="J91">
        <v>3</v>
      </c>
      <c r="K91">
        <v>3.9</v>
      </c>
      <c r="L91">
        <v>8</v>
      </c>
      <c r="M91" t="s">
        <v>87</v>
      </c>
    </row>
    <row r="92" spans="1:13">
      <c r="A92" t="s">
        <v>254</v>
      </c>
      <c r="B92" t="s">
        <v>255</v>
      </c>
      <c r="C92" t="s">
        <v>146</v>
      </c>
      <c r="D92" t="s">
        <v>165</v>
      </c>
      <c r="E92" t="s">
        <v>35</v>
      </c>
      <c r="F92" t="s">
        <v>27</v>
      </c>
      <c r="G92" t="s">
        <v>28</v>
      </c>
      <c r="H92" t="s">
        <v>64</v>
      </c>
      <c r="I92">
        <v>46264</v>
      </c>
      <c r="J92">
        <v>2</v>
      </c>
      <c r="K92">
        <v>4.4000000000000004</v>
      </c>
      <c r="L92">
        <v>5</v>
      </c>
      <c r="M92" t="s">
        <v>192</v>
      </c>
    </row>
    <row r="93" spans="1:13">
      <c r="A93" t="s">
        <v>256</v>
      </c>
      <c r="B93" t="s">
        <v>257</v>
      </c>
      <c r="C93" t="s">
        <v>112</v>
      </c>
      <c r="D93" t="s">
        <v>69</v>
      </c>
      <c r="E93" t="s">
        <v>26</v>
      </c>
      <c r="F93" t="s">
        <v>27</v>
      </c>
      <c r="G93" t="s">
        <v>104</v>
      </c>
      <c r="H93" t="s">
        <v>36</v>
      </c>
      <c r="I93">
        <v>39215</v>
      </c>
      <c r="J93">
        <v>5</v>
      </c>
      <c r="K93">
        <v>3.4</v>
      </c>
      <c r="L93">
        <v>8</v>
      </c>
      <c r="M93" t="s">
        <v>47</v>
      </c>
    </row>
    <row r="94" spans="1:13">
      <c r="A94" t="s">
        <v>258</v>
      </c>
      <c r="B94" t="s">
        <v>259</v>
      </c>
      <c r="C94" t="s">
        <v>170</v>
      </c>
      <c r="D94" t="s">
        <v>51</v>
      </c>
      <c r="E94" t="s">
        <v>52</v>
      </c>
      <c r="F94" t="s">
        <v>18</v>
      </c>
      <c r="G94" t="s">
        <v>54</v>
      </c>
      <c r="H94" t="s">
        <v>64</v>
      </c>
      <c r="I94">
        <v>1087</v>
      </c>
      <c r="J94">
        <v>1</v>
      </c>
      <c r="K94">
        <v>4.5999999999999996</v>
      </c>
      <c r="L94">
        <v>5</v>
      </c>
      <c r="M94" t="s">
        <v>192</v>
      </c>
    </row>
    <row r="95" spans="1:13">
      <c r="A95" t="s">
        <v>260</v>
      </c>
      <c r="B95" t="s">
        <v>261</v>
      </c>
      <c r="C95" t="s">
        <v>50</v>
      </c>
      <c r="D95" t="s">
        <v>159</v>
      </c>
      <c r="E95" t="s">
        <v>42</v>
      </c>
      <c r="F95" t="s">
        <v>27</v>
      </c>
      <c r="G95" t="s">
        <v>54</v>
      </c>
      <c r="H95" t="s">
        <v>64</v>
      </c>
      <c r="I95">
        <v>36939</v>
      </c>
      <c r="J95">
        <v>7</v>
      </c>
      <c r="K95">
        <v>4.7</v>
      </c>
      <c r="L95">
        <v>2</v>
      </c>
      <c r="M95" t="s">
        <v>80</v>
      </c>
    </row>
    <row r="96" spans="1:13">
      <c r="A96" t="s">
        <v>262</v>
      </c>
      <c r="B96" t="s">
        <v>263</v>
      </c>
      <c r="C96" t="s">
        <v>50</v>
      </c>
      <c r="D96" t="s">
        <v>116</v>
      </c>
      <c r="E96" t="s">
        <v>17</v>
      </c>
      <c r="F96" t="s">
        <v>18</v>
      </c>
      <c r="G96" t="s">
        <v>104</v>
      </c>
      <c r="H96" t="s">
        <v>20</v>
      </c>
      <c r="I96">
        <v>8874</v>
      </c>
      <c r="J96">
        <v>6</v>
      </c>
      <c r="K96">
        <v>4</v>
      </c>
      <c r="L96">
        <v>2</v>
      </c>
      <c r="M96" t="s">
        <v>87</v>
      </c>
    </row>
    <row r="97" spans="1:13">
      <c r="A97" t="s">
        <v>264</v>
      </c>
      <c r="B97" t="s">
        <v>118</v>
      </c>
      <c r="C97" t="s">
        <v>50</v>
      </c>
      <c r="D97" t="s">
        <v>69</v>
      </c>
      <c r="E97" t="s">
        <v>26</v>
      </c>
      <c r="F97" t="s">
        <v>53</v>
      </c>
      <c r="G97" t="s">
        <v>104</v>
      </c>
      <c r="H97" t="s">
        <v>20</v>
      </c>
      <c r="I97">
        <v>47628</v>
      </c>
      <c r="J97">
        <v>6</v>
      </c>
      <c r="K97">
        <v>4.3</v>
      </c>
      <c r="L97">
        <v>2</v>
      </c>
      <c r="M97" t="s">
        <v>119</v>
      </c>
    </row>
    <row r="98" spans="1:13">
      <c r="A98" t="s">
        <v>265</v>
      </c>
      <c r="B98" t="s">
        <v>263</v>
      </c>
      <c r="C98" t="s">
        <v>122</v>
      </c>
      <c r="D98" t="s">
        <v>34</v>
      </c>
      <c r="E98" t="s">
        <v>35</v>
      </c>
      <c r="F98" t="s">
        <v>18</v>
      </c>
      <c r="G98" t="s">
        <v>19</v>
      </c>
      <c r="H98" t="s">
        <v>29</v>
      </c>
      <c r="I98">
        <v>55830</v>
      </c>
      <c r="J98">
        <v>2</v>
      </c>
      <c r="K98">
        <v>4.5</v>
      </c>
      <c r="L98">
        <v>3</v>
      </c>
      <c r="M98" t="s">
        <v>87</v>
      </c>
    </row>
    <row r="99" spans="1:13">
      <c r="A99" t="s">
        <v>266</v>
      </c>
      <c r="B99" t="s">
        <v>267</v>
      </c>
      <c r="C99" t="s">
        <v>58</v>
      </c>
      <c r="D99" t="s">
        <v>63</v>
      </c>
      <c r="E99" t="s">
        <v>52</v>
      </c>
      <c r="F99" t="s">
        <v>27</v>
      </c>
      <c r="G99" t="s">
        <v>104</v>
      </c>
      <c r="H99" t="s">
        <v>29</v>
      </c>
      <c r="I99">
        <v>1674</v>
      </c>
      <c r="J99">
        <v>3</v>
      </c>
      <c r="K99">
        <v>4</v>
      </c>
      <c r="L99">
        <v>8</v>
      </c>
      <c r="M99" t="s">
        <v>192</v>
      </c>
    </row>
    <row r="100" spans="1:13">
      <c r="A100" t="s">
        <v>268</v>
      </c>
      <c r="B100" t="s">
        <v>85</v>
      </c>
      <c r="C100" t="s">
        <v>40</v>
      </c>
      <c r="D100" t="s">
        <v>51</v>
      </c>
      <c r="E100" t="s">
        <v>52</v>
      </c>
      <c r="F100" t="s">
        <v>60</v>
      </c>
      <c r="G100" t="s">
        <v>28</v>
      </c>
      <c r="H100" t="s">
        <v>36</v>
      </c>
      <c r="I100">
        <v>11920</v>
      </c>
      <c r="J100">
        <v>8</v>
      </c>
      <c r="K100">
        <v>3.8</v>
      </c>
      <c r="L100">
        <v>2</v>
      </c>
      <c r="M100" t="s">
        <v>87</v>
      </c>
    </row>
    <row r="101" spans="1:13">
      <c r="A101" t="s">
        <v>269</v>
      </c>
      <c r="B101" t="s">
        <v>96</v>
      </c>
      <c r="C101" t="s">
        <v>146</v>
      </c>
      <c r="D101" t="s">
        <v>218</v>
      </c>
      <c r="E101" t="s">
        <v>17</v>
      </c>
      <c r="F101" t="s">
        <v>100</v>
      </c>
      <c r="G101" t="s">
        <v>19</v>
      </c>
      <c r="H101" t="s">
        <v>29</v>
      </c>
      <c r="I101">
        <v>3240</v>
      </c>
      <c r="J101">
        <v>2</v>
      </c>
      <c r="K101">
        <v>3.9</v>
      </c>
      <c r="L101">
        <v>1</v>
      </c>
      <c r="M101" t="s">
        <v>21</v>
      </c>
    </row>
    <row r="102" spans="1:13">
      <c r="A102" t="s">
        <v>270</v>
      </c>
      <c r="B102" t="s">
        <v>271</v>
      </c>
      <c r="C102" t="s">
        <v>33</v>
      </c>
      <c r="D102" t="s">
        <v>69</v>
      </c>
      <c r="E102" t="s">
        <v>26</v>
      </c>
      <c r="F102" t="s">
        <v>83</v>
      </c>
      <c r="G102" t="s">
        <v>28</v>
      </c>
      <c r="H102" t="s">
        <v>64</v>
      </c>
      <c r="I102">
        <v>6543</v>
      </c>
      <c r="J102">
        <v>3</v>
      </c>
      <c r="K102">
        <v>4.0999999999999996</v>
      </c>
      <c r="L102">
        <v>3</v>
      </c>
      <c r="M102" t="s">
        <v>65</v>
      </c>
    </row>
    <row r="103" spans="1:13">
      <c r="A103" t="s">
        <v>272</v>
      </c>
      <c r="B103" t="s">
        <v>273</v>
      </c>
      <c r="C103" t="s">
        <v>75</v>
      </c>
      <c r="D103" t="s">
        <v>79</v>
      </c>
      <c r="E103" t="s">
        <v>26</v>
      </c>
      <c r="F103" t="s">
        <v>53</v>
      </c>
      <c r="G103" t="s">
        <v>54</v>
      </c>
      <c r="H103" t="s">
        <v>64</v>
      </c>
      <c r="I103">
        <v>71538</v>
      </c>
      <c r="J103">
        <v>6</v>
      </c>
      <c r="K103">
        <v>4.3</v>
      </c>
      <c r="L103">
        <v>6</v>
      </c>
      <c r="M103" t="s">
        <v>55</v>
      </c>
    </row>
    <row r="104" spans="1:13">
      <c r="A104" t="s">
        <v>274</v>
      </c>
      <c r="B104" t="s">
        <v>275</v>
      </c>
      <c r="C104" t="s">
        <v>72</v>
      </c>
      <c r="D104" t="s">
        <v>130</v>
      </c>
      <c r="E104" t="s">
        <v>35</v>
      </c>
      <c r="F104" t="s">
        <v>100</v>
      </c>
      <c r="G104" t="s">
        <v>54</v>
      </c>
      <c r="H104" t="s">
        <v>29</v>
      </c>
      <c r="I104">
        <v>236640</v>
      </c>
      <c r="J104">
        <v>3</v>
      </c>
      <c r="K104">
        <v>3.8</v>
      </c>
      <c r="L104">
        <v>7</v>
      </c>
      <c r="M104" t="s">
        <v>119</v>
      </c>
    </row>
    <row r="105" spans="1:13">
      <c r="A105" t="s">
        <v>276</v>
      </c>
      <c r="B105" t="s">
        <v>277</v>
      </c>
      <c r="C105" t="s">
        <v>15</v>
      </c>
      <c r="D105" t="s">
        <v>69</v>
      </c>
      <c r="E105" t="s">
        <v>26</v>
      </c>
      <c r="F105" t="s">
        <v>53</v>
      </c>
      <c r="G105" t="s">
        <v>104</v>
      </c>
      <c r="H105" t="s">
        <v>20</v>
      </c>
      <c r="I105">
        <v>70704</v>
      </c>
      <c r="J105">
        <v>6</v>
      </c>
      <c r="K105">
        <v>4</v>
      </c>
      <c r="L105">
        <v>6</v>
      </c>
      <c r="M105" t="s">
        <v>192</v>
      </c>
    </row>
    <row r="106" spans="1:13">
      <c r="A106" t="s">
        <v>278</v>
      </c>
      <c r="B106" t="s">
        <v>279</v>
      </c>
      <c r="C106" t="s">
        <v>112</v>
      </c>
      <c r="D106" t="s">
        <v>109</v>
      </c>
      <c r="E106" t="s">
        <v>52</v>
      </c>
      <c r="F106" t="s">
        <v>100</v>
      </c>
      <c r="G106" t="s">
        <v>54</v>
      </c>
      <c r="H106" t="s">
        <v>29</v>
      </c>
      <c r="I106">
        <v>3252</v>
      </c>
      <c r="J106">
        <v>4</v>
      </c>
      <c r="K106">
        <v>4.7</v>
      </c>
      <c r="L106">
        <v>2</v>
      </c>
      <c r="M106" t="s">
        <v>65</v>
      </c>
    </row>
    <row r="107" spans="1:13">
      <c r="A107" t="s">
        <v>280</v>
      </c>
      <c r="B107" t="s">
        <v>255</v>
      </c>
      <c r="C107" t="s">
        <v>133</v>
      </c>
      <c r="D107" t="s">
        <v>79</v>
      </c>
      <c r="E107" t="s">
        <v>26</v>
      </c>
      <c r="F107" t="s">
        <v>53</v>
      </c>
      <c r="G107" t="s">
        <v>19</v>
      </c>
      <c r="H107" t="s">
        <v>64</v>
      </c>
      <c r="I107">
        <v>24584</v>
      </c>
      <c r="J107">
        <v>7</v>
      </c>
      <c r="K107">
        <v>4.5</v>
      </c>
      <c r="L107">
        <v>1</v>
      </c>
      <c r="M107" t="s">
        <v>192</v>
      </c>
    </row>
    <row r="108" spans="1:13">
      <c r="A108" t="s">
        <v>281</v>
      </c>
      <c r="B108" t="s">
        <v>282</v>
      </c>
      <c r="C108" t="s">
        <v>146</v>
      </c>
      <c r="D108" t="s">
        <v>59</v>
      </c>
      <c r="E108" t="s">
        <v>26</v>
      </c>
      <c r="F108" t="s">
        <v>53</v>
      </c>
      <c r="G108" t="s">
        <v>28</v>
      </c>
      <c r="H108" t="s">
        <v>64</v>
      </c>
      <c r="I108">
        <v>15912</v>
      </c>
      <c r="J108">
        <v>4</v>
      </c>
      <c r="K108">
        <v>3.9</v>
      </c>
      <c r="L108">
        <v>8</v>
      </c>
      <c r="M108" t="s">
        <v>47</v>
      </c>
    </row>
    <row r="109" spans="1:13">
      <c r="A109" t="s">
        <v>283</v>
      </c>
      <c r="B109" t="s">
        <v>284</v>
      </c>
      <c r="C109" t="s">
        <v>40</v>
      </c>
      <c r="D109" t="s">
        <v>63</v>
      </c>
      <c r="E109" t="s">
        <v>52</v>
      </c>
      <c r="F109" t="s">
        <v>18</v>
      </c>
      <c r="G109" t="s">
        <v>19</v>
      </c>
      <c r="H109" t="s">
        <v>29</v>
      </c>
      <c r="I109">
        <v>1389</v>
      </c>
      <c r="J109">
        <v>3</v>
      </c>
      <c r="K109">
        <v>4.9000000000000004</v>
      </c>
      <c r="L109">
        <v>2</v>
      </c>
      <c r="M109" t="s">
        <v>192</v>
      </c>
    </row>
    <row r="110" spans="1:13">
      <c r="A110" t="s">
        <v>285</v>
      </c>
      <c r="B110" t="s">
        <v>286</v>
      </c>
      <c r="C110" t="s">
        <v>122</v>
      </c>
      <c r="D110" t="s">
        <v>159</v>
      </c>
      <c r="E110" t="s">
        <v>42</v>
      </c>
      <c r="F110" t="s">
        <v>60</v>
      </c>
      <c r="G110" t="s">
        <v>54</v>
      </c>
      <c r="H110" t="s">
        <v>29</v>
      </c>
      <c r="I110">
        <v>1836</v>
      </c>
      <c r="J110">
        <v>2</v>
      </c>
      <c r="K110">
        <v>3.3</v>
      </c>
      <c r="L110">
        <v>6</v>
      </c>
      <c r="M110" t="s">
        <v>47</v>
      </c>
    </row>
    <row r="111" spans="1:13">
      <c r="A111" t="s">
        <v>287</v>
      </c>
      <c r="B111" t="s">
        <v>288</v>
      </c>
      <c r="C111" t="s">
        <v>72</v>
      </c>
      <c r="D111" t="s">
        <v>147</v>
      </c>
      <c r="E111" t="s">
        <v>52</v>
      </c>
      <c r="F111" t="s">
        <v>27</v>
      </c>
      <c r="G111" t="s">
        <v>28</v>
      </c>
      <c r="H111" t="s">
        <v>64</v>
      </c>
      <c r="I111">
        <v>3246</v>
      </c>
      <c r="J111">
        <v>2</v>
      </c>
      <c r="K111">
        <v>3.7</v>
      </c>
      <c r="L111">
        <v>8</v>
      </c>
      <c r="M111" t="s">
        <v>126</v>
      </c>
    </row>
    <row r="112" spans="1:13">
      <c r="A112" t="s">
        <v>289</v>
      </c>
      <c r="B112" t="s">
        <v>290</v>
      </c>
      <c r="C112" t="s">
        <v>40</v>
      </c>
      <c r="D112" t="s">
        <v>25</v>
      </c>
      <c r="E112" t="s">
        <v>26</v>
      </c>
      <c r="F112" t="s">
        <v>83</v>
      </c>
      <c r="G112" t="s">
        <v>104</v>
      </c>
      <c r="H112" t="s">
        <v>36</v>
      </c>
      <c r="I112">
        <v>10775</v>
      </c>
      <c r="J112">
        <v>1</v>
      </c>
      <c r="K112">
        <v>4.0999999999999996</v>
      </c>
      <c r="L112">
        <v>2</v>
      </c>
      <c r="M112" t="s">
        <v>87</v>
      </c>
    </row>
    <row r="113" spans="1:13">
      <c r="A113" t="s">
        <v>291</v>
      </c>
      <c r="B113" t="s">
        <v>292</v>
      </c>
      <c r="C113" t="s">
        <v>72</v>
      </c>
      <c r="D113" t="s">
        <v>86</v>
      </c>
      <c r="E113" t="s">
        <v>17</v>
      </c>
      <c r="F113" t="s">
        <v>53</v>
      </c>
      <c r="G113" t="s">
        <v>28</v>
      </c>
      <c r="H113" t="s">
        <v>36</v>
      </c>
      <c r="I113">
        <v>3424</v>
      </c>
      <c r="J113">
        <v>8</v>
      </c>
      <c r="K113">
        <v>3.2</v>
      </c>
      <c r="L113">
        <v>4</v>
      </c>
      <c r="M113" t="s">
        <v>47</v>
      </c>
    </row>
    <row r="114" spans="1:13">
      <c r="A114" t="s">
        <v>293</v>
      </c>
      <c r="B114" t="s">
        <v>294</v>
      </c>
      <c r="C114" t="s">
        <v>50</v>
      </c>
      <c r="D114" t="s">
        <v>59</v>
      </c>
      <c r="E114" t="s">
        <v>26</v>
      </c>
      <c r="F114" t="s">
        <v>60</v>
      </c>
      <c r="G114" t="s">
        <v>54</v>
      </c>
      <c r="H114" t="s">
        <v>64</v>
      </c>
      <c r="I114">
        <v>13356</v>
      </c>
      <c r="J114">
        <v>7</v>
      </c>
      <c r="K114">
        <v>4.9000000000000004</v>
      </c>
      <c r="L114">
        <v>1</v>
      </c>
      <c r="M114" t="s">
        <v>21</v>
      </c>
    </row>
    <row r="115" spans="1:13">
      <c r="A115" t="s">
        <v>295</v>
      </c>
      <c r="B115" t="s">
        <v>296</v>
      </c>
      <c r="C115" t="s">
        <v>72</v>
      </c>
      <c r="D115" t="s">
        <v>130</v>
      </c>
      <c r="E115" t="s">
        <v>35</v>
      </c>
      <c r="F115" t="s">
        <v>18</v>
      </c>
      <c r="G115" t="s">
        <v>104</v>
      </c>
      <c r="H115" t="s">
        <v>29</v>
      </c>
      <c r="I115">
        <v>204624</v>
      </c>
      <c r="J115">
        <v>6</v>
      </c>
      <c r="K115">
        <v>4.5999999999999996</v>
      </c>
      <c r="L115">
        <v>6</v>
      </c>
      <c r="M115" t="s">
        <v>144</v>
      </c>
    </row>
    <row r="116" spans="1:13">
      <c r="A116" t="s">
        <v>297</v>
      </c>
      <c r="B116" t="s">
        <v>298</v>
      </c>
      <c r="C116" t="s">
        <v>33</v>
      </c>
      <c r="D116" t="s">
        <v>51</v>
      </c>
      <c r="E116" t="s">
        <v>52</v>
      </c>
      <c r="F116" t="s">
        <v>83</v>
      </c>
      <c r="G116" t="s">
        <v>54</v>
      </c>
      <c r="H116" t="s">
        <v>29</v>
      </c>
      <c r="I116">
        <v>7968</v>
      </c>
      <c r="J116">
        <v>8</v>
      </c>
      <c r="K116">
        <v>3.3</v>
      </c>
      <c r="L116">
        <v>4</v>
      </c>
      <c r="M116" t="s">
        <v>119</v>
      </c>
    </row>
    <row r="117" spans="1:13">
      <c r="A117" t="s">
        <v>299</v>
      </c>
      <c r="B117" t="s">
        <v>300</v>
      </c>
      <c r="C117" t="s">
        <v>170</v>
      </c>
      <c r="D117" t="s">
        <v>165</v>
      </c>
      <c r="E117" t="s">
        <v>35</v>
      </c>
      <c r="F117" t="s">
        <v>53</v>
      </c>
      <c r="G117" t="s">
        <v>54</v>
      </c>
      <c r="H117" t="s">
        <v>29</v>
      </c>
      <c r="I117">
        <v>220384</v>
      </c>
      <c r="J117">
        <v>8</v>
      </c>
      <c r="K117">
        <v>4.8</v>
      </c>
      <c r="L117">
        <v>1</v>
      </c>
      <c r="M117" t="s">
        <v>55</v>
      </c>
    </row>
    <row r="118" spans="1:13">
      <c r="A118" t="s">
        <v>301</v>
      </c>
      <c r="B118" t="s">
        <v>302</v>
      </c>
      <c r="C118" t="s">
        <v>75</v>
      </c>
      <c r="D118" t="s">
        <v>90</v>
      </c>
      <c r="E118" t="s">
        <v>42</v>
      </c>
      <c r="F118" t="s">
        <v>27</v>
      </c>
      <c r="G118" t="s">
        <v>28</v>
      </c>
      <c r="H118" t="s">
        <v>36</v>
      </c>
      <c r="I118">
        <v>33425</v>
      </c>
      <c r="J118">
        <v>7</v>
      </c>
      <c r="K118">
        <v>4.9000000000000004</v>
      </c>
      <c r="L118">
        <v>5</v>
      </c>
      <c r="M118" t="s">
        <v>47</v>
      </c>
    </row>
    <row r="119" spans="1:13">
      <c r="A119" t="s">
        <v>303</v>
      </c>
      <c r="B119" t="s">
        <v>304</v>
      </c>
      <c r="C119" t="s">
        <v>45</v>
      </c>
      <c r="D119" t="s">
        <v>159</v>
      </c>
      <c r="E119" t="s">
        <v>42</v>
      </c>
      <c r="F119" t="s">
        <v>27</v>
      </c>
      <c r="G119" t="s">
        <v>28</v>
      </c>
      <c r="H119" t="s">
        <v>20</v>
      </c>
      <c r="I119">
        <v>16930</v>
      </c>
      <c r="J119">
        <v>5</v>
      </c>
      <c r="K119">
        <v>3.7</v>
      </c>
      <c r="L119">
        <v>8</v>
      </c>
      <c r="M119" t="s">
        <v>30</v>
      </c>
    </row>
    <row r="120" spans="1:13">
      <c r="A120" t="s">
        <v>305</v>
      </c>
      <c r="B120" t="s">
        <v>306</v>
      </c>
      <c r="C120" t="s">
        <v>75</v>
      </c>
      <c r="D120" t="s">
        <v>46</v>
      </c>
      <c r="E120" t="s">
        <v>42</v>
      </c>
      <c r="F120" t="s">
        <v>27</v>
      </c>
      <c r="G120" t="s">
        <v>28</v>
      </c>
      <c r="H120" t="s">
        <v>29</v>
      </c>
      <c r="I120">
        <v>4263</v>
      </c>
      <c r="J120">
        <v>1</v>
      </c>
      <c r="K120">
        <v>4.4000000000000004</v>
      </c>
      <c r="L120">
        <v>1</v>
      </c>
      <c r="M120" t="s">
        <v>47</v>
      </c>
    </row>
    <row r="121" spans="1:13">
      <c r="A121" t="s">
        <v>307</v>
      </c>
      <c r="B121" t="s">
        <v>308</v>
      </c>
      <c r="C121" t="s">
        <v>129</v>
      </c>
      <c r="D121" t="s">
        <v>79</v>
      </c>
      <c r="E121" t="s">
        <v>26</v>
      </c>
      <c r="F121" t="s">
        <v>60</v>
      </c>
      <c r="G121" t="s">
        <v>54</v>
      </c>
      <c r="H121" t="s">
        <v>20</v>
      </c>
      <c r="I121">
        <v>5703</v>
      </c>
      <c r="J121">
        <v>3</v>
      </c>
      <c r="K121">
        <v>3.6</v>
      </c>
      <c r="L121">
        <v>6</v>
      </c>
      <c r="M121" t="s">
        <v>144</v>
      </c>
    </row>
    <row r="122" spans="1:13">
      <c r="A122" t="s">
        <v>309</v>
      </c>
      <c r="B122" t="s">
        <v>310</v>
      </c>
      <c r="C122" t="s">
        <v>122</v>
      </c>
      <c r="D122" t="s">
        <v>46</v>
      </c>
      <c r="E122" t="s">
        <v>42</v>
      </c>
      <c r="F122" t="s">
        <v>18</v>
      </c>
      <c r="G122" t="s">
        <v>54</v>
      </c>
      <c r="H122" t="s">
        <v>20</v>
      </c>
      <c r="I122">
        <v>29648</v>
      </c>
      <c r="J122">
        <v>8</v>
      </c>
      <c r="K122">
        <v>3.8</v>
      </c>
      <c r="L122">
        <v>5</v>
      </c>
      <c r="M122" t="s">
        <v>55</v>
      </c>
    </row>
    <row r="123" spans="1:13">
      <c r="A123" t="s">
        <v>311</v>
      </c>
      <c r="B123" t="s">
        <v>23</v>
      </c>
      <c r="C123" t="s">
        <v>179</v>
      </c>
      <c r="D123" t="s">
        <v>90</v>
      </c>
      <c r="E123" t="s">
        <v>42</v>
      </c>
      <c r="F123" t="s">
        <v>18</v>
      </c>
      <c r="G123" t="s">
        <v>19</v>
      </c>
      <c r="H123" t="s">
        <v>36</v>
      </c>
      <c r="I123">
        <v>4914</v>
      </c>
      <c r="J123">
        <v>2</v>
      </c>
      <c r="K123">
        <v>3.7</v>
      </c>
      <c r="L123">
        <v>8</v>
      </c>
      <c r="M123" t="s">
        <v>30</v>
      </c>
    </row>
    <row r="124" spans="1:13">
      <c r="A124" t="s">
        <v>312</v>
      </c>
      <c r="B124" t="s">
        <v>313</v>
      </c>
      <c r="C124" t="s">
        <v>24</v>
      </c>
      <c r="D124" t="s">
        <v>159</v>
      </c>
      <c r="E124" t="s">
        <v>42</v>
      </c>
      <c r="F124" t="s">
        <v>27</v>
      </c>
      <c r="G124" t="s">
        <v>19</v>
      </c>
      <c r="H124" t="s">
        <v>29</v>
      </c>
      <c r="I124">
        <v>2462</v>
      </c>
      <c r="J124">
        <v>2</v>
      </c>
      <c r="K124">
        <v>4.2</v>
      </c>
      <c r="L124">
        <v>5</v>
      </c>
      <c r="M124" t="s">
        <v>47</v>
      </c>
    </row>
    <row r="125" spans="1:13">
      <c r="A125" t="s">
        <v>314</v>
      </c>
      <c r="B125" t="s">
        <v>203</v>
      </c>
      <c r="C125" t="s">
        <v>146</v>
      </c>
      <c r="D125" t="s">
        <v>79</v>
      </c>
      <c r="E125" t="s">
        <v>26</v>
      </c>
      <c r="F125" t="s">
        <v>100</v>
      </c>
      <c r="G125" t="s">
        <v>19</v>
      </c>
      <c r="H125" t="s">
        <v>36</v>
      </c>
      <c r="I125">
        <v>26848</v>
      </c>
      <c r="J125">
        <v>4</v>
      </c>
      <c r="K125">
        <v>4.2</v>
      </c>
      <c r="L125">
        <v>6</v>
      </c>
      <c r="M125" t="s">
        <v>80</v>
      </c>
    </row>
    <row r="126" spans="1:13">
      <c r="A126" t="s">
        <v>315</v>
      </c>
      <c r="B126" t="s">
        <v>300</v>
      </c>
      <c r="C126" t="s">
        <v>75</v>
      </c>
      <c r="D126" t="s">
        <v>218</v>
      </c>
      <c r="E126" t="s">
        <v>17</v>
      </c>
      <c r="F126" t="s">
        <v>60</v>
      </c>
      <c r="G126" t="s">
        <v>28</v>
      </c>
      <c r="H126" t="s">
        <v>29</v>
      </c>
      <c r="I126">
        <v>11008</v>
      </c>
      <c r="J126">
        <v>8</v>
      </c>
      <c r="K126">
        <v>3.4</v>
      </c>
      <c r="L126">
        <v>6</v>
      </c>
      <c r="M126" t="s">
        <v>55</v>
      </c>
    </row>
    <row r="127" spans="1:13">
      <c r="A127" t="s">
        <v>316</v>
      </c>
      <c r="B127" t="s">
        <v>261</v>
      </c>
      <c r="C127" t="s">
        <v>170</v>
      </c>
      <c r="D127" t="s">
        <v>63</v>
      </c>
      <c r="E127" t="s">
        <v>52</v>
      </c>
      <c r="F127" t="s">
        <v>27</v>
      </c>
      <c r="G127" t="s">
        <v>19</v>
      </c>
      <c r="H127" t="s">
        <v>29</v>
      </c>
      <c r="I127">
        <v>3332</v>
      </c>
      <c r="J127">
        <v>7</v>
      </c>
      <c r="K127">
        <v>3.7</v>
      </c>
      <c r="L127">
        <v>3</v>
      </c>
      <c r="M127" t="s">
        <v>80</v>
      </c>
    </row>
    <row r="128" spans="1:13">
      <c r="A128" t="s">
        <v>317</v>
      </c>
      <c r="B128" t="s">
        <v>290</v>
      </c>
      <c r="C128" t="s">
        <v>112</v>
      </c>
      <c r="D128" t="s">
        <v>59</v>
      </c>
      <c r="E128" t="s">
        <v>26</v>
      </c>
      <c r="F128" t="s">
        <v>27</v>
      </c>
      <c r="G128" t="s">
        <v>19</v>
      </c>
      <c r="H128" t="s">
        <v>20</v>
      </c>
      <c r="I128">
        <v>28805</v>
      </c>
      <c r="J128">
        <v>5</v>
      </c>
      <c r="K128">
        <v>4.3</v>
      </c>
      <c r="L128">
        <v>2</v>
      </c>
      <c r="M128" t="s">
        <v>87</v>
      </c>
    </row>
    <row r="129" spans="1:13">
      <c r="A129" t="s">
        <v>318</v>
      </c>
      <c r="B129" t="s">
        <v>319</v>
      </c>
      <c r="C129" t="s">
        <v>58</v>
      </c>
      <c r="D129" t="s">
        <v>109</v>
      </c>
      <c r="E129" t="s">
        <v>52</v>
      </c>
      <c r="F129" t="s">
        <v>60</v>
      </c>
      <c r="G129" t="s">
        <v>54</v>
      </c>
      <c r="H129" t="s">
        <v>64</v>
      </c>
      <c r="I129">
        <v>582</v>
      </c>
      <c r="J129">
        <v>1</v>
      </c>
      <c r="K129">
        <v>3.7</v>
      </c>
      <c r="L129">
        <v>4</v>
      </c>
      <c r="M129" t="s">
        <v>30</v>
      </c>
    </row>
    <row r="130" spans="1:13">
      <c r="A130" t="s">
        <v>320</v>
      </c>
      <c r="B130" t="s">
        <v>321</v>
      </c>
      <c r="C130" t="s">
        <v>24</v>
      </c>
      <c r="D130" t="s">
        <v>59</v>
      </c>
      <c r="E130" t="s">
        <v>26</v>
      </c>
      <c r="F130" t="s">
        <v>60</v>
      </c>
      <c r="G130" t="s">
        <v>28</v>
      </c>
      <c r="H130" t="s">
        <v>64</v>
      </c>
      <c r="I130">
        <v>41150</v>
      </c>
      <c r="J130">
        <v>5</v>
      </c>
      <c r="K130">
        <v>3.3</v>
      </c>
      <c r="L130">
        <v>1</v>
      </c>
      <c r="M130" t="s">
        <v>192</v>
      </c>
    </row>
    <row r="131" spans="1:13">
      <c r="A131" t="s">
        <v>322</v>
      </c>
      <c r="B131" t="s">
        <v>207</v>
      </c>
      <c r="C131" t="s">
        <v>170</v>
      </c>
      <c r="D131" t="s">
        <v>159</v>
      </c>
      <c r="E131" t="s">
        <v>42</v>
      </c>
      <c r="F131" t="s">
        <v>83</v>
      </c>
      <c r="G131" t="s">
        <v>28</v>
      </c>
      <c r="H131" t="s">
        <v>36</v>
      </c>
      <c r="I131">
        <v>11898</v>
      </c>
      <c r="J131">
        <v>3</v>
      </c>
      <c r="K131">
        <v>4.5999999999999996</v>
      </c>
      <c r="L131">
        <v>2</v>
      </c>
      <c r="M131" t="s">
        <v>126</v>
      </c>
    </row>
    <row r="132" spans="1:13">
      <c r="A132" t="s">
        <v>323</v>
      </c>
      <c r="B132" t="s">
        <v>324</v>
      </c>
      <c r="C132" t="s">
        <v>170</v>
      </c>
      <c r="D132" t="s">
        <v>97</v>
      </c>
      <c r="E132" t="s">
        <v>35</v>
      </c>
      <c r="F132" t="s">
        <v>100</v>
      </c>
      <c r="G132" t="s">
        <v>104</v>
      </c>
      <c r="H132" t="s">
        <v>20</v>
      </c>
      <c r="I132">
        <v>121614</v>
      </c>
      <c r="J132">
        <v>3</v>
      </c>
      <c r="K132">
        <v>4</v>
      </c>
      <c r="L132">
        <v>3</v>
      </c>
      <c r="M132" t="s">
        <v>21</v>
      </c>
    </row>
    <row r="133" spans="1:13">
      <c r="A133" t="s">
        <v>325</v>
      </c>
      <c r="B133" t="s">
        <v>326</v>
      </c>
      <c r="C133" t="s">
        <v>122</v>
      </c>
      <c r="D133" t="s">
        <v>51</v>
      </c>
      <c r="E133" t="s">
        <v>52</v>
      </c>
      <c r="F133" t="s">
        <v>83</v>
      </c>
      <c r="G133" t="s">
        <v>104</v>
      </c>
      <c r="H133" t="s">
        <v>36</v>
      </c>
      <c r="I133">
        <v>12104</v>
      </c>
      <c r="J133">
        <v>8</v>
      </c>
      <c r="K133">
        <v>4.9000000000000004</v>
      </c>
      <c r="L133">
        <v>8</v>
      </c>
      <c r="M133" t="s">
        <v>65</v>
      </c>
    </row>
    <row r="134" spans="1:13">
      <c r="A134" t="s">
        <v>327</v>
      </c>
      <c r="B134" t="s">
        <v>211</v>
      </c>
      <c r="C134" t="s">
        <v>129</v>
      </c>
      <c r="D134" t="s">
        <v>218</v>
      </c>
      <c r="E134" t="s">
        <v>17</v>
      </c>
      <c r="F134" t="s">
        <v>60</v>
      </c>
      <c r="G134" t="s">
        <v>104</v>
      </c>
      <c r="H134" t="s">
        <v>36</v>
      </c>
      <c r="I134">
        <v>7080</v>
      </c>
      <c r="J134">
        <v>8</v>
      </c>
      <c r="K134">
        <v>3.4</v>
      </c>
      <c r="L134">
        <v>5</v>
      </c>
      <c r="M134" t="s">
        <v>65</v>
      </c>
    </row>
    <row r="135" spans="1:13">
      <c r="A135" t="s">
        <v>328</v>
      </c>
      <c r="B135" t="s">
        <v>102</v>
      </c>
      <c r="C135" t="s">
        <v>45</v>
      </c>
      <c r="D135" t="s">
        <v>41</v>
      </c>
      <c r="E135" t="s">
        <v>42</v>
      </c>
      <c r="F135" t="s">
        <v>27</v>
      </c>
      <c r="G135" t="s">
        <v>54</v>
      </c>
      <c r="H135" t="s">
        <v>20</v>
      </c>
      <c r="I135">
        <v>15456</v>
      </c>
      <c r="J135">
        <v>4</v>
      </c>
      <c r="K135">
        <v>4</v>
      </c>
      <c r="L135">
        <v>5</v>
      </c>
      <c r="M135" t="s">
        <v>30</v>
      </c>
    </row>
    <row r="136" spans="1:13">
      <c r="A136" t="s">
        <v>329</v>
      </c>
      <c r="B136" t="s">
        <v>330</v>
      </c>
      <c r="C136" t="s">
        <v>33</v>
      </c>
      <c r="D136" t="s">
        <v>116</v>
      </c>
      <c r="E136" t="s">
        <v>17</v>
      </c>
      <c r="F136" t="s">
        <v>18</v>
      </c>
      <c r="G136" t="s">
        <v>19</v>
      </c>
      <c r="H136" t="s">
        <v>29</v>
      </c>
      <c r="I136">
        <v>8652</v>
      </c>
      <c r="J136">
        <v>6</v>
      </c>
      <c r="K136">
        <v>4.0999999999999996</v>
      </c>
      <c r="L136">
        <v>1</v>
      </c>
      <c r="M136" t="s">
        <v>55</v>
      </c>
    </row>
    <row r="137" spans="1:13">
      <c r="A137" t="s">
        <v>331</v>
      </c>
      <c r="B137" t="s">
        <v>332</v>
      </c>
      <c r="C137" t="s">
        <v>58</v>
      </c>
      <c r="D137" t="s">
        <v>90</v>
      </c>
      <c r="E137" t="s">
        <v>42</v>
      </c>
      <c r="F137" t="s">
        <v>53</v>
      </c>
      <c r="G137" t="s">
        <v>28</v>
      </c>
      <c r="H137" t="s">
        <v>29</v>
      </c>
      <c r="I137">
        <v>11757</v>
      </c>
      <c r="J137">
        <v>3</v>
      </c>
      <c r="K137">
        <v>4.5</v>
      </c>
      <c r="L137">
        <v>5</v>
      </c>
      <c r="M137" t="s">
        <v>80</v>
      </c>
    </row>
    <row r="138" spans="1:13">
      <c r="A138" t="s">
        <v>333</v>
      </c>
      <c r="B138" t="s">
        <v>334</v>
      </c>
      <c r="C138" t="s">
        <v>45</v>
      </c>
      <c r="D138" t="s">
        <v>41</v>
      </c>
      <c r="E138" t="s">
        <v>42</v>
      </c>
      <c r="F138" t="s">
        <v>60</v>
      </c>
      <c r="G138" t="s">
        <v>104</v>
      </c>
      <c r="H138" t="s">
        <v>20</v>
      </c>
      <c r="I138">
        <v>32886</v>
      </c>
      <c r="J138">
        <v>6</v>
      </c>
      <c r="K138">
        <v>4.5999999999999996</v>
      </c>
      <c r="L138">
        <v>1</v>
      </c>
      <c r="M138" t="s">
        <v>55</v>
      </c>
    </row>
    <row r="139" spans="1:13">
      <c r="A139" t="s">
        <v>335</v>
      </c>
      <c r="B139" t="s">
        <v>336</v>
      </c>
      <c r="C139" t="s">
        <v>170</v>
      </c>
      <c r="D139" t="s">
        <v>116</v>
      </c>
      <c r="E139" t="s">
        <v>17</v>
      </c>
      <c r="F139" t="s">
        <v>60</v>
      </c>
      <c r="G139" t="s">
        <v>19</v>
      </c>
      <c r="H139" t="s">
        <v>64</v>
      </c>
      <c r="I139">
        <v>4214</v>
      </c>
      <c r="J139">
        <v>7</v>
      </c>
      <c r="K139">
        <v>3.5</v>
      </c>
      <c r="L139">
        <v>8</v>
      </c>
      <c r="M139" t="s">
        <v>80</v>
      </c>
    </row>
    <row r="140" spans="1:13">
      <c r="A140" t="s">
        <v>337</v>
      </c>
      <c r="B140" t="s">
        <v>271</v>
      </c>
      <c r="C140" t="s">
        <v>112</v>
      </c>
      <c r="D140" t="s">
        <v>51</v>
      </c>
      <c r="E140" t="s">
        <v>52</v>
      </c>
      <c r="F140" t="s">
        <v>60</v>
      </c>
      <c r="G140" t="s">
        <v>104</v>
      </c>
      <c r="H140" t="s">
        <v>20</v>
      </c>
      <c r="I140">
        <v>4040</v>
      </c>
      <c r="J140">
        <v>8</v>
      </c>
      <c r="K140">
        <v>4.2</v>
      </c>
      <c r="L140">
        <v>8</v>
      </c>
      <c r="M140" t="s">
        <v>65</v>
      </c>
    </row>
    <row r="141" spans="1:13">
      <c r="A141" t="s">
        <v>338</v>
      </c>
      <c r="B141" t="s">
        <v>304</v>
      </c>
      <c r="C141" t="s">
        <v>78</v>
      </c>
      <c r="D141" t="s">
        <v>46</v>
      </c>
      <c r="E141" t="s">
        <v>42</v>
      </c>
      <c r="F141" t="s">
        <v>53</v>
      </c>
      <c r="G141" t="s">
        <v>19</v>
      </c>
      <c r="H141" t="s">
        <v>29</v>
      </c>
      <c r="I141">
        <v>27996</v>
      </c>
      <c r="J141">
        <v>6</v>
      </c>
      <c r="K141">
        <v>4.9000000000000004</v>
      </c>
      <c r="L141">
        <v>5</v>
      </c>
      <c r="M141" t="s">
        <v>30</v>
      </c>
    </row>
    <row r="142" spans="1:13">
      <c r="A142" t="s">
        <v>339</v>
      </c>
      <c r="B142" t="s">
        <v>118</v>
      </c>
      <c r="C142" t="s">
        <v>50</v>
      </c>
      <c r="D142" t="s">
        <v>34</v>
      </c>
      <c r="E142" t="s">
        <v>35</v>
      </c>
      <c r="F142" t="s">
        <v>53</v>
      </c>
      <c r="G142" t="s">
        <v>19</v>
      </c>
      <c r="H142" t="s">
        <v>29</v>
      </c>
      <c r="I142">
        <v>385744</v>
      </c>
      <c r="J142">
        <v>8</v>
      </c>
      <c r="K142">
        <v>3.7</v>
      </c>
      <c r="L142">
        <v>7</v>
      </c>
      <c r="M142" t="s">
        <v>119</v>
      </c>
    </row>
    <row r="143" spans="1:13">
      <c r="A143" t="s">
        <v>340</v>
      </c>
      <c r="B143" t="s">
        <v>290</v>
      </c>
      <c r="C143" t="s">
        <v>78</v>
      </c>
      <c r="D143" t="s">
        <v>218</v>
      </c>
      <c r="E143" t="s">
        <v>17</v>
      </c>
      <c r="F143" t="s">
        <v>27</v>
      </c>
      <c r="G143" t="s">
        <v>104</v>
      </c>
      <c r="H143" t="s">
        <v>20</v>
      </c>
      <c r="I143">
        <v>7230</v>
      </c>
      <c r="J143">
        <v>6</v>
      </c>
      <c r="K143">
        <v>4.7</v>
      </c>
      <c r="L143">
        <v>5</v>
      </c>
      <c r="M143" t="s">
        <v>87</v>
      </c>
    </row>
    <row r="144" spans="1:13">
      <c r="A144" t="s">
        <v>341</v>
      </c>
      <c r="B144" t="s">
        <v>342</v>
      </c>
      <c r="C144" t="s">
        <v>170</v>
      </c>
      <c r="D144" t="s">
        <v>86</v>
      </c>
      <c r="E144" t="s">
        <v>17</v>
      </c>
      <c r="F144" t="s">
        <v>27</v>
      </c>
      <c r="G144" t="s">
        <v>28</v>
      </c>
      <c r="H144" t="s">
        <v>36</v>
      </c>
      <c r="I144">
        <v>1671</v>
      </c>
      <c r="J144">
        <v>1</v>
      </c>
      <c r="K144">
        <v>3.3</v>
      </c>
      <c r="L144">
        <v>7</v>
      </c>
      <c r="M144" t="s">
        <v>21</v>
      </c>
    </row>
    <row r="145" spans="1:13">
      <c r="A145" t="s">
        <v>343</v>
      </c>
      <c r="B145" t="s">
        <v>344</v>
      </c>
      <c r="C145" t="s">
        <v>75</v>
      </c>
      <c r="D145" t="s">
        <v>147</v>
      </c>
      <c r="E145" t="s">
        <v>52</v>
      </c>
      <c r="F145" t="s">
        <v>27</v>
      </c>
      <c r="G145" t="s">
        <v>19</v>
      </c>
      <c r="H145" t="s">
        <v>36</v>
      </c>
      <c r="I145">
        <v>6594</v>
      </c>
      <c r="J145">
        <v>3</v>
      </c>
      <c r="K145">
        <v>3.8</v>
      </c>
      <c r="L145">
        <v>1</v>
      </c>
      <c r="M145" t="s">
        <v>30</v>
      </c>
    </row>
    <row r="146" spans="1:13">
      <c r="A146" t="s">
        <v>345</v>
      </c>
      <c r="B146" t="s">
        <v>346</v>
      </c>
      <c r="C146" t="s">
        <v>170</v>
      </c>
      <c r="D146" t="s">
        <v>51</v>
      </c>
      <c r="E146" t="s">
        <v>52</v>
      </c>
      <c r="F146" t="s">
        <v>53</v>
      </c>
      <c r="G146" t="s">
        <v>28</v>
      </c>
      <c r="H146" t="s">
        <v>64</v>
      </c>
      <c r="I146">
        <v>2279</v>
      </c>
      <c r="J146">
        <v>1</v>
      </c>
      <c r="K146">
        <v>3.2</v>
      </c>
      <c r="L146">
        <v>2</v>
      </c>
      <c r="M146" t="s">
        <v>37</v>
      </c>
    </row>
    <row r="147" spans="1:13">
      <c r="A147" t="s">
        <v>347</v>
      </c>
      <c r="B147" t="s">
        <v>348</v>
      </c>
      <c r="C147" t="s">
        <v>15</v>
      </c>
      <c r="D147" t="s">
        <v>51</v>
      </c>
      <c r="E147" t="s">
        <v>52</v>
      </c>
      <c r="F147" t="s">
        <v>27</v>
      </c>
      <c r="G147" t="s">
        <v>104</v>
      </c>
      <c r="H147" t="s">
        <v>29</v>
      </c>
      <c r="I147">
        <v>6416</v>
      </c>
      <c r="J147">
        <v>4</v>
      </c>
      <c r="K147">
        <v>3.7</v>
      </c>
      <c r="L147">
        <v>3</v>
      </c>
      <c r="M147" t="s">
        <v>21</v>
      </c>
    </row>
    <row r="148" spans="1:13">
      <c r="A148" t="s">
        <v>349</v>
      </c>
      <c r="B148" t="s">
        <v>350</v>
      </c>
      <c r="C148" t="s">
        <v>72</v>
      </c>
      <c r="D148" t="s">
        <v>79</v>
      </c>
      <c r="E148" t="s">
        <v>26</v>
      </c>
      <c r="F148" t="s">
        <v>60</v>
      </c>
      <c r="G148" t="s">
        <v>104</v>
      </c>
      <c r="H148" t="s">
        <v>20</v>
      </c>
      <c r="I148">
        <v>51569</v>
      </c>
      <c r="J148">
        <v>7</v>
      </c>
      <c r="K148">
        <v>4.4000000000000004</v>
      </c>
      <c r="L148">
        <v>3</v>
      </c>
      <c r="M148" t="s">
        <v>80</v>
      </c>
    </row>
    <row r="149" spans="1:13">
      <c r="A149" t="s">
        <v>351</v>
      </c>
      <c r="B149" t="s">
        <v>352</v>
      </c>
      <c r="C149" t="s">
        <v>103</v>
      </c>
      <c r="D149" t="s">
        <v>218</v>
      </c>
      <c r="E149" t="s">
        <v>17</v>
      </c>
      <c r="F149" t="s">
        <v>27</v>
      </c>
      <c r="G149" t="s">
        <v>104</v>
      </c>
      <c r="H149" t="s">
        <v>20</v>
      </c>
      <c r="I149">
        <v>4856</v>
      </c>
      <c r="J149">
        <v>4</v>
      </c>
      <c r="K149">
        <v>4.5</v>
      </c>
      <c r="L149">
        <v>1</v>
      </c>
      <c r="M149" t="s">
        <v>55</v>
      </c>
    </row>
    <row r="150" spans="1:13">
      <c r="A150" t="s">
        <v>353</v>
      </c>
      <c r="B150" t="s">
        <v>354</v>
      </c>
      <c r="C150" t="s">
        <v>129</v>
      </c>
      <c r="D150" t="s">
        <v>16</v>
      </c>
      <c r="E150" t="s">
        <v>17</v>
      </c>
      <c r="F150" t="s">
        <v>100</v>
      </c>
      <c r="G150" t="s">
        <v>19</v>
      </c>
      <c r="H150" t="s">
        <v>20</v>
      </c>
      <c r="I150">
        <v>3135</v>
      </c>
      <c r="J150">
        <v>5</v>
      </c>
      <c r="K150">
        <v>4.3</v>
      </c>
      <c r="L150">
        <v>5</v>
      </c>
      <c r="M150" t="s">
        <v>47</v>
      </c>
    </row>
    <row r="151" spans="1:13">
      <c r="A151" t="s">
        <v>355</v>
      </c>
      <c r="B151" t="s">
        <v>356</v>
      </c>
      <c r="C151" t="s">
        <v>122</v>
      </c>
      <c r="D151" t="s">
        <v>51</v>
      </c>
      <c r="E151" t="s">
        <v>52</v>
      </c>
      <c r="F151" t="s">
        <v>27</v>
      </c>
      <c r="G151" t="s">
        <v>54</v>
      </c>
      <c r="H151" t="s">
        <v>64</v>
      </c>
      <c r="I151">
        <v>14240</v>
      </c>
      <c r="J151">
        <v>8</v>
      </c>
      <c r="K151">
        <v>4.5999999999999996</v>
      </c>
      <c r="L151">
        <v>4</v>
      </c>
      <c r="M151" t="s">
        <v>80</v>
      </c>
    </row>
    <row r="152" spans="1:13">
      <c r="A152" t="s">
        <v>357</v>
      </c>
      <c r="B152" t="s">
        <v>263</v>
      </c>
      <c r="C152" t="s">
        <v>170</v>
      </c>
      <c r="D152" t="s">
        <v>59</v>
      </c>
      <c r="E152" t="s">
        <v>26</v>
      </c>
      <c r="F152" t="s">
        <v>100</v>
      </c>
      <c r="G152" t="s">
        <v>28</v>
      </c>
      <c r="H152" t="s">
        <v>36</v>
      </c>
      <c r="I152">
        <v>20366</v>
      </c>
      <c r="J152">
        <v>2</v>
      </c>
      <c r="K152">
        <v>4.2</v>
      </c>
      <c r="L152">
        <v>3</v>
      </c>
      <c r="M152" t="s">
        <v>87</v>
      </c>
    </row>
    <row r="153" spans="1:13">
      <c r="A153" t="s">
        <v>358</v>
      </c>
      <c r="B153" t="s">
        <v>359</v>
      </c>
      <c r="C153" t="s">
        <v>78</v>
      </c>
      <c r="D153" t="s">
        <v>51</v>
      </c>
      <c r="E153" t="s">
        <v>52</v>
      </c>
      <c r="F153" t="s">
        <v>60</v>
      </c>
      <c r="G153" t="s">
        <v>104</v>
      </c>
      <c r="H153" t="s">
        <v>36</v>
      </c>
      <c r="I153">
        <v>16856</v>
      </c>
      <c r="J153">
        <v>8</v>
      </c>
      <c r="K153">
        <v>4</v>
      </c>
      <c r="L153">
        <v>1</v>
      </c>
      <c r="M153" t="s">
        <v>87</v>
      </c>
    </row>
    <row r="154" spans="1:13">
      <c r="A154" t="s">
        <v>360</v>
      </c>
      <c r="B154" t="s">
        <v>361</v>
      </c>
      <c r="C154" t="s">
        <v>75</v>
      </c>
      <c r="D154" t="s">
        <v>46</v>
      </c>
      <c r="E154" t="s">
        <v>42</v>
      </c>
      <c r="F154" t="s">
        <v>60</v>
      </c>
      <c r="G154" t="s">
        <v>54</v>
      </c>
      <c r="H154" t="s">
        <v>29</v>
      </c>
      <c r="I154">
        <v>16680</v>
      </c>
      <c r="J154">
        <v>4</v>
      </c>
      <c r="K154">
        <v>4.5</v>
      </c>
      <c r="L154">
        <v>1</v>
      </c>
      <c r="M154" t="s">
        <v>144</v>
      </c>
    </row>
    <row r="155" spans="1:13">
      <c r="A155" t="s">
        <v>362</v>
      </c>
      <c r="B155" t="s">
        <v>363</v>
      </c>
      <c r="C155" t="s">
        <v>129</v>
      </c>
      <c r="D155" t="s">
        <v>159</v>
      </c>
      <c r="E155" t="s">
        <v>42</v>
      </c>
      <c r="F155" t="s">
        <v>18</v>
      </c>
      <c r="G155" t="s">
        <v>19</v>
      </c>
      <c r="H155" t="s">
        <v>64</v>
      </c>
      <c r="I155">
        <v>26544</v>
      </c>
      <c r="J155">
        <v>7</v>
      </c>
      <c r="K155">
        <v>3.3</v>
      </c>
      <c r="L155">
        <v>3</v>
      </c>
      <c r="M155" t="s">
        <v>80</v>
      </c>
    </row>
    <row r="156" spans="1:13">
      <c r="A156" t="s">
        <v>364</v>
      </c>
      <c r="B156" t="s">
        <v>365</v>
      </c>
      <c r="C156" t="s">
        <v>122</v>
      </c>
      <c r="D156" t="s">
        <v>79</v>
      </c>
      <c r="E156" t="s">
        <v>26</v>
      </c>
      <c r="F156" t="s">
        <v>60</v>
      </c>
      <c r="G156" t="s">
        <v>104</v>
      </c>
      <c r="H156" t="s">
        <v>20</v>
      </c>
      <c r="I156">
        <v>7748</v>
      </c>
      <c r="J156">
        <v>1</v>
      </c>
      <c r="K156">
        <v>4.2</v>
      </c>
      <c r="L156">
        <v>4</v>
      </c>
      <c r="M156" t="s">
        <v>37</v>
      </c>
    </row>
    <row r="157" spans="1:13">
      <c r="A157" t="s">
        <v>366</v>
      </c>
      <c r="B157" t="s">
        <v>367</v>
      </c>
      <c r="C157" t="s">
        <v>45</v>
      </c>
      <c r="D157" t="s">
        <v>34</v>
      </c>
      <c r="E157" t="s">
        <v>35</v>
      </c>
      <c r="F157" t="s">
        <v>18</v>
      </c>
      <c r="G157" t="s">
        <v>28</v>
      </c>
      <c r="H157" t="s">
        <v>36</v>
      </c>
      <c r="I157">
        <v>83099</v>
      </c>
      <c r="J157">
        <v>1</v>
      </c>
      <c r="K157">
        <v>3.6</v>
      </c>
      <c r="L157">
        <v>2</v>
      </c>
      <c r="M157" t="s">
        <v>87</v>
      </c>
    </row>
    <row r="158" spans="1:13">
      <c r="A158" t="s">
        <v>368</v>
      </c>
      <c r="B158" t="s">
        <v>369</v>
      </c>
      <c r="C158" t="s">
        <v>122</v>
      </c>
      <c r="D158" t="s">
        <v>147</v>
      </c>
      <c r="E158" t="s">
        <v>52</v>
      </c>
      <c r="F158" t="s">
        <v>27</v>
      </c>
      <c r="G158" t="s">
        <v>104</v>
      </c>
      <c r="H158" t="s">
        <v>29</v>
      </c>
      <c r="I158">
        <v>19680</v>
      </c>
      <c r="J158">
        <v>8</v>
      </c>
      <c r="K158">
        <v>4.0999999999999996</v>
      </c>
      <c r="L158">
        <v>5</v>
      </c>
      <c r="M158" t="s">
        <v>55</v>
      </c>
    </row>
    <row r="159" spans="1:13">
      <c r="A159" t="s">
        <v>370</v>
      </c>
      <c r="B159" t="s">
        <v>371</v>
      </c>
      <c r="C159" t="s">
        <v>133</v>
      </c>
      <c r="D159" t="s">
        <v>109</v>
      </c>
      <c r="E159" t="s">
        <v>52</v>
      </c>
      <c r="F159" t="s">
        <v>100</v>
      </c>
      <c r="G159" t="s">
        <v>28</v>
      </c>
      <c r="H159" t="s">
        <v>36</v>
      </c>
      <c r="I159">
        <v>5920</v>
      </c>
      <c r="J159">
        <v>4</v>
      </c>
      <c r="K159">
        <v>4.9000000000000004</v>
      </c>
      <c r="L159">
        <v>3</v>
      </c>
      <c r="M159" t="s">
        <v>80</v>
      </c>
    </row>
    <row r="160" spans="1:13">
      <c r="A160" t="s">
        <v>372</v>
      </c>
      <c r="B160" t="s">
        <v>373</v>
      </c>
      <c r="C160" t="s">
        <v>122</v>
      </c>
      <c r="D160" t="s">
        <v>97</v>
      </c>
      <c r="E160" t="s">
        <v>35</v>
      </c>
      <c r="F160" t="s">
        <v>83</v>
      </c>
      <c r="G160" t="s">
        <v>104</v>
      </c>
      <c r="H160" t="s">
        <v>20</v>
      </c>
      <c r="I160">
        <v>336066</v>
      </c>
      <c r="J160">
        <v>6</v>
      </c>
      <c r="K160">
        <v>3.9</v>
      </c>
      <c r="L160">
        <v>8</v>
      </c>
      <c r="M160" t="s">
        <v>65</v>
      </c>
    </row>
    <row r="161" spans="1:13">
      <c r="A161" t="s">
        <v>374</v>
      </c>
      <c r="B161" t="s">
        <v>23</v>
      </c>
      <c r="C161" t="s">
        <v>75</v>
      </c>
      <c r="D161" t="s">
        <v>41</v>
      </c>
      <c r="E161" t="s">
        <v>42</v>
      </c>
      <c r="F161" t="s">
        <v>60</v>
      </c>
      <c r="G161" t="s">
        <v>104</v>
      </c>
      <c r="H161" t="s">
        <v>36</v>
      </c>
      <c r="I161">
        <v>27167</v>
      </c>
      <c r="J161">
        <v>7</v>
      </c>
      <c r="K161">
        <v>3.7</v>
      </c>
      <c r="L161">
        <v>6</v>
      </c>
      <c r="M161" t="s">
        <v>30</v>
      </c>
    </row>
    <row r="162" spans="1:13">
      <c r="A162" t="s">
        <v>375</v>
      </c>
      <c r="B162" t="s">
        <v>376</v>
      </c>
      <c r="C162" t="s">
        <v>125</v>
      </c>
      <c r="D162" t="s">
        <v>79</v>
      </c>
      <c r="E162" t="s">
        <v>26</v>
      </c>
      <c r="F162" t="s">
        <v>83</v>
      </c>
      <c r="G162" t="s">
        <v>104</v>
      </c>
      <c r="H162" t="s">
        <v>29</v>
      </c>
      <c r="I162">
        <v>52130</v>
      </c>
      <c r="J162">
        <v>5</v>
      </c>
      <c r="K162">
        <v>4.5</v>
      </c>
      <c r="L162">
        <v>4</v>
      </c>
      <c r="M162" t="s">
        <v>144</v>
      </c>
    </row>
    <row r="163" spans="1:13">
      <c r="A163" t="s">
        <v>377</v>
      </c>
      <c r="B163" t="s">
        <v>89</v>
      </c>
      <c r="C163" t="s">
        <v>40</v>
      </c>
      <c r="D163" t="s">
        <v>86</v>
      </c>
      <c r="E163" t="s">
        <v>17</v>
      </c>
      <c r="F163" t="s">
        <v>60</v>
      </c>
      <c r="G163" t="s">
        <v>28</v>
      </c>
      <c r="H163" t="s">
        <v>29</v>
      </c>
      <c r="I163">
        <v>2560</v>
      </c>
      <c r="J163">
        <v>2</v>
      </c>
      <c r="K163">
        <v>4.8</v>
      </c>
      <c r="L163">
        <v>6</v>
      </c>
      <c r="M163" t="s">
        <v>37</v>
      </c>
    </row>
    <row r="164" spans="1:13">
      <c r="A164" t="s">
        <v>378</v>
      </c>
      <c r="B164" t="s">
        <v>379</v>
      </c>
      <c r="C164" t="s">
        <v>33</v>
      </c>
      <c r="D164" t="s">
        <v>130</v>
      </c>
      <c r="E164" t="s">
        <v>35</v>
      </c>
      <c r="F164" t="s">
        <v>100</v>
      </c>
      <c r="G164" t="s">
        <v>19</v>
      </c>
      <c r="H164" t="s">
        <v>20</v>
      </c>
      <c r="I164">
        <v>512296</v>
      </c>
      <c r="J164">
        <v>8</v>
      </c>
      <c r="K164">
        <v>3.9</v>
      </c>
      <c r="L164">
        <v>7</v>
      </c>
      <c r="M164" t="s">
        <v>55</v>
      </c>
    </row>
    <row r="165" spans="1:13">
      <c r="A165" t="s">
        <v>380</v>
      </c>
      <c r="B165" t="s">
        <v>381</v>
      </c>
      <c r="C165" t="s">
        <v>125</v>
      </c>
      <c r="D165" t="s">
        <v>218</v>
      </c>
      <c r="E165" t="s">
        <v>17</v>
      </c>
      <c r="F165" t="s">
        <v>100</v>
      </c>
      <c r="G165" t="s">
        <v>104</v>
      </c>
      <c r="H165" t="s">
        <v>29</v>
      </c>
      <c r="I165">
        <v>6328</v>
      </c>
      <c r="J165">
        <v>7</v>
      </c>
      <c r="K165">
        <v>3.9</v>
      </c>
      <c r="L165">
        <v>4</v>
      </c>
      <c r="M165" t="s">
        <v>30</v>
      </c>
    </row>
    <row r="166" spans="1:13">
      <c r="A166" t="s">
        <v>382</v>
      </c>
      <c r="B166" t="s">
        <v>383</v>
      </c>
      <c r="C166" t="s">
        <v>112</v>
      </c>
      <c r="D166" t="s">
        <v>90</v>
      </c>
      <c r="E166" t="s">
        <v>42</v>
      </c>
      <c r="F166" t="s">
        <v>18</v>
      </c>
      <c r="G166" t="s">
        <v>54</v>
      </c>
      <c r="H166" t="s">
        <v>36</v>
      </c>
      <c r="I166">
        <v>5538</v>
      </c>
      <c r="J166">
        <v>3</v>
      </c>
      <c r="K166">
        <v>4.0999999999999996</v>
      </c>
      <c r="L166">
        <v>1</v>
      </c>
      <c r="M166" t="s">
        <v>47</v>
      </c>
    </row>
    <row r="167" spans="1:13">
      <c r="A167" t="s">
        <v>384</v>
      </c>
      <c r="B167" t="s">
        <v>385</v>
      </c>
      <c r="C167" t="s">
        <v>45</v>
      </c>
      <c r="D167" t="s">
        <v>116</v>
      </c>
      <c r="E167" t="s">
        <v>17</v>
      </c>
      <c r="F167" t="s">
        <v>27</v>
      </c>
      <c r="G167" t="s">
        <v>28</v>
      </c>
      <c r="H167" t="s">
        <v>64</v>
      </c>
      <c r="I167">
        <v>1756</v>
      </c>
      <c r="J167">
        <v>4</v>
      </c>
      <c r="K167">
        <v>4</v>
      </c>
      <c r="L167">
        <v>1</v>
      </c>
      <c r="M167" t="s">
        <v>80</v>
      </c>
    </row>
    <row r="168" spans="1:13">
      <c r="A168" t="s">
        <v>386</v>
      </c>
      <c r="B168" t="s">
        <v>387</v>
      </c>
      <c r="C168" t="s">
        <v>112</v>
      </c>
      <c r="D168" t="s">
        <v>16</v>
      </c>
      <c r="E168" t="s">
        <v>17</v>
      </c>
      <c r="F168" t="s">
        <v>27</v>
      </c>
      <c r="G168" t="s">
        <v>28</v>
      </c>
      <c r="H168" t="s">
        <v>20</v>
      </c>
      <c r="I168">
        <v>2268</v>
      </c>
      <c r="J168">
        <v>7</v>
      </c>
      <c r="K168">
        <v>5</v>
      </c>
      <c r="L168">
        <v>1</v>
      </c>
      <c r="M168" t="s">
        <v>65</v>
      </c>
    </row>
    <row r="169" spans="1:13">
      <c r="A169" t="s">
        <v>388</v>
      </c>
      <c r="B169" t="s">
        <v>373</v>
      </c>
      <c r="C169" t="s">
        <v>50</v>
      </c>
      <c r="D169" t="s">
        <v>16</v>
      </c>
      <c r="E169" t="s">
        <v>17</v>
      </c>
      <c r="F169" t="s">
        <v>18</v>
      </c>
      <c r="G169" t="s">
        <v>104</v>
      </c>
      <c r="H169" t="s">
        <v>64</v>
      </c>
      <c r="I169">
        <v>2379</v>
      </c>
      <c r="J169">
        <v>3</v>
      </c>
      <c r="K169">
        <v>4.7</v>
      </c>
      <c r="L169">
        <v>5</v>
      </c>
      <c r="M169" t="s">
        <v>65</v>
      </c>
    </row>
    <row r="170" spans="1:13">
      <c r="A170" t="s">
        <v>389</v>
      </c>
      <c r="B170" t="s">
        <v>298</v>
      </c>
      <c r="C170" t="s">
        <v>33</v>
      </c>
      <c r="D170" t="s">
        <v>159</v>
      </c>
      <c r="E170" t="s">
        <v>42</v>
      </c>
      <c r="F170" t="s">
        <v>27</v>
      </c>
      <c r="G170" t="s">
        <v>54</v>
      </c>
      <c r="H170" t="s">
        <v>20</v>
      </c>
      <c r="I170">
        <v>5860</v>
      </c>
      <c r="J170">
        <v>4</v>
      </c>
      <c r="K170">
        <v>3.9</v>
      </c>
      <c r="L170">
        <v>8</v>
      </c>
      <c r="M170" t="s">
        <v>119</v>
      </c>
    </row>
    <row r="171" spans="1:13">
      <c r="A171" t="s">
        <v>390</v>
      </c>
      <c r="B171" t="s">
        <v>391</v>
      </c>
      <c r="C171" t="s">
        <v>103</v>
      </c>
      <c r="D171" t="s">
        <v>116</v>
      </c>
      <c r="E171" t="s">
        <v>17</v>
      </c>
      <c r="F171" t="s">
        <v>18</v>
      </c>
      <c r="G171" t="s">
        <v>54</v>
      </c>
      <c r="H171" t="s">
        <v>29</v>
      </c>
      <c r="I171">
        <v>8748</v>
      </c>
      <c r="J171">
        <v>6</v>
      </c>
      <c r="K171">
        <v>3.6</v>
      </c>
      <c r="L171">
        <v>8</v>
      </c>
      <c r="M171" t="s">
        <v>47</v>
      </c>
    </row>
    <row r="172" spans="1:13">
      <c r="A172" t="s">
        <v>392</v>
      </c>
      <c r="B172" t="s">
        <v>393</v>
      </c>
      <c r="C172" t="s">
        <v>24</v>
      </c>
      <c r="D172" t="s">
        <v>25</v>
      </c>
      <c r="E172" t="s">
        <v>26</v>
      </c>
      <c r="F172" t="s">
        <v>100</v>
      </c>
      <c r="G172" t="s">
        <v>19</v>
      </c>
      <c r="H172" t="s">
        <v>64</v>
      </c>
      <c r="I172">
        <v>43950</v>
      </c>
      <c r="J172">
        <v>6</v>
      </c>
      <c r="K172">
        <v>4.9000000000000004</v>
      </c>
      <c r="L172">
        <v>5</v>
      </c>
      <c r="M172" t="s">
        <v>37</v>
      </c>
    </row>
    <row r="173" spans="1:13">
      <c r="A173" t="s">
        <v>394</v>
      </c>
      <c r="B173" t="s">
        <v>352</v>
      </c>
      <c r="C173" t="s">
        <v>75</v>
      </c>
      <c r="D173" t="s">
        <v>59</v>
      </c>
      <c r="E173" t="s">
        <v>26</v>
      </c>
      <c r="F173" t="s">
        <v>53</v>
      </c>
      <c r="G173" t="s">
        <v>28</v>
      </c>
      <c r="H173" t="s">
        <v>29</v>
      </c>
      <c r="I173">
        <v>5037</v>
      </c>
      <c r="J173">
        <v>3</v>
      </c>
      <c r="K173">
        <v>3.4</v>
      </c>
      <c r="L173">
        <v>4</v>
      </c>
      <c r="M173" t="s">
        <v>55</v>
      </c>
    </row>
    <row r="174" spans="1:13">
      <c r="A174" t="s">
        <v>395</v>
      </c>
      <c r="B174" t="s">
        <v>396</v>
      </c>
      <c r="C174" t="s">
        <v>75</v>
      </c>
      <c r="D174" t="s">
        <v>218</v>
      </c>
      <c r="E174" t="s">
        <v>17</v>
      </c>
      <c r="F174" t="s">
        <v>100</v>
      </c>
      <c r="G174" t="s">
        <v>104</v>
      </c>
      <c r="H174" t="s">
        <v>20</v>
      </c>
      <c r="I174">
        <v>6136</v>
      </c>
      <c r="J174">
        <v>8</v>
      </c>
      <c r="K174">
        <v>3.5</v>
      </c>
      <c r="L174">
        <v>7</v>
      </c>
      <c r="M174" t="s">
        <v>47</v>
      </c>
    </row>
    <row r="175" spans="1:13">
      <c r="A175" t="s">
        <v>397</v>
      </c>
      <c r="B175" t="s">
        <v>398</v>
      </c>
      <c r="C175" t="s">
        <v>40</v>
      </c>
      <c r="D175" t="s">
        <v>16</v>
      </c>
      <c r="E175" t="s">
        <v>17</v>
      </c>
      <c r="F175" t="s">
        <v>60</v>
      </c>
      <c r="G175" t="s">
        <v>104</v>
      </c>
      <c r="H175" t="s">
        <v>29</v>
      </c>
      <c r="I175">
        <v>3234</v>
      </c>
      <c r="J175">
        <v>3</v>
      </c>
      <c r="K175">
        <v>3.4</v>
      </c>
      <c r="L175">
        <v>1</v>
      </c>
      <c r="M175" t="s">
        <v>21</v>
      </c>
    </row>
    <row r="176" spans="1:13">
      <c r="A176" t="s">
        <v>399</v>
      </c>
      <c r="B176" t="s">
        <v>400</v>
      </c>
      <c r="C176" t="s">
        <v>75</v>
      </c>
      <c r="D176" t="s">
        <v>86</v>
      </c>
      <c r="E176" t="s">
        <v>17</v>
      </c>
      <c r="F176" t="s">
        <v>53</v>
      </c>
      <c r="G176" t="s">
        <v>54</v>
      </c>
      <c r="H176" t="s">
        <v>29</v>
      </c>
      <c r="I176">
        <v>3546</v>
      </c>
      <c r="J176">
        <v>3</v>
      </c>
      <c r="K176">
        <v>3.9</v>
      </c>
      <c r="L176">
        <v>1</v>
      </c>
      <c r="M176" t="s">
        <v>87</v>
      </c>
    </row>
    <row r="177" spans="1:13">
      <c r="A177" t="s">
        <v>401</v>
      </c>
      <c r="B177" t="s">
        <v>402</v>
      </c>
      <c r="C177" t="s">
        <v>24</v>
      </c>
      <c r="D177" t="s">
        <v>41</v>
      </c>
      <c r="E177" t="s">
        <v>42</v>
      </c>
      <c r="F177" t="s">
        <v>83</v>
      </c>
      <c r="G177" t="s">
        <v>104</v>
      </c>
      <c r="H177" t="s">
        <v>29</v>
      </c>
      <c r="I177">
        <v>18816</v>
      </c>
      <c r="J177">
        <v>7</v>
      </c>
      <c r="K177">
        <v>4.0999999999999996</v>
      </c>
      <c r="L177">
        <v>7</v>
      </c>
      <c r="M177" t="s">
        <v>21</v>
      </c>
    </row>
    <row r="178" spans="1:13">
      <c r="A178" t="s">
        <v>403</v>
      </c>
      <c r="B178" t="s">
        <v>404</v>
      </c>
      <c r="C178" t="s">
        <v>129</v>
      </c>
      <c r="D178" t="s">
        <v>97</v>
      </c>
      <c r="E178" t="s">
        <v>35</v>
      </c>
      <c r="F178" t="s">
        <v>53</v>
      </c>
      <c r="G178" t="s">
        <v>19</v>
      </c>
      <c r="H178" t="s">
        <v>64</v>
      </c>
      <c r="I178">
        <v>77340</v>
      </c>
      <c r="J178">
        <v>2</v>
      </c>
      <c r="K178">
        <v>4.0999999999999996</v>
      </c>
      <c r="L178">
        <v>2</v>
      </c>
      <c r="M178" t="s">
        <v>80</v>
      </c>
    </row>
    <row r="179" spans="1:13">
      <c r="A179" t="s">
        <v>405</v>
      </c>
      <c r="B179" t="s">
        <v>406</v>
      </c>
      <c r="C179" t="s">
        <v>170</v>
      </c>
      <c r="D179" t="s">
        <v>79</v>
      </c>
      <c r="E179" t="s">
        <v>26</v>
      </c>
      <c r="F179" t="s">
        <v>60</v>
      </c>
      <c r="G179" t="s">
        <v>104</v>
      </c>
      <c r="H179" t="s">
        <v>64</v>
      </c>
      <c r="I179">
        <v>12486</v>
      </c>
      <c r="J179">
        <v>2</v>
      </c>
      <c r="K179">
        <v>4.7</v>
      </c>
      <c r="L179">
        <v>7</v>
      </c>
      <c r="M179" t="s">
        <v>47</v>
      </c>
    </row>
    <row r="180" spans="1:13">
      <c r="A180" t="s">
        <v>407</v>
      </c>
      <c r="B180" t="s">
        <v>408</v>
      </c>
      <c r="C180" t="s">
        <v>40</v>
      </c>
      <c r="D180" t="s">
        <v>79</v>
      </c>
      <c r="E180" t="s">
        <v>26</v>
      </c>
      <c r="F180" t="s">
        <v>27</v>
      </c>
      <c r="G180" t="s">
        <v>28</v>
      </c>
      <c r="H180" t="s">
        <v>20</v>
      </c>
      <c r="I180">
        <v>22260</v>
      </c>
      <c r="J180">
        <v>6</v>
      </c>
      <c r="K180">
        <v>4.9000000000000004</v>
      </c>
      <c r="L180">
        <v>6</v>
      </c>
      <c r="M180" t="s">
        <v>126</v>
      </c>
    </row>
    <row r="181" spans="1:13">
      <c r="A181" t="s">
        <v>409</v>
      </c>
      <c r="B181" t="s">
        <v>237</v>
      </c>
      <c r="C181" t="s">
        <v>78</v>
      </c>
      <c r="D181" t="s">
        <v>97</v>
      </c>
      <c r="E181" t="s">
        <v>35</v>
      </c>
      <c r="F181" t="s">
        <v>18</v>
      </c>
      <c r="G181" t="s">
        <v>28</v>
      </c>
      <c r="H181" t="s">
        <v>20</v>
      </c>
      <c r="I181">
        <v>534835</v>
      </c>
      <c r="J181">
        <v>7</v>
      </c>
      <c r="K181">
        <v>5</v>
      </c>
      <c r="L181">
        <v>3</v>
      </c>
      <c r="M181" t="s">
        <v>21</v>
      </c>
    </row>
    <row r="182" spans="1:13">
      <c r="A182" t="s">
        <v>410</v>
      </c>
      <c r="B182" t="s">
        <v>411</v>
      </c>
      <c r="C182" t="s">
        <v>133</v>
      </c>
      <c r="D182" t="s">
        <v>46</v>
      </c>
      <c r="E182" t="s">
        <v>42</v>
      </c>
      <c r="F182" t="s">
        <v>60</v>
      </c>
      <c r="G182" t="s">
        <v>54</v>
      </c>
      <c r="H182" t="s">
        <v>64</v>
      </c>
      <c r="I182">
        <v>11776</v>
      </c>
      <c r="J182">
        <v>2</v>
      </c>
      <c r="K182">
        <v>3.6</v>
      </c>
      <c r="L182">
        <v>3</v>
      </c>
      <c r="M182" t="s">
        <v>119</v>
      </c>
    </row>
    <row r="183" spans="1:13">
      <c r="A183" t="s">
        <v>412</v>
      </c>
      <c r="B183" t="s">
        <v>413</v>
      </c>
      <c r="C183" t="s">
        <v>78</v>
      </c>
      <c r="D183" t="s">
        <v>69</v>
      </c>
      <c r="E183" t="s">
        <v>26</v>
      </c>
      <c r="F183" t="s">
        <v>100</v>
      </c>
      <c r="G183" t="s">
        <v>54</v>
      </c>
      <c r="H183" t="s">
        <v>36</v>
      </c>
      <c r="I183">
        <v>9814</v>
      </c>
      <c r="J183">
        <v>7</v>
      </c>
      <c r="K183">
        <v>4.5999999999999996</v>
      </c>
      <c r="L183">
        <v>6</v>
      </c>
      <c r="M183" t="s">
        <v>30</v>
      </c>
    </row>
    <row r="184" spans="1:13">
      <c r="A184" t="s">
        <v>414</v>
      </c>
      <c r="B184" t="s">
        <v>415</v>
      </c>
      <c r="C184" t="s">
        <v>122</v>
      </c>
      <c r="D184" t="s">
        <v>109</v>
      </c>
      <c r="E184" t="s">
        <v>52</v>
      </c>
      <c r="F184" t="s">
        <v>100</v>
      </c>
      <c r="G184" t="s">
        <v>19</v>
      </c>
      <c r="H184" t="s">
        <v>64</v>
      </c>
      <c r="I184">
        <v>1886</v>
      </c>
      <c r="J184">
        <v>1</v>
      </c>
      <c r="K184">
        <v>3.2</v>
      </c>
      <c r="L184">
        <v>5</v>
      </c>
      <c r="M184" t="s">
        <v>80</v>
      </c>
    </row>
    <row r="185" spans="1:13">
      <c r="A185" t="s">
        <v>416</v>
      </c>
      <c r="B185" t="s">
        <v>172</v>
      </c>
      <c r="C185" t="s">
        <v>68</v>
      </c>
      <c r="D185" t="s">
        <v>97</v>
      </c>
      <c r="E185" t="s">
        <v>35</v>
      </c>
      <c r="F185" t="s">
        <v>27</v>
      </c>
      <c r="G185" t="s">
        <v>19</v>
      </c>
      <c r="H185" t="s">
        <v>29</v>
      </c>
      <c r="I185">
        <v>197331</v>
      </c>
      <c r="J185">
        <v>3</v>
      </c>
      <c r="K185">
        <v>3.9</v>
      </c>
      <c r="L185">
        <v>2</v>
      </c>
      <c r="M185" t="s">
        <v>47</v>
      </c>
    </row>
    <row r="186" spans="1:13">
      <c r="A186" t="s">
        <v>417</v>
      </c>
      <c r="B186" t="s">
        <v>418</v>
      </c>
      <c r="C186" t="s">
        <v>170</v>
      </c>
      <c r="D186" t="s">
        <v>130</v>
      </c>
      <c r="E186" t="s">
        <v>35</v>
      </c>
      <c r="F186" t="s">
        <v>18</v>
      </c>
      <c r="G186" t="s">
        <v>104</v>
      </c>
      <c r="H186" t="s">
        <v>36</v>
      </c>
      <c r="I186">
        <v>192608</v>
      </c>
      <c r="J186">
        <v>4</v>
      </c>
      <c r="K186">
        <v>4</v>
      </c>
      <c r="L186">
        <v>8</v>
      </c>
      <c r="M186" t="s">
        <v>47</v>
      </c>
    </row>
    <row r="187" spans="1:13">
      <c r="A187" t="s">
        <v>419</v>
      </c>
      <c r="B187" t="s">
        <v>420</v>
      </c>
      <c r="C187" t="s">
        <v>78</v>
      </c>
      <c r="D187" t="s">
        <v>16</v>
      </c>
      <c r="E187" t="s">
        <v>17</v>
      </c>
      <c r="F187" t="s">
        <v>60</v>
      </c>
      <c r="G187" t="s">
        <v>28</v>
      </c>
      <c r="H187" t="s">
        <v>20</v>
      </c>
      <c r="I187">
        <v>3372</v>
      </c>
      <c r="J187">
        <v>2</v>
      </c>
      <c r="K187">
        <v>4.2</v>
      </c>
      <c r="L187">
        <v>6</v>
      </c>
      <c r="M187" t="s">
        <v>126</v>
      </c>
    </row>
    <row r="188" spans="1:13">
      <c r="A188" t="s">
        <v>421</v>
      </c>
      <c r="B188" t="s">
        <v>422</v>
      </c>
      <c r="C188" t="s">
        <v>15</v>
      </c>
      <c r="D188" t="s">
        <v>159</v>
      </c>
      <c r="E188" t="s">
        <v>42</v>
      </c>
      <c r="F188" t="s">
        <v>27</v>
      </c>
      <c r="G188" t="s">
        <v>19</v>
      </c>
      <c r="H188" t="s">
        <v>20</v>
      </c>
      <c r="I188">
        <v>16212</v>
      </c>
      <c r="J188">
        <v>7</v>
      </c>
      <c r="K188">
        <v>4.3</v>
      </c>
      <c r="L188">
        <v>7</v>
      </c>
      <c r="M188" t="s">
        <v>37</v>
      </c>
    </row>
    <row r="189" spans="1:13">
      <c r="A189" t="s">
        <v>423</v>
      </c>
      <c r="B189" t="s">
        <v>424</v>
      </c>
      <c r="C189" t="s">
        <v>125</v>
      </c>
      <c r="D189" t="s">
        <v>113</v>
      </c>
      <c r="E189" t="s">
        <v>35</v>
      </c>
      <c r="F189" t="s">
        <v>100</v>
      </c>
      <c r="G189" t="s">
        <v>104</v>
      </c>
      <c r="H189" t="s">
        <v>64</v>
      </c>
      <c r="I189">
        <v>100890</v>
      </c>
      <c r="J189">
        <v>2</v>
      </c>
      <c r="K189">
        <v>4</v>
      </c>
      <c r="L189">
        <v>5</v>
      </c>
      <c r="M189" t="s">
        <v>30</v>
      </c>
    </row>
    <row r="190" spans="1:13">
      <c r="A190" t="s">
        <v>425</v>
      </c>
      <c r="B190" t="s">
        <v>222</v>
      </c>
      <c r="C190" t="s">
        <v>45</v>
      </c>
      <c r="D190" t="s">
        <v>69</v>
      </c>
      <c r="E190" t="s">
        <v>26</v>
      </c>
      <c r="F190" t="s">
        <v>100</v>
      </c>
      <c r="G190" t="s">
        <v>54</v>
      </c>
      <c r="H190" t="s">
        <v>20</v>
      </c>
      <c r="I190">
        <v>7252</v>
      </c>
      <c r="J190">
        <v>2</v>
      </c>
      <c r="K190">
        <v>4.7</v>
      </c>
      <c r="L190">
        <v>5</v>
      </c>
      <c r="M190" t="s">
        <v>30</v>
      </c>
    </row>
    <row r="191" spans="1:13">
      <c r="A191" t="s">
        <v>426</v>
      </c>
      <c r="B191" t="s">
        <v>427</v>
      </c>
      <c r="C191" t="s">
        <v>58</v>
      </c>
      <c r="D191" t="s">
        <v>113</v>
      </c>
      <c r="E191" t="s">
        <v>35</v>
      </c>
      <c r="F191" t="s">
        <v>60</v>
      </c>
      <c r="G191" t="s">
        <v>28</v>
      </c>
      <c r="H191" t="s">
        <v>20</v>
      </c>
      <c r="I191">
        <v>257145</v>
      </c>
      <c r="J191">
        <v>5</v>
      </c>
      <c r="K191">
        <v>3.9</v>
      </c>
      <c r="L191">
        <v>3</v>
      </c>
      <c r="M191" t="s">
        <v>21</v>
      </c>
    </row>
    <row r="192" spans="1:13">
      <c r="A192" t="s">
        <v>428</v>
      </c>
      <c r="B192" t="s">
        <v>429</v>
      </c>
      <c r="C192" t="s">
        <v>129</v>
      </c>
      <c r="D192" t="s">
        <v>159</v>
      </c>
      <c r="E192" t="s">
        <v>42</v>
      </c>
      <c r="F192" t="s">
        <v>18</v>
      </c>
      <c r="G192" t="s">
        <v>28</v>
      </c>
      <c r="H192" t="s">
        <v>20</v>
      </c>
      <c r="I192">
        <v>6696</v>
      </c>
      <c r="J192">
        <v>3</v>
      </c>
      <c r="K192">
        <v>4.7</v>
      </c>
      <c r="L192">
        <v>1</v>
      </c>
      <c r="M192" t="s">
        <v>30</v>
      </c>
    </row>
    <row r="193" spans="1:13">
      <c r="A193" t="s">
        <v>430</v>
      </c>
      <c r="B193" t="s">
        <v>23</v>
      </c>
      <c r="C193" t="s">
        <v>122</v>
      </c>
      <c r="D193" t="s">
        <v>51</v>
      </c>
      <c r="E193" t="s">
        <v>52</v>
      </c>
      <c r="F193" t="s">
        <v>53</v>
      </c>
      <c r="G193" t="s">
        <v>54</v>
      </c>
      <c r="H193" t="s">
        <v>29</v>
      </c>
      <c r="I193">
        <v>18112</v>
      </c>
      <c r="J193">
        <v>8</v>
      </c>
      <c r="K193">
        <v>3.5</v>
      </c>
      <c r="L193">
        <v>1</v>
      </c>
      <c r="M193" t="s">
        <v>30</v>
      </c>
    </row>
    <row r="194" spans="1:13">
      <c r="A194" t="s">
        <v>431</v>
      </c>
      <c r="B194" t="s">
        <v>432</v>
      </c>
      <c r="C194" t="s">
        <v>78</v>
      </c>
      <c r="D194" t="s">
        <v>109</v>
      </c>
      <c r="E194" t="s">
        <v>52</v>
      </c>
      <c r="F194" t="s">
        <v>53</v>
      </c>
      <c r="G194" t="s">
        <v>54</v>
      </c>
      <c r="H194" t="s">
        <v>64</v>
      </c>
      <c r="I194">
        <v>18224</v>
      </c>
      <c r="J194">
        <v>8</v>
      </c>
      <c r="K194">
        <v>4.2</v>
      </c>
      <c r="L194">
        <v>5</v>
      </c>
      <c r="M194" t="s">
        <v>80</v>
      </c>
    </row>
    <row r="195" spans="1:13">
      <c r="A195" t="s">
        <v>433</v>
      </c>
      <c r="B195" t="s">
        <v>434</v>
      </c>
      <c r="C195" t="s">
        <v>146</v>
      </c>
      <c r="D195" t="s">
        <v>79</v>
      </c>
      <c r="E195" t="s">
        <v>26</v>
      </c>
      <c r="F195" t="s">
        <v>18</v>
      </c>
      <c r="G195" t="s">
        <v>19</v>
      </c>
      <c r="H195" t="s">
        <v>20</v>
      </c>
      <c r="I195">
        <v>16336</v>
      </c>
      <c r="J195">
        <v>2</v>
      </c>
      <c r="K195">
        <v>3.7</v>
      </c>
      <c r="L195">
        <v>2</v>
      </c>
      <c r="M195" t="s">
        <v>47</v>
      </c>
    </row>
    <row r="196" spans="1:13">
      <c r="A196" t="s">
        <v>435</v>
      </c>
      <c r="B196" t="s">
        <v>436</v>
      </c>
      <c r="C196" t="s">
        <v>45</v>
      </c>
      <c r="D196" t="s">
        <v>59</v>
      </c>
      <c r="E196" t="s">
        <v>26</v>
      </c>
      <c r="F196" t="s">
        <v>100</v>
      </c>
      <c r="G196" t="s">
        <v>19</v>
      </c>
      <c r="H196" t="s">
        <v>29</v>
      </c>
      <c r="I196">
        <v>12404</v>
      </c>
      <c r="J196">
        <v>7</v>
      </c>
      <c r="K196">
        <v>4.2</v>
      </c>
      <c r="L196">
        <v>5</v>
      </c>
      <c r="M196" t="s">
        <v>119</v>
      </c>
    </row>
    <row r="197" spans="1:13">
      <c r="A197" t="s">
        <v>437</v>
      </c>
      <c r="B197" t="s">
        <v>252</v>
      </c>
      <c r="C197" t="s">
        <v>72</v>
      </c>
      <c r="D197" t="s">
        <v>130</v>
      </c>
      <c r="E197" t="s">
        <v>35</v>
      </c>
      <c r="F197" t="s">
        <v>83</v>
      </c>
      <c r="G197" t="s">
        <v>19</v>
      </c>
      <c r="H197" t="s">
        <v>29</v>
      </c>
      <c r="I197">
        <v>101355</v>
      </c>
      <c r="J197">
        <v>5</v>
      </c>
      <c r="K197">
        <v>5</v>
      </c>
      <c r="L197">
        <v>3</v>
      </c>
      <c r="M197" t="s">
        <v>30</v>
      </c>
    </row>
    <row r="198" spans="1:13">
      <c r="A198" t="s">
        <v>438</v>
      </c>
      <c r="B198" t="s">
        <v>74</v>
      </c>
      <c r="C198" t="s">
        <v>50</v>
      </c>
      <c r="D198" t="s">
        <v>51</v>
      </c>
      <c r="E198" t="s">
        <v>52</v>
      </c>
      <c r="F198" t="s">
        <v>100</v>
      </c>
      <c r="G198" t="s">
        <v>104</v>
      </c>
      <c r="H198" t="s">
        <v>29</v>
      </c>
      <c r="I198">
        <v>4050</v>
      </c>
      <c r="J198">
        <v>3</v>
      </c>
      <c r="K198">
        <v>4</v>
      </c>
      <c r="L198">
        <v>2</v>
      </c>
      <c r="M198" t="s">
        <v>65</v>
      </c>
    </row>
    <row r="199" spans="1:13">
      <c r="A199" t="s">
        <v>439</v>
      </c>
      <c r="B199" t="s">
        <v>440</v>
      </c>
      <c r="C199" t="s">
        <v>78</v>
      </c>
      <c r="D199" t="s">
        <v>90</v>
      </c>
      <c r="E199" t="s">
        <v>42</v>
      </c>
      <c r="F199" t="s">
        <v>60</v>
      </c>
      <c r="G199" t="s">
        <v>19</v>
      </c>
      <c r="H199" t="s">
        <v>64</v>
      </c>
      <c r="I199">
        <v>5900</v>
      </c>
      <c r="J199">
        <v>1</v>
      </c>
      <c r="K199">
        <v>4.5</v>
      </c>
      <c r="L199">
        <v>2</v>
      </c>
      <c r="M199" t="s">
        <v>126</v>
      </c>
    </row>
    <row r="200" spans="1:13">
      <c r="A200" t="s">
        <v>441</v>
      </c>
      <c r="B200" t="s">
        <v>398</v>
      </c>
      <c r="C200" t="s">
        <v>170</v>
      </c>
      <c r="D200" t="s">
        <v>51</v>
      </c>
      <c r="E200" t="s">
        <v>52</v>
      </c>
      <c r="F200" t="s">
        <v>27</v>
      </c>
      <c r="G200" t="s">
        <v>54</v>
      </c>
      <c r="H200" t="s">
        <v>36</v>
      </c>
      <c r="I200">
        <v>9798</v>
      </c>
      <c r="J200">
        <v>6</v>
      </c>
      <c r="K200">
        <v>4.2</v>
      </c>
      <c r="L200">
        <v>8</v>
      </c>
      <c r="M200" t="s">
        <v>21</v>
      </c>
    </row>
    <row r="201" spans="1:13">
      <c r="A201" t="s">
        <v>442</v>
      </c>
      <c r="B201" t="s">
        <v>296</v>
      </c>
      <c r="C201" t="s">
        <v>40</v>
      </c>
      <c r="D201" t="s">
        <v>116</v>
      </c>
      <c r="E201" t="s">
        <v>17</v>
      </c>
      <c r="F201" t="s">
        <v>83</v>
      </c>
      <c r="G201" t="s">
        <v>104</v>
      </c>
      <c r="H201" t="s">
        <v>36</v>
      </c>
      <c r="I201">
        <v>1246</v>
      </c>
      <c r="J201">
        <v>2</v>
      </c>
      <c r="K201">
        <v>3.6</v>
      </c>
      <c r="L201">
        <v>3</v>
      </c>
      <c r="M201" t="s">
        <v>144</v>
      </c>
    </row>
    <row r="202" spans="1:13">
      <c r="A202" t="s">
        <v>443</v>
      </c>
      <c r="B202" t="s">
        <v>444</v>
      </c>
      <c r="C202" t="s">
        <v>133</v>
      </c>
      <c r="D202" t="s">
        <v>130</v>
      </c>
      <c r="E202" t="s">
        <v>35</v>
      </c>
      <c r="F202" t="s">
        <v>27</v>
      </c>
      <c r="G202" t="s">
        <v>54</v>
      </c>
      <c r="H202" t="s">
        <v>36</v>
      </c>
      <c r="I202">
        <v>55722</v>
      </c>
      <c r="J202">
        <v>6</v>
      </c>
      <c r="K202">
        <v>3.7</v>
      </c>
      <c r="L202">
        <v>4</v>
      </c>
      <c r="M202" t="s">
        <v>87</v>
      </c>
    </row>
    <row r="203" spans="1:13">
      <c r="A203" t="s">
        <v>445</v>
      </c>
      <c r="B203" t="s">
        <v>446</v>
      </c>
      <c r="C203" t="s">
        <v>68</v>
      </c>
      <c r="D203" t="s">
        <v>86</v>
      </c>
      <c r="E203" t="s">
        <v>17</v>
      </c>
      <c r="F203" t="s">
        <v>60</v>
      </c>
      <c r="G203" t="s">
        <v>19</v>
      </c>
      <c r="H203" t="s">
        <v>64</v>
      </c>
      <c r="I203">
        <v>1142</v>
      </c>
      <c r="J203">
        <v>2</v>
      </c>
      <c r="K203">
        <v>3.2</v>
      </c>
      <c r="L203">
        <v>6</v>
      </c>
      <c r="M203" t="s">
        <v>65</v>
      </c>
    </row>
    <row r="204" spans="1:13">
      <c r="A204" t="s">
        <v>447</v>
      </c>
      <c r="B204" t="s">
        <v>352</v>
      </c>
      <c r="C204" t="s">
        <v>50</v>
      </c>
      <c r="D204" t="s">
        <v>86</v>
      </c>
      <c r="E204" t="s">
        <v>17</v>
      </c>
      <c r="F204" t="s">
        <v>83</v>
      </c>
      <c r="G204" t="s">
        <v>19</v>
      </c>
      <c r="H204" t="s">
        <v>36</v>
      </c>
      <c r="I204">
        <v>3592</v>
      </c>
      <c r="J204">
        <v>2</v>
      </c>
      <c r="K204">
        <v>4.8</v>
      </c>
      <c r="L204">
        <v>3</v>
      </c>
      <c r="M204" t="s">
        <v>55</v>
      </c>
    </row>
    <row r="205" spans="1:13">
      <c r="A205" t="s">
        <v>448</v>
      </c>
      <c r="B205" t="s">
        <v>233</v>
      </c>
      <c r="C205" t="s">
        <v>179</v>
      </c>
      <c r="D205" t="s">
        <v>25</v>
      </c>
      <c r="E205" t="s">
        <v>26</v>
      </c>
      <c r="F205" t="s">
        <v>18</v>
      </c>
      <c r="G205" t="s">
        <v>54</v>
      </c>
      <c r="H205" t="s">
        <v>20</v>
      </c>
      <c r="I205">
        <v>9840</v>
      </c>
      <c r="J205">
        <v>3</v>
      </c>
      <c r="K205">
        <v>4.9000000000000004</v>
      </c>
      <c r="L205">
        <v>8</v>
      </c>
      <c r="M205" t="s">
        <v>192</v>
      </c>
    </row>
    <row r="206" spans="1:13">
      <c r="A206" t="s">
        <v>449</v>
      </c>
      <c r="B206" t="s">
        <v>450</v>
      </c>
      <c r="C206" t="s">
        <v>15</v>
      </c>
      <c r="D206" t="s">
        <v>116</v>
      </c>
      <c r="E206" t="s">
        <v>17</v>
      </c>
      <c r="F206" t="s">
        <v>27</v>
      </c>
      <c r="G206" t="s">
        <v>104</v>
      </c>
      <c r="H206" t="s">
        <v>20</v>
      </c>
      <c r="I206">
        <v>6608</v>
      </c>
      <c r="J206">
        <v>7</v>
      </c>
      <c r="K206">
        <v>3.4</v>
      </c>
      <c r="L206">
        <v>5</v>
      </c>
      <c r="M206" t="s">
        <v>126</v>
      </c>
    </row>
    <row r="207" spans="1:13">
      <c r="A207" t="s">
        <v>451</v>
      </c>
      <c r="B207" t="s">
        <v>452</v>
      </c>
      <c r="C207" t="s">
        <v>45</v>
      </c>
      <c r="D207" t="s">
        <v>79</v>
      </c>
      <c r="E207" t="s">
        <v>26</v>
      </c>
      <c r="F207" t="s">
        <v>18</v>
      </c>
      <c r="G207" t="s">
        <v>54</v>
      </c>
      <c r="H207" t="s">
        <v>29</v>
      </c>
      <c r="I207">
        <v>35610</v>
      </c>
      <c r="J207">
        <v>5</v>
      </c>
      <c r="K207">
        <v>3.4</v>
      </c>
      <c r="L207">
        <v>8</v>
      </c>
      <c r="M207" t="s">
        <v>55</v>
      </c>
    </row>
    <row r="208" spans="1:13">
      <c r="A208" t="s">
        <v>453</v>
      </c>
      <c r="B208" t="s">
        <v>454</v>
      </c>
      <c r="C208" t="s">
        <v>15</v>
      </c>
      <c r="D208" t="s">
        <v>34</v>
      </c>
      <c r="E208" t="s">
        <v>35</v>
      </c>
      <c r="F208" t="s">
        <v>53</v>
      </c>
      <c r="G208" t="s">
        <v>19</v>
      </c>
      <c r="H208" t="s">
        <v>36</v>
      </c>
      <c r="I208">
        <v>176015</v>
      </c>
      <c r="J208">
        <v>7</v>
      </c>
      <c r="K208">
        <v>3.2</v>
      </c>
      <c r="L208">
        <v>2</v>
      </c>
      <c r="M208" t="s">
        <v>55</v>
      </c>
    </row>
    <row r="209" spans="1:13">
      <c r="A209" t="s">
        <v>455</v>
      </c>
      <c r="B209" t="s">
        <v>456</v>
      </c>
      <c r="C209" t="s">
        <v>103</v>
      </c>
      <c r="D209" t="s">
        <v>116</v>
      </c>
      <c r="E209" t="s">
        <v>17</v>
      </c>
      <c r="F209" t="s">
        <v>18</v>
      </c>
      <c r="G209" t="s">
        <v>104</v>
      </c>
      <c r="H209" t="s">
        <v>36</v>
      </c>
      <c r="I209">
        <v>7935</v>
      </c>
      <c r="J209">
        <v>5</v>
      </c>
      <c r="K209">
        <v>3.3</v>
      </c>
      <c r="L209">
        <v>3</v>
      </c>
      <c r="M209" t="s">
        <v>65</v>
      </c>
    </row>
    <row r="210" spans="1:13">
      <c r="A210" t="s">
        <v>457</v>
      </c>
      <c r="B210" t="s">
        <v>458</v>
      </c>
      <c r="C210" t="s">
        <v>133</v>
      </c>
      <c r="D210" t="s">
        <v>79</v>
      </c>
      <c r="E210" t="s">
        <v>26</v>
      </c>
      <c r="F210" t="s">
        <v>18</v>
      </c>
      <c r="G210" t="s">
        <v>28</v>
      </c>
      <c r="H210" t="s">
        <v>36</v>
      </c>
      <c r="I210">
        <v>28254</v>
      </c>
      <c r="J210">
        <v>6</v>
      </c>
      <c r="K210">
        <v>3.3</v>
      </c>
      <c r="L210">
        <v>2</v>
      </c>
      <c r="M210" t="s">
        <v>80</v>
      </c>
    </row>
    <row r="211" spans="1:13">
      <c r="A211" t="s">
        <v>459</v>
      </c>
      <c r="B211" t="s">
        <v>460</v>
      </c>
      <c r="C211" t="s">
        <v>24</v>
      </c>
      <c r="D211" t="s">
        <v>34</v>
      </c>
      <c r="E211" t="s">
        <v>35</v>
      </c>
      <c r="F211" t="s">
        <v>53</v>
      </c>
      <c r="G211" t="s">
        <v>19</v>
      </c>
      <c r="H211" t="s">
        <v>29</v>
      </c>
      <c r="I211">
        <v>3987</v>
      </c>
      <c r="J211">
        <v>1</v>
      </c>
      <c r="K211">
        <v>4.9000000000000004</v>
      </c>
      <c r="L211">
        <v>5</v>
      </c>
      <c r="M211" t="s">
        <v>80</v>
      </c>
    </row>
    <row r="212" spans="1:13">
      <c r="A212" t="s">
        <v>461</v>
      </c>
      <c r="B212" t="s">
        <v>462</v>
      </c>
      <c r="C212" t="s">
        <v>146</v>
      </c>
      <c r="D212" t="s">
        <v>16</v>
      </c>
      <c r="E212" t="s">
        <v>17</v>
      </c>
      <c r="F212" t="s">
        <v>100</v>
      </c>
      <c r="G212" t="s">
        <v>104</v>
      </c>
      <c r="H212" t="s">
        <v>36</v>
      </c>
      <c r="I212">
        <v>5999</v>
      </c>
      <c r="J212">
        <v>7</v>
      </c>
      <c r="K212">
        <v>4.3</v>
      </c>
      <c r="L212">
        <v>8</v>
      </c>
      <c r="M212" t="s">
        <v>126</v>
      </c>
    </row>
    <row r="213" spans="1:13">
      <c r="A213" t="s">
        <v>463</v>
      </c>
      <c r="B213" t="s">
        <v>334</v>
      </c>
      <c r="C213" t="s">
        <v>33</v>
      </c>
      <c r="D213" t="s">
        <v>159</v>
      </c>
      <c r="E213" t="s">
        <v>42</v>
      </c>
      <c r="F213" t="s">
        <v>18</v>
      </c>
      <c r="G213" t="s">
        <v>19</v>
      </c>
      <c r="H213" t="s">
        <v>36</v>
      </c>
      <c r="I213">
        <v>4932</v>
      </c>
      <c r="J213">
        <v>3</v>
      </c>
      <c r="K213">
        <v>4.5</v>
      </c>
      <c r="L213">
        <v>1</v>
      </c>
      <c r="M213" t="s">
        <v>55</v>
      </c>
    </row>
    <row r="214" spans="1:13">
      <c r="A214" t="s">
        <v>464</v>
      </c>
      <c r="B214" t="s">
        <v>352</v>
      </c>
      <c r="C214" t="s">
        <v>170</v>
      </c>
      <c r="D214" t="s">
        <v>46</v>
      </c>
      <c r="E214" t="s">
        <v>42</v>
      </c>
      <c r="F214" t="s">
        <v>53</v>
      </c>
      <c r="G214" t="s">
        <v>54</v>
      </c>
      <c r="H214" t="s">
        <v>29</v>
      </c>
      <c r="I214">
        <v>12405</v>
      </c>
      <c r="J214">
        <v>3</v>
      </c>
      <c r="K214">
        <v>3.8</v>
      </c>
      <c r="L214">
        <v>7</v>
      </c>
      <c r="M214" t="s">
        <v>55</v>
      </c>
    </row>
    <row r="215" spans="1:13">
      <c r="A215" t="s">
        <v>465</v>
      </c>
      <c r="B215" t="s">
        <v>393</v>
      </c>
      <c r="C215" t="s">
        <v>170</v>
      </c>
      <c r="D215" t="s">
        <v>16</v>
      </c>
      <c r="E215" t="s">
        <v>17</v>
      </c>
      <c r="F215" t="s">
        <v>18</v>
      </c>
      <c r="G215" t="s">
        <v>28</v>
      </c>
      <c r="H215" t="s">
        <v>36</v>
      </c>
      <c r="I215">
        <v>5424</v>
      </c>
      <c r="J215">
        <v>4</v>
      </c>
      <c r="K215">
        <v>4.8</v>
      </c>
      <c r="L215">
        <v>5</v>
      </c>
      <c r="M215" t="s">
        <v>37</v>
      </c>
    </row>
    <row r="216" spans="1:13">
      <c r="A216" t="s">
        <v>466</v>
      </c>
      <c r="B216" t="s">
        <v>402</v>
      </c>
      <c r="C216" t="s">
        <v>78</v>
      </c>
      <c r="D216" t="s">
        <v>34</v>
      </c>
      <c r="E216" t="s">
        <v>35</v>
      </c>
      <c r="F216" t="s">
        <v>83</v>
      </c>
      <c r="G216" t="s">
        <v>19</v>
      </c>
      <c r="H216" t="s">
        <v>36</v>
      </c>
      <c r="I216">
        <v>316535</v>
      </c>
      <c r="J216">
        <v>5</v>
      </c>
      <c r="K216">
        <v>4.9000000000000004</v>
      </c>
      <c r="L216">
        <v>4</v>
      </c>
      <c r="M216" t="s">
        <v>21</v>
      </c>
    </row>
    <row r="217" spans="1:13">
      <c r="A217" t="s">
        <v>467</v>
      </c>
      <c r="B217" t="s">
        <v>468</v>
      </c>
      <c r="C217" t="s">
        <v>68</v>
      </c>
      <c r="D217" t="s">
        <v>41</v>
      </c>
      <c r="E217" t="s">
        <v>42</v>
      </c>
      <c r="F217" t="s">
        <v>83</v>
      </c>
      <c r="G217" t="s">
        <v>19</v>
      </c>
      <c r="H217" t="s">
        <v>64</v>
      </c>
      <c r="I217">
        <v>4266</v>
      </c>
      <c r="J217">
        <v>6</v>
      </c>
      <c r="K217">
        <v>3.9</v>
      </c>
      <c r="L217">
        <v>5</v>
      </c>
      <c r="M217" t="s">
        <v>37</v>
      </c>
    </row>
    <row r="218" spans="1:13">
      <c r="A218" t="s">
        <v>469</v>
      </c>
      <c r="B218" t="s">
        <v>470</v>
      </c>
      <c r="C218" t="s">
        <v>146</v>
      </c>
      <c r="D218" t="s">
        <v>41</v>
      </c>
      <c r="E218" t="s">
        <v>42</v>
      </c>
      <c r="F218" t="s">
        <v>27</v>
      </c>
      <c r="G218" t="s">
        <v>54</v>
      </c>
      <c r="H218" t="s">
        <v>36</v>
      </c>
      <c r="I218">
        <v>24785</v>
      </c>
      <c r="J218">
        <v>5</v>
      </c>
      <c r="K218">
        <v>4.5</v>
      </c>
      <c r="L218">
        <v>6</v>
      </c>
      <c r="M218" t="s">
        <v>80</v>
      </c>
    </row>
    <row r="219" spans="1:13">
      <c r="A219" t="s">
        <v>471</v>
      </c>
      <c r="B219" t="s">
        <v>472</v>
      </c>
      <c r="C219" t="s">
        <v>50</v>
      </c>
      <c r="D219" t="s">
        <v>79</v>
      </c>
      <c r="E219" t="s">
        <v>26</v>
      </c>
      <c r="F219" t="s">
        <v>27</v>
      </c>
      <c r="G219" t="s">
        <v>104</v>
      </c>
      <c r="H219" t="s">
        <v>29</v>
      </c>
      <c r="I219">
        <v>32753</v>
      </c>
      <c r="J219">
        <v>7</v>
      </c>
      <c r="K219">
        <v>3.7</v>
      </c>
      <c r="L219">
        <v>6</v>
      </c>
      <c r="M219" t="s">
        <v>192</v>
      </c>
    </row>
    <row r="220" spans="1:13">
      <c r="A220" t="s">
        <v>473</v>
      </c>
      <c r="B220" t="s">
        <v>468</v>
      </c>
      <c r="C220" t="s">
        <v>146</v>
      </c>
      <c r="D220" t="s">
        <v>46</v>
      </c>
      <c r="E220" t="s">
        <v>42</v>
      </c>
      <c r="F220" t="s">
        <v>53</v>
      </c>
      <c r="G220" t="s">
        <v>28</v>
      </c>
      <c r="H220" t="s">
        <v>36</v>
      </c>
      <c r="I220">
        <v>3184</v>
      </c>
      <c r="J220">
        <v>2</v>
      </c>
      <c r="K220">
        <v>3.4</v>
      </c>
      <c r="L220">
        <v>8</v>
      </c>
      <c r="M220" t="s">
        <v>37</v>
      </c>
    </row>
    <row r="221" spans="1:13">
      <c r="A221" t="s">
        <v>474</v>
      </c>
      <c r="B221" t="s">
        <v>475</v>
      </c>
      <c r="C221" t="s">
        <v>45</v>
      </c>
      <c r="D221" t="s">
        <v>59</v>
      </c>
      <c r="E221" t="s">
        <v>26</v>
      </c>
      <c r="F221" t="s">
        <v>18</v>
      </c>
      <c r="G221" t="s">
        <v>19</v>
      </c>
      <c r="H221" t="s">
        <v>29</v>
      </c>
      <c r="I221">
        <v>18248</v>
      </c>
      <c r="J221">
        <v>8</v>
      </c>
      <c r="K221">
        <v>3.5</v>
      </c>
      <c r="L221">
        <v>5</v>
      </c>
      <c r="M221" t="s">
        <v>37</v>
      </c>
    </row>
    <row r="222" spans="1:13">
      <c r="A222" t="s">
        <v>476</v>
      </c>
      <c r="B222" t="s">
        <v>477</v>
      </c>
      <c r="C222" t="s">
        <v>15</v>
      </c>
      <c r="D222" t="s">
        <v>147</v>
      </c>
      <c r="E222" t="s">
        <v>52</v>
      </c>
      <c r="F222" t="s">
        <v>60</v>
      </c>
      <c r="G222" t="s">
        <v>28</v>
      </c>
      <c r="H222" t="s">
        <v>20</v>
      </c>
      <c r="I222">
        <v>7492</v>
      </c>
      <c r="J222">
        <v>4</v>
      </c>
      <c r="K222">
        <v>3.7</v>
      </c>
      <c r="L222">
        <v>3</v>
      </c>
      <c r="M222" t="s">
        <v>119</v>
      </c>
    </row>
    <row r="223" spans="1:13">
      <c r="A223" t="s">
        <v>478</v>
      </c>
      <c r="B223" t="s">
        <v>183</v>
      </c>
      <c r="C223" t="s">
        <v>129</v>
      </c>
      <c r="D223" t="s">
        <v>116</v>
      </c>
      <c r="E223" t="s">
        <v>17</v>
      </c>
      <c r="F223" t="s">
        <v>27</v>
      </c>
      <c r="G223" t="s">
        <v>54</v>
      </c>
      <c r="H223" t="s">
        <v>29</v>
      </c>
      <c r="I223">
        <v>1644</v>
      </c>
      <c r="J223">
        <v>3</v>
      </c>
      <c r="K223">
        <v>3.6</v>
      </c>
      <c r="L223">
        <v>7</v>
      </c>
      <c r="M223" t="s">
        <v>87</v>
      </c>
    </row>
    <row r="224" spans="1:13">
      <c r="A224" t="s">
        <v>479</v>
      </c>
      <c r="B224" t="s">
        <v>480</v>
      </c>
      <c r="C224" t="s">
        <v>33</v>
      </c>
      <c r="D224" t="s">
        <v>16</v>
      </c>
      <c r="E224" t="s">
        <v>17</v>
      </c>
      <c r="F224" t="s">
        <v>83</v>
      </c>
      <c r="G224" t="s">
        <v>28</v>
      </c>
      <c r="H224" t="s">
        <v>64</v>
      </c>
      <c r="I224">
        <v>6488</v>
      </c>
      <c r="J224">
        <v>4</v>
      </c>
      <c r="K224">
        <v>3.4</v>
      </c>
      <c r="L224">
        <v>8</v>
      </c>
      <c r="M224" t="s">
        <v>87</v>
      </c>
    </row>
    <row r="225" spans="1:13">
      <c r="A225" t="s">
        <v>481</v>
      </c>
      <c r="B225" t="s">
        <v>482</v>
      </c>
      <c r="C225" t="s">
        <v>33</v>
      </c>
      <c r="D225" t="s">
        <v>41</v>
      </c>
      <c r="E225" t="s">
        <v>42</v>
      </c>
      <c r="F225" t="s">
        <v>100</v>
      </c>
      <c r="G225" t="s">
        <v>19</v>
      </c>
      <c r="H225" t="s">
        <v>29</v>
      </c>
      <c r="I225">
        <v>15631</v>
      </c>
      <c r="J225">
        <v>7</v>
      </c>
      <c r="K225">
        <v>3.7</v>
      </c>
      <c r="L225">
        <v>3</v>
      </c>
      <c r="M225" t="s">
        <v>55</v>
      </c>
    </row>
    <row r="226" spans="1:13">
      <c r="A226" t="s">
        <v>483</v>
      </c>
      <c r="B226" t="s">
        <v>344</v>
      </c>
      <c r="C226" t="s">
        <v>78</v>
      </c>
      <c r="D226" t="s">
        <v>90</v>
      </c>
      <c r="E226" t="s">
        <v>42</v>
      </c>
      <c r="F226" t="s">
        <v>18</v>
      </c>
      <c r="G226" t="s">
        <v>28</v>
      </c>
      <c r="H226" t="s">
        <v>29</v>
      </c>
      <c r="I226">
        <v>30696</v>
      </c>
      <c r="J226">
        <v>8</v>
      </c>
      <c r="K226">
        <v>4</v>
      </c>
      <c r="L226">
        <v>4</v>
      </c>
      <c r="M226" t="s">
        <v>30</v>
      </c>
    </row>
    <row r="227" spans="1:13">
      <c r="A227" t="s">
        <v>484</v>
      </c>
      <c r="B227" t="s">
        <v>485</v>
      </c>
      <c r="C227" t="s">
        <v>103</v>
      </c>
      <c r="D227" t="s">
        <v>90</v>
      </c>
      <c r="E227" t="s">
        <v>42</v>
      </c>
      <c r="F227" t="s">
        <v>18</v>
      </c>
      <c r="G227" t="s">
        <v>28</v>
      </c>
      <c r="H227" t="s">
        <v>29</v>
      </c>
      <c r="I227">
        <v>5478</v>
      </c>
      <c r="J227">
        <v>6</v>
      </c>
      <c r="K227">
        <v>4.3</v>
      </c>
      <c r="L227">
        <v>1</v>
      </c>
      <c r="M227" t="s">
        <v>126</v>
      </c>
    </row>
    <row r="228" spans="1:13">
      <c r="A228" t="s">
        <v>486</v>
      </c>
      <c r="B228" t="s">
        <v>487</v>
      </c>
      <c r="C228" t="s">
        <v>58</v>
      </c>
      <c r="D228" t="s">
        <v>79</v>
      </c>
      <c r="E228" t="s">
        <v>26</v>
      </c>
      <c r="F228" t="s">
        <v>60</v>
      </c>
      <c r="G228" t="s">
        <v>104</v>
      </c>
      <c r="H228" t="s">
        <v>20</v>
      </c>
      <c r="I228">
        <v>3432</v>
      </c>
      <c r="J228">
        <v>2</v>
      </c>
      <c r="K228">
        <v>4.5999999999999996</v>
      </c>
      <c r="L228">
        <v>4</v>
      </c>
      <c r="M228" t="s">
        <v>80</v>
      </c>
    </row>
    <row r="229" spans="1:13">
      <c r="A229" t="s">
        <v>488</v>
      </c>
      <c r="B229" t="s">
        <v>489</v>
      </c>
      <c r="C229" t="s">
        <v>58</v>
      </c>
      <c r="D229" t="s">
        <v>63</v>
      </c>
      <c r="E229" t="s">
        <v>52</v>
      </c>
      <c r="F229" t="s">
        <v>83</v>
      </c>
      <c r="G229" t="s">
        <v>28</v>
      </c>
      <c r="H229" t="s">
        <v>29</v>
      </c>
      <c r="I229">
        <v>10314</v>
      </c>
      <c r="J229">
        <v>6</v>
      </c>
      <c r="K229">
        <v>4.9000000000000004</v>
      </c>
      <c r="L229">
        <v>3</v>
      </c>
      <c r="M229" t="s">
        <v>30</v>
      </c>
    </row>
    <row r="230" spans="1:13">
      <c r="A230" t="s">
        <v>490</v>
      </c>
      <c r="B230" t="s">
        <v>491</v>
      </c>
      <c r="C230" t="s">
        <v>170</v>
      </c>
      <c r="D230" t="s">
        <v>51</v>
      </c>
      <c r="E230" t="s">
        <v>52</v>
      </c>
      <c r="F230" t="s">
        <v>100</v>
      </c>
      <c r="G230" t="s">
        <v>19</v>
      </c>
      <c r="H230" t="s">
        <v>20</v>
      </c>
      <c r="I230">
        <v>2404</v>
      </c>
      <c r="J230">
        <v>2</v>
      </c>
      <c r="K230">
        <v>4.0999999999999996</v>
      </c>
      <c r="L230">
        <v>1</v>
      </c>
      <c r="M230" t="s">
        <v>144</v>
      </c>
    </row>
    <row r="231" spans="1:13">
      <c r="A231" t="s">
        <v>492</v>
      </c>
      <c r="B231" t="s">
        <v>493</v>
      </c>
      <c r="C231" t="s">
        <v>75</v>
      </c>
      <c r="D231" t="s">
        <v>34</v>
      </c>
      <c r="E231" t="s">
        <v>35</v>
      </c>
      <c r="F231" t="s">
        <v>53</v>
      </c>
      <c r="G231" t="s">
        <v>28</v>
      </c>
      <c r="H231" t="s">
        <v>36</v>
      </c>
      <c r="I231">
        <v>79388</v>
      </c>
      <c r="J231">
        <v>1</v>
      </c>
      <c r="K231">
        <v>4.7</v>
      </c>
      <c r="L231">
        <v>6</v>
      </c>
      <c r="M231" t="s">
        <v>126</v>
      </c>
    </row>
    <row r="232" spans="1:13">
      <c r="A232" t="s">
        <v>494</v>
      </c>
      <c r="B232" t="s">
        <v>493</v>
      </c>
      <c r="C232" t="s">
        <v>122</v>
      </c>
      <c r="D232" t="s">
        <v>130</v>
      </c>
      <c r="E232" t="s">
        <v>35</v>
      </c>
      <c r="F232" t="s">
        <v>27</v>
      </c>
      <c r="G232" t="s">
        <v>19</v>
      </c>
      <c r="H232" t="s">
        <v>64</v>
      </c>
      <c r="I232">
        <v>199074</v>
      </c>
      <c r="J232">
        <v>3</v>
      </c>
      <c r="K232">
        <v>4.5</v>
      </c>
      <c r="L232">
        <v>6</v>
      </c>
      <c r="M232" t="s">
        <v>126</v>
      </c>
    </row>
    <row r="233" spans="1:13">
      <c r="A233" t="s">
        <v>495</v>
      </c>
      <c r="B233" t="s">
        <v>77</v>
      </c>
      <c r="C233" t="s">
        <v>45</v>
      </c>
      <c r="D233" t="s">
        <v>130</v>
      </c>
      <c r="E233" t="s">
        <v>35</v>
      </c>
      <c r="F233" t="s">
        <v>83</v>
      </c>
      <c r="G233" t="s">
        <v>54</v>
      </c>
      <c r="H233" t="s">
        <v>64</v>
      </c>
      <c r="I233">
        <v>232746</v>
      </c>
      <c r="J233">
        <v>3</v>
      </c>
      <c r="K233">
        <v>3.3</v>
      </c>
      <c r="L233">
        <v>6</v>
      </c>
      <c r="M233" t="s">
        <v>80</v>
      </c>
    </row>
    <row r="234" spans="1:13">
      <c r="A234" t="s">
        <v>496</v>
      </c>
      <c r="B234" t="s">
        <v>263</v>
      </c>
      <c r="C234" t="s">
        <v>146</v>
      </c>
      <c r="D234" t="s">
        <v>109</v>
      </c>
      <c r="E234" t="s">
        <v>52</v>
      </c>
      <c r="F234" t="s">
        <v>18</v>
      </c>
      <c r="G234" t="s">
        <v>104</v>
      </c>
      <c r="H234" t="s">
        <v>20</v>
      </c>
      <c r="I234">
        <v>6232</v>
      </c>
      <c r="J234">
        <v>4</v>
      </c>
      <c r="K234">
        <v>4.7</v>
      </c>
      <c r="L234">
        <v>6</v>
      </c>
      <c r="M234" t="s">
        <v>87</v>
      </c>
    </row>
    <row r="235" spans="1:13">
      <c r="A235" t="s">
        <v>497</v>
      </c>
      <c r="B235" t="s">
        <v>450</v>
      </c>
      <c r="C235" t="s">
        <v>133</v>
      </c>
      <c r="D235" t="s">
        <v>147</v>
      </c>
      <c r="E235" t="s">
        <v>52</v>
      </c>
      <c r="F235" t="s">
        <v>60</v>
      </c>
      <c r="G235" t="s">
        <v>28</v>
      </c>
      <c r="H235" t="s">
        <v>29</v>
      </c>
      <c r="I235">
        <v>1275</v>
      </c>
      <c r="J235">
        <v>5</v>
      </c>
      <c r="K235">
        <v>4.5</v>
      </c>
      <c r="L235">
        <v>3</v>
      </c>
      <c r="M235" t="s">
        <v>126</v>
      </c>
    </row>
    <row r="236" spans="1:13">
      <c r="A236" t="s">
        <v>498</v>
      </c>
      <c r="B236" t="s">
        <v>181</v>
      </c>
      <c r="C236" t="s">
        <v>40</v>
      </c>
      <c r="D236" t="s">
        <v>69</v>
      </c>
      <c r="E236" t="s">
        <v>26</v>
      </c>
      <c r="F236" t="s">
        <v>18</v>
      </c>
      <c r="G236" t="s">
        <v>104</v>
      </c>
      <c r="H236" t="s">
        <v>29</v>
      </c>
      <c r="I236">
        <v>16056</v>
      </c>
      <c r="J236">
        <v>8</v>
      </c>
      <c r="K236">
        <v>4.5999999999999996</v>
      </c>
      <c r="L236">
        <v>1</v>
      </c>
      <c r="M236" t="s">
        <v>87</v>
      </c>
    </row>
    <row r="237" spans="1:13">
      <c r="A237" t="s">
        <v>499</v>
      </c>
      <c r="B237" t="s">
        <v>420</v>
      </c>
      <c r="C237" t="s">
        <v>15</v>
      </c>
      <c r="D237" t="s">
        <v>16</v>
      </c>
      <c r="E237" t="s">
        <v>17</v>
      </c>
      <c r="F237" t="s">
        <v>60</v>
      </c>
      <c r="G237" t="s">
        <v>19</v>
      </c>
      <c r="H237" t="s">
        <v>64</v>
      </c>
      <c r="I237">
        <v>3204</v>
      </c>
      <c r="J237">
        <v>3</v>
      </c>
      <c r="K237">
        <v>3.8</v>
      </c>
      <c r="L237">
        <v>8</v>
      </c>
      <c r="M237" t="s">
        <v>126</v>
      </c>
    </row>
    <row r="238" spans="1:13">
      <c r="A238" t="s">
        <v>500</v>
      </c>
      <c r="B238" t="s">
        <v>181</v>
      </c>
      <c r="C238" t="s">
        <v>40</v>
      </c>
      <c r="D238" t="s">
        <v>147</v>
      </c>
      <c r="E238" t="s">
        <v>52</v>
      </c>
      <c r="F238" t="s">
        <v>83</v>
      </c>
      <c r="G238" t="s">
        <v>54</v>
      </c>
      <c r="H238" t="s">
        <v>36</v>
      </c>
      <c r="I238">
        <v>6168</v>
      </c>
      <c r="J238">
        <v>6</v>
      </c>
      <c r="K238">
        <v>3.7</v>
      </c>
      <c r="L238">
        <v>5</v>
      </c>
      <c r="M238" t="s">
        <v>87</v>
      </c>
    </row>
    <row r="239" spans="1:13">
      <c r="A239" t="s">
        <v>501</v>
      </c>
      <c r="B239" t="s">
        <v>356</v>
      </c>
      <c r="C239" t="s">
        <v>179</v>
      </c>
      <c r="D239" t="s">
        <v>90</v>
      </c>
      <c r="E239" t="s">
        <v>42</v>
      </c>
      <c r="F239" t="s">
        <v>18</v>
      </c>
      <c r="G239" t="s">
        <v>54</v>
      </c>
      <c r="H239" t="s">
        <v>20</v>
      </c>
      <c r="I239">
        <v>1417</v>
      </c>
      <c r="J239">
        <v>1</v>
      </c>
      <c r="K239">
        <v>4.7</v>
      </c>
      <c r="L239">
        <v>8</v>
      </c>
      <c r="M239" t="s">
        <v>80</v>
      </c>
    </row>
    <row r="240" spans="1:13">
      <c r="A240" t="s">
        <v>502</v>
      </c>
      <c r="B240" t="s">
        <v>503</v>
      </c>
      <c r="C240" t="s">
        <v>75</v>
      </c>
      <c r="D240" t="s">
        <v>109</v>
      </c>
      <c r="E240" t="s">
        <v>52</v>
      </c>
      <c r="F240" t="s">
        <v>27</v>
      </c>
      <c r="G240" t="s">
        <v>28</v>
      </c>
      <c r="H240" t="s">
        <v>20</v>
      </c>
      <c r="I240">
        <v>12104</v>
      </c>
      <c r="J240">
        <v>8</v>
      </c>
      <c r="K240">
        <v>4.8</v>
      </c>
      <c r="L240">
        <v>5</v>
      </c>
      <c r="M240" t="s">
        <v>87</v>
      </c>
    </row>
    <row r="241" spans="1:13">
      <c r="A241" t="s">
        <v>504</v>
      </c>
      <c r="B241" t="s">
        <v>505</v>
      </c>
      <c r="C241" t="s">
        <v>58</v>
      </c>
      <c r="D241" t="s">
        <v>97</v>
      </c>
      <c r="E241" t="s">
        <v>35</v>
      </c>
      <c r="F241" t="s">
        <v>18</v>
      </c>
      <c r="G241" t="s">
        <v>19</v>
      </c>
      <c r="H241" t="s">
        <v>36</v>
      </c>
      <c r="I241">
        <v>111030</v>
      </c>
      <c r="J241">
        <v>3</v>
      </c>
      <c r="K241">
        <v>3.7</v>
      </c>
      <c r="L241">
        <v>5</v>
      </c>
      <c r="M241" t="s">
        <v>55</v>
      </c>
    </row>
    <row r="242" spans="1:13">
      <c r="A242" t="s">
        <v>506</v>
      </c>
      <c r="B242" t="s">
        <v>507</v>
      </c>
      <c r="C242" t="s">
        <v>78</v>
      </c>
      <c r="D242" t="s">
        <v>218</v>
      </c>
      <c r="E242" t="s">
        <v>17</v>
      </c>
      <c r="F242" t="s">
        <v>27</v>
      </c>
      <c r="G242" t="s">
        <v>28</v>
      </c>
      <c r="H242" t="s">
        <v>20</v>
      </c>
      <c r="I242">
        <v>10549</v>
      </c>
      <c r="J242">
        <v>7</v>
      </c>
      <c r="K242">
        <v>4.7</v>
      </c>
      <c r="L242">
        <v>7</v>
      </c>
      <c r="M242" t="s">
        <v>30</v>
      </c>
    </row>
    <row r="243" spans="1:13">
      <c r="A243" t="s">
        <v>508</v>
      </c>
      <c r="B243" t="s">
        <v>290</v>
      </c>
      <c r="C243" t="s">
        <v>68</v>
      </c>
      <c r="D243" t="s">
        <v>46</v>
      </c>
      <c r="E243" t="s">
        <v>42</v>
      </c>
      <c r="F243" t="s">
        <v>60</v>
      </c>
      <c r="G243" t="s">
        <v>19</v>
      </c>
      <c r="H243" t="s">
        <v>20</v>
      </c>
      <c r="I243">
        <v>37653</v>
      </c>
      <c r="J243">
        <v>7</v>
      </c>
      <c r="K243">
        <v>4.5999999999999996</v>
      </c>
      <c r="L243">
        <v>3</v>
      </c>
      <c r="M243" t="s">
        <v>87</v>
      </c>
    </row>
    <row r="244" spans="1:13">
      <c r="A244" t="s">
        <v>509</v>
      </c>
      <c r="B244" t="s">
        <v>510</v>
      </c>
      <c r="C244" t="s">
        <v>170</v>
      </c>
      <c r="D244" t="s">
        <v>63</v>
      </c>
      <c r="E244" t="s">
        <v>52</v>
      </c>
      <c r="F244" t="s">
        <v>27</v>
      </c>
      <c r="G244" t="s">
        <v>54</v>
      </c>
      <c r="H244" t="s">
        <v>36</v>
      </c>
      <c r="I244">
        <v>570</v>
      </c>
      <c r="J244">
        <v>1</v>
      </c>
      <c r="K244">
        <v>3.5</v>
      </c>
      <c r="L244">
        <v>5</v>
      </c>
      <c r="M244" t="s">
        <v>80</v>
      </c>
    </row>
    <row r="245" spans="1:13">
      <c r="A245" t="s">
        <v>511</v>
      </c>
      <c r="B245" t="s">
        <v>39</v>
      </c>
      <c r="C245" t="s">
        <v>68</v>
      </c>
      <c r="D245" t="s">
        <v>90</v>
      </c>
      <c r="E245" t="s">
        <v>42</v>
      </c>
      <c r="F245" t="s">
        <v>60</v>
      </c>
      <c r="G245" t="s">
        <v>19</v>
      </c>
      <c r="H245" t="s">
        <v>20</v>
      </c>
      <c r="I245">
        <v>4806</v>
      </c>
      <c r="J245">
        <v>6</v>
      </c>
      <c r="K245">
        <v>4.3</v>
      </c>
      <c r="L245">
        <v>7</v>
      </c>
      <c r="M245" t="s">
        <v>30</v>
      </c>
    </row>
    <row r="246" spans="1:13">
      <c r="A246" t="s">
        <v>512</v>
      </c>
      <c r="B246" t="s">
        <v>111</v>
      </c>
      <c r="C246" t="s">
        <v>58</v>
      </c>
      <c r="D246" t="s">
        <v>25</v>
      </c>
      <c r="E246" t="s">
        <v>26</v>
      </c>
      <c r="F246" t="s">
        <v>100</v>
      </c>
      <c r="G246" t="s">
        <v>28</v>
      </c>
      <c r="H246" t="s">
        <v>36</v>
      </c>
      <c r="I246">
        <v>10254</v>
      </c>
      <c r="J246">
        <v>2</v>
      </c>
      <c r="K246">
        <v>3.9</v>
      </c>
      <c r="L246">
        <v>8</v>
      </c>
      <c r="M246" t="s">
        <v>87</v>
      </c>
    </row>
    <row r="247" spans="1:13">
      <c r="A247" t="s">
        <v>513</v>
      </c>
      <c r="B247" t="s">
        <v>514</v>
      </c>
      <c r="C247" t="s">
        <v>125</v>
      </c>
      <c r="D247" t="s">
        <v>109</v>
      </c>
      <c r="E247" t="s">
        <v>52</v>
      </c>
      <c r="F247" t="s">
        <v>53</v>
      </c>
      <c r="G247" t="s">
        <v>104</v>
      </c>
      <c r="H247" t="s">
        <v>36</v>
      </c>
      <c r="I247">
        <v>5685</v>
      </c>
      <c r="J247">
        <v>3</v>
      </c>
      <c r="K247">
        <v>4.4000000000000004</v>
      </c>
      <c r="L247">
        <v>1</v>
      </c>
      <c r="M247" t="s">
        <v>55</v>
      </c>
    </row>
    <row r="248" spans="1:13">
      <c r="A248" t="s">
        <v>515</v>
      </c>
      <c r="B248" t="s">
        <v>516</v>
      </c>
      <c r="C248" t="s">
        <v>170</v>
      </c>
      <c r="D248" t="s">
        <v>130</v>
      </c>
      <c r="E248" t="s">
        <v>35</v>
      </c>
      <c r="F248" t="s">
        <v>53</v>
      </c>
      <c r="G248" t="s">
        <v>28</v>
      </c>
      <c r="H248" t="s">
        <v>36</v>
      </c>
      <c r="I248">
        <v>161890</v>
      </c>
      <c r="J248">
        <v>5</v>
      </c>
      <c r="K248">
        <v>5</v>
      </c>
      <c r="L248">
        <v>8</v>
      </c>
      <c r="M248" t="s">
        <v>126</v>
      </c>
    </row>
    <row r="249" spans="1:13">
      <c r="A249" t="s">
        <v>517</v>
      </c>
      <c r="B249" t="s">
        <v>57</v>
      </c>
      <c r="C249" t="s">
        <v>40</v>
      </c>
      <c r="D249" t="s">
        <v>51</v>
      </c>
      <c r="E249" t="s">
        <v>52</v>
      </c>
      <c r="F249" t="s">
        <v>27</v>
      </c>
      <c r="G249" t="s">
        <v>28</v>
      </c>
      <c r="H249" t="s">
        <v>20</v>
      </c>
      <c r="I249">
        <v>16555</v>
      </c>
      <c r="J249">
        <v>7</v>
      </c>
      <c r="K249">
        <v>4.5999999999999996</v>
      </c>
      <c r="L249">
        <v>2</v>
      </c>
      <c r="M249" t="s">
        <v>37</v>
      </c>
    </row>
    <row r="250" spans="1:13">
      <c r="A250" t="s">
        <v>518</v>
      </c>
      <c r="B250" t="s">
        <v>519</v>
      </c>
      <c r="C250" t="s">
        <v>179</v>
      </c>
      <c r="D250" t="s">
        <v>25</v>
      </c>
      <c r="E250" t="s">
        <v>26</v>
      </c>
      <c r="F250" t="s">
        <v>53</v>
      </c>
      <c r="G250" t="s">
        <v>104</v>
      </c>
      <c r="H250" t="s">
        <v>64</v>
      </c>
      <c r="I250">
        <v>33112</v>
      </c>
      <c r="J250">
        <v>4</v>
      </c>
      <c r="K250">
        <v>3.3</v>
      </c>
      <c r="L250">
        <v>6</v>
      </c>
      <c r="M250" t="s">
        <v>80</v>
      </c>
    </row>
    <row r="251" spans="1:13">
      <c r="A251" t="s">
        <v>520</v>
      </c>
      <c r="B251" t="s">
        <v>521</v>
      </c>
      <c r="C251" t="s">
        <v>125</v>
      </c>
      <c r="D251" t="s">
        <v>69</v>
      </c>
      <c r="E251" t="s">
        <v>26</v>
      </c>
      <c r="F251" t="s">
        <v>100</v>
      </c>
      <c r="G251" t="s">
        <v>104</v>
      </c>
      <c r="H251" t="s">
        <v>29</v>
      </c>
      <c r="I251">
        <v>17616</v>
      </c>
      <c r="J251">
        <v>2</v>
      </c>
      <c r="K251">
        <v>4.3</v>
      </c>
      <c r="L251">
        <v>3</v>
      </c>
      <c r="M251" t="s">
        <v>192</v>
      </c>
    </row>
    <row r="252" spans="1:13">
      <c r="A252" t="s">
        <v>522</v>
      </c>
      <c r="B252" t="s">
        <v>523</v>
      </c>
      <c r="C252" t="s">
        <v>122</v>
      </c>
      <c r="D252" t="s">
        <v>109</v>
      </c>
      <c r="E252" t="s">
        <v>52</v>
      </c>
      <c r="F252" t="s">
        <v>27</v>
      </c>
      <c r="G252" t="s">
        <v>19</v>
      </c>
      <c r="H252" t="s">
        <v>20</v>
      </c>
      <c r="I252">
        <v>724</v>
      </c>
      <c r="J252">
        <v>2</v>
      </c>
      <c r="K252">
        <v>4.7</v>
      </c>
      <c r="L252">
        <v>4</v>
      </c>
      <c r="M252" t="s">
        <v>119</v>
      </c>
    </row>
    <row r="253" spans="1:13">
      <c r="A253" t="s">
        <v>524</v>
      </c>
      <c r="B253" t="s">
        <v>525</v>
      </c>
      <c r="C253" t="s">
        <v>122</v>
      </c>
      <c r="D253" t="s">
        <v>97</v>
      </c>
      <c r="E253" t="s">
        <v>35</v>
      </c>
      <c r="F253" t="s">
        <v>53</v>
      </c>
      <c r="G253" t="s">
        <v>104</v>
      </c>
      <c r="H253" t="s">
        <v>29</v>
      </c>
      <c r="I253">
        <v>64640</v>
      </c>
      <c r="J253">
        <v>1</v>
      </c>
      <c r="K253">
        <v>3.5</v>
      </c>
      <c r="L253">
        <v>1</v>
      </c>
      <c r="M253" t="s">
        <v>65</v>
      </c>
    </row>
    <row r="254" spans="1:13">
      <c r="A254" t="s">
        <v>526</v>
      </c>
      <c r="B254" t="s">
        <v>527</v>
      </c>
      <c r="C254" t="s">
        <v>58</v>
      </c>
      <c r="D254" t="s">
        <v>90</v>
      </c>
      <c r="E254" t="s">
        <v>42</v>
      </c>
      <c r="F254" t="s">
        <v>18</v>
      </c>
      <c r="G254" t="s">
        <v>54</v>
      </c>
      <c r="H254" t="s">
        <v>29</v>
      </c>
      <c r="I254">
        <v>25400</v>
      </c>
      <c r="J254">
        <v>8</v>
      </c>
      <c r="K254">
        <v>4.0999999999999996</v>
      </c>
      <c r="L254">
        <v>7</v>
      </c>
      <c r="M254" t="s">
        <v>126</v>
      </c>
    </row>
    <row r="255" spans="1:13">
      <c r="A255" t="s">
        <v>528</v>
      </c>
      <c r="B255" t="s">
        <v>187</v>
      </c>
      <c r="C255" t="s">
        <v>103</v>
      </c>
      <c r="D255" t="s">
        <v>59</v>
      </c>
      <c r="E255" t="s">
        <v>26</v>
      </c>
      <c r="F255" t="s">
        <v>27</v>
      </c>
      <c r="G255" t="s">
        <v>104</v>
      </c>
      <c r="H255" t="s">
        <v>20</v>
      </c>
      <c r="I255">
        <v>22590</v>
      </c>
      <c r="J255">
        <v>2</v>
      </c>
      <c r="K255">
        <v>3.8</v>
      </c>
      <c r="L255">
        <v>5</v>
      </c>
      <c r="M255" t="s">
        <v>126</v>
      </c>
    </row>
    <row r="256" spans="1:13">
      <c r="A256" t="s">
        <v>529</v>
      </c>
      <c r="B256" t="s">
        <v>530</v>
      </c>
      <c r="C256" t="s">
        <v>103</v>
      </c>
      <c r="D256" t="s">
        <v>63</v>
      </c>
      <c r="E256" t="s">
        <v>52</v>
      </c>
      <c r="F256" t="s">
        <v>60</v>
      </c>
      <c r="G256" t="s">
        <v>28</v>
      </c>
      <c r="H256" t="s">
        <v>64</v>
      </c>
      <c r="I256">
        <v>10913</v>
      </c>
      <c r="J256">
        <v>7</v>
      </c>
      <c r="K256">
        <v>4.0999999999999996</v>
      </c>
      <c r="L256">
        <v>5</v>
      </c>
      <c r="M256" t="s">
        <v>144</v>
      </c>
    </row>
    <row r="257" spans="1:13">
      <c r="A257" t="s">
        <v>531</v>
      </c>
      <c r="B257" t="s">
        <v>420</v>
      </c>
      <c r="C257" t="s">
        <v>78</v>
      </c>
      <c r="D257" t="s">
        <v>86</v>
      </c>
      <c r="E257" t="s">
        <v>17</v>
      </c>
      <c r="F257" t="s">
        <v>83</v>
      </c>
      <c r="G257" t="s">
        <v>104</v>
      </c>
      <c r="H257" t="s">
        <v>36</v>
      </c>
      <c r="I257">
        <v>6820</v>
      </c>
      <c r="J257">
        <v>4</v>
      </c>
      <c r="K257">
        <v>3.7</v>
      </c>
      <c r="L257">
        <v>3</v>
      </c>
      <c r="M257" t="s">
        <v>126</v>
      </c>
    </row>
    <row r="258" spans="1:13">
      <c r="A258" t="s">
        <v>532</v>
      </c>
      <c r="B258" t="s">
        <v>533</v>
      </c>
      <c r="C258" t="s">
        <v>133</v>
      </c>
      <c r="D258" t="s">
        <v>159</v>
      </c>
      <c r="E258" t="s">
        <v>42</v>
      </c>
      <c r="F258" t="s">
        <v>53</v>
      </c>
      <c r="G258" t="s">
        <v>104</v>
      </c>
      <c r="H258" t="s">
        <v>29</v>
      </c>
      <c r="I258">
        <v>7560</v>
      </c>
      <c r="J258">
        <v>3</v>
      </c>
      <c r="K258">
        <v>3.6</v>
      </c>
      <c r="L258">
        <v>5</v>
      </c>
      <c r="M258" t="s">
        <v>21</v>
      </c>
    </row>
    <row r="259" spans="1:13">
      <c r="A259" t="s">
        <v>534</v>
      </c>
      <c r="B259" t="s">
        <v>172</v>
      </c>
      <c r="C259" t="s">
        <v>112</v>
      </c>
      <c r="D259" t="s">
        <v>59</v>
      </c>
      <c r="E259" t="s">
        <v>26</v>
      </c>
      <c r="F259" t="s">
        <v>18</v>
      </c>
      <c r="G259" t="s">
        <v>28</v>
      </c>
      <c r="H259" t="s">
        <v>29</v>
      </c>
      <c r="I259">
        <v>21936</v>
      </c>
      <c r="J259">
        <v>2</v>
      </c>
      <c r="K259">
        <v>3.3</v>
      </c>
      <c r="L259">
        <v>4</v>
      </c>
      <c r="M259" t="s">
        <v>47</v>
      </c>
    </row>
    <row r="260" spans="1:13">
      <c r="A260" t="s">
        <v>535</v>
      </c>
      <c r="B260" t="s">
        <v>536</v>
      </c>
      <c r="C260" t="s">
        <v>75</v>
      </c>
      <c r="D260" t="s">
        <v>41</v>
      </c>
      <c r="E260" t="s">
        <v>42</v>
      </c>
      <c r="F260" t="s">
        <v>60</v>
      </c>
      <c r="G260" t="s">
        <v>104</v>
      </c>
      <c r="H260" t="s">
        <v>20</v>
      </c>
      <c r="I260">
        <v>16092</v>
      </c>
      <c r="J260">
        <v>3</v>
      </c>
      <c r="K260">
        <v>3.5</v>
      </c>
      <c r="L260">
        <v>3</v>
      </c>
      <c r="M260" t="s">
        <v>80</v>
      </c>
    </row>
    <row r="261" spans="1:13">
      <c r="A261" t="s">
        <v>537</v>
      </c>
      <c r="B261" t="s">
        <v>538</v>
      </c>
      <c r="C261" t="s">
        <v>72</v>
      </c>
      <c r="D261" t="s">
        <v>113</v>
      </c>
      <c r="E261" t="s">
        <v>35</v>
      </c>
      <c r="F261" t="s">
        <v>100</v>
      </c>
      <c r="G261" t="s">
        <v>28</v>
      </c>
      <c r="H261" t="s">
        <v>64</v>
      </c>
      <c r="I261">
        <v>196792</v>
      </c>
      <c r="J261">
        <v>8</v>
      </c>
      <c r="K261">
        <v>4.0999999999999996</v>
      </c>
      <c r="L261">
        <v>2</v>
      </c>
      <c r="M261" t="s">
        <v>144</v>
      </c>
    </row>
    <row r="262" spans="1:13">
      <c r="A262" t="s">
        <v>539</v>
      </c>
      <c r="B262" t="s">
        <v>446</v>
      </c>
      <c r="C262" t="s">
        <v>112</v>
      </c>
      <c r="D262" t="s">
        <v>90</v>
      </c>
      <c r="E262" t="s">
        <v>42</v>
      </c>
      <c r="F262" t="s">
        <v>83</v>
      </c>
      <c r="G262" t="s">
        <v>54</v>
      </c>
      <c r="H262" t="s">
        <v>36</v>
      </c>
      <c r="I262">
        <v>16331</v>
      </c>
      <c r="J262">
        <v>7</v>
      </c>
      <c r="K262">
        <v>4.9000000000000004</v>
      </c>
      <c r="L262">
        <v>6</v>
      </c>
      <c r="M262" t="s">
        <v>65</v>
      </c>
    </row>
    <row r="263" spans="1:13">
      <c r="A263" t="s">
        <v>540</v>
      </c>
      <c r="B263" t="s">
        <v>199</v>
      </c>
      <c r="C263" t="s">
        <v>75</v>
      </c>
      <c r="D263" t="s">
        <v>63</v>
      </c>
      <c r="E263" t="s">
        <v>52</v>
      </c>
      <c r="F263" t="s">
        <v>18</v>
      </c>
      <c r="G263" t="s">
        <v>104</v>
      </c>
      <c r="H263" t="s">
        <v>29</v>
      </c>
      <c r="I263">
        <v>4668</v>
      </c>
      <c r="J263">
        <v>6</v>
      </c>
      <c r="K263">
        <v>4.3</v>
      </c>
      <c r="L263">
        <v>3</v>
      </c>
      <c r="M263" t="s">
        <v>119</v>
      </c>
    </row>
    <row r="264" spans="1:13">
      <c r="A264" t="s">
        <v>541</v>
      </c>
      <c r="B264" t="s">
        <v>391</v>
      </c>
      <c r="C264" t="s">
        <v>15</v>
      </c>
      <c r="D264" t="s">
        <v>46</v>
      </c>
      <c r="E264" t="s">
        <v>42</v>
      </c>
      <c r="F264" t="s">
        <v>83</v>
      </c>
      <c r="G264" t="s">
        <v>19</v>
      </c>
      <c r="H264" t="s">
        <v>20</v>
      </c>
      <c r="I264">
        <v>6729</v>
      </c>
      <c r="J264">
        <v>3</v>
      </c>
      <c r="K264">
        <v>4.9000000000000004</v>
      </c>
      <c r="L264">
        <v>7</v>
      </c>
      <c r="M264" t="s">
        <v>47</v>
      </c>
    </row>
    <row r="265" spans="1:13">
      <c r="A265" t="s">
        <v>542</v>
      </c>
      <c r="B265" t="s">
        <v>543</v>
      </c>
      <c r="C265" t="s">
        <v>45</v>
      </c>
      <c r="D265" t="s">
        <v>147</v>
      </c>
      <c r="E265" t="s">
        <v>52</v>
      </c>
      <c r="F265" t="s">
        <v>18</v>
      </c>
      <c r="G265" t="s">
        <v>54</v>
      </c>
      <c r="H265" t="s">
        <v>36</v>
      </c>
      <c r="I265">
        <v>5253</v>
      </c>
      <c r="J265">
        <v>3</v>
      </c>
      <c r="K265">
        <v>3.7</v>
      </c>
      <c r="L265">
        <v>1</v>
      </c>
      <c r="M265" t="s">
        <v>30</v>
      </c>
    </row>
    <row r="266" spans="1:13">
      <c r="A266" t="s">
        <v>544</v>
      </c>
      <c r="B266" t="s">
        <v>545</v>
      </c>
      <c r="C266" t="s">
        <v>15</v>
      </c>
      <c r="D266" t="s">
        <v>16</v>
      </c>
      <c r="E266" t="s">
        <v>17</v>
      </c>
      <c r="F266" t="s">
        <v>53</v>
      </c>
      <c r="G266" t="s">
        <v>28</v>
      </c>
      <c r="H266" t="s">
        <v>36</v>
      </c>
      <c r="I266">
        <v>8624</v>
      </c>
      <c r="J266">
        <v>8</v>
      </c>
      <c r="K266">
        <v>4.5</v>
      </c>
      <c r="L266">
        <v>4</v>
      </c>
      <c r="M266" t="s">
        <v>47</v>
      </c>
    </row>
    <row r="267" spans="1:13">
      <c r="A267" t="s">
        <v>546</v>
      </c>
      <c r="B267" t="s">
        <v>547</v>
      </c>
      <c r="C267" t="s">
        <v>125</v>
      </c>
      <c r="D267" t="s">
        <v>59</v>
      </c>
      <c r="E267" t="s">
        <v>26</v>
      </c>
      <c r="F267" t="s">
        <v>83</v>
      </c>
      <c r="G267" t="s">
        <v>19</v>
      </c>
      <c r="H267" t="s">
        <v>29</v>
      </c>
      <c r="I267">
        <v>8184</v>
      </c>
      <c r="J267">
        <v>3</v>
      </c>
      <c r="K267">
        <v>3.7</v>
      </c>
      <c r="L267">
        <v>2</v>
      </c>
      <c r="M267" t="s">
        <v>192</v>
      </c>
    </row>
    <row r="268" spans="1:13">
      <c r="A268" t="s">
        <v>548</v>
      </c>
      <c r="B268" t="s">
        <v>549</v>
      </c>
      <c r="C268" t="s">
        <v>170</v>
      </c>
      <c r="D268" t="s">
        <v>79</v>
      </c>
      <c r="E268" t="s">
        <v>26</v>
      </c>
      <c r="F268" t="s">
        <v>83</v>
      </c>
      <c r="G268" t="s">
        <v>54</v>
      </c>
      <c r="H268" t="s">
        <v>36</v>
      </c>
      <c r="I268">
        <v>62524</v>
      </c>
      <c r="J268">
        <v>7</v>
      </c>
      <c r="K268">
        <v>4.8</v>
      </c>
      <c r="L268">
        <v>8</v>
      </c>
      <c r="M268" t="s">
        <v>55</v>
      </c>
    </row>
    <row r="269" spans="1:13">
      <c r="A269" t="s">
        <v>550</v>
      </c>
      <c r="B269" t="s">
        <v>252</v>
      </c>
      <c r="C269" t="s">
        <v>146</v>
      </c>
      <c r="D269" t="s">
        <v>16</v>
      </c>
      <c r="E269" t="s">
        <v>17</v>
      </c>
      <c r="F269" t="s">
        <v>53</v>
      </c>
      <c r="G269" t="s">
        <v>104</v>
      </c>
      <c r="H269" t="s">
        <v>64</v>
      </c>
      <c r="I269">
        <v>4840</v>
      </c>
      <c r="J269">
        <v>8</v>
      </c>
      <c r="K269">
        <v>4.8</v>
      </c>
      <c r="L269">
        <v>4</v>
      </c>
      <c r="M269" t="s">
        <v>30</v>
      </c>
    </row>
    <row r="270" spans="1:13">
      <c r="A270" t="s">
        <v>551</v>
      </c>
      <c r="B270" t="s">
        <v>350</v>
      </c>
      <c r="C270" t="s">
        <v>15</v>
      </c>
      <c r="D270" t="s">
        <v>16</v>
      </c>
      <c r="E270" t="s">
        <v>17</v>
      </c>
      <c r="F270" t="s">
        <v>83</v>
      </c>
      <c r="G270" t="s">
        <v>19</v>
      </c>
      <c r="H270" t="s">
        <v>29</v>
      </c>
      <c r="I270">
        <v>895</v>
      </c>
      <c r="J270">
        <v>1</v>
      </c>
      <c r="K270">
        <v>3.4</v>
      </c>
      <c r="L270">
        <v>1</v>
      </c>
      <c r="M270" t="s">
        <v>80</v>
      </c>
    </row>
    <row r="271" spans="1:13">
      <c r="A271" t="s">
        <v>552</v>
      </c>
      <c r="B271" t="s">
        <v>547</v>
      </c>
      <c r="C271" t="s">
        <v>103</v>
      </c>
      <c r="D271" t="s">
        <v>97</v>
      </c>
      <c r="E271" t="s">
        <v>35</v>
      </c>
      <c r="F271" t="s">
        <v>60</v>
      </c>
      <c r="G271" t="s">
        <v>28</v>
      </c>
      <c r="H271" t="s">
        <v>64</v>
      </c>
      <c r="I271">
        <v>237105</v>
      </c>
      <c r="J271">
        <v>5</v>
      </c>
      <c r="K271">
        <v>3.9</v>
      </c>
      <c r="L271">
        <v>8</v>
      </c>
      <c r="M271" t="s">
        <v>192</v>
      </c>
    </row>
    <row r="272" spans="1:13">
      <c r="A272" t="s">
        <v>553</v>
      </c>
      <c r="B272" t="s">
        <v>106</v>
      </c>
      <c r="C272" t="s">
        <v>24</v>
      </c>
      <c r="D272" t="s">
        <v>147</v>
      </c>
      <c r="E272" t="s">
        <v>52</v>
      </c>
      <c r="F272" t="s">
        <v>100</v>
      </c>
      <c r="G272" t="s">
        <v>28</v>
      </c>
      <c r="H272" t="s">
        <v>29</v>
      </c>
      <c r="I272">
        <v>674</v>
      </c>
      <c r="J272">
        <v>1</v>
      </c>
      <c r="K272">
        <v>4.5999999999999996</v>
      </c>
      <c r="L272">
        <v>8</v>
      </c>
      <c r="M272" t="s">
        <v>80</v>
      </c>
    </row>
    <row r="273" spans="1:13">
      <c r="A273" t="s">
        <v>554</v>
      </c>
      <c r="B273" t="s">
        <v>555</v>
      </c>
      <c r="C273" t="s">
        <v>170</v>
      </c>
      <c r="D273" t="s">
        <v>25</v>
      </c>
      <c r="E273" t="s">
        <v>26</v>
      </c>
      <c r="F273" t="s">
        <v>18</v>
      </c>
      <c r="G273" t="s">
        <v>19</v>
      </c>
      <c r="H273" t="s">
        <v>29</v>
      </c>
      <c r="I273">
        <v>24060</v>
      </c>
      <c r="J273">
        <v>3</v>
      </c>
      <c r="K273">
        <v>3.3</v>
      </c>
      <c r="L273">
        <v>5</v>
      </c>
      <c r="M273" t="s">
        <v>119</v>
      </c>
    </row>
    <row r="274" spans="1:13">
      <c r="A274" t="s">
        <v>556</v>
      </c>
      <c r="B274" t="s">
        <v>557</v>
      </c>
      <c r="C274" t="s">
        <v>15</v>
      </c>
      <c r="D274" t="s">
        <v>25</v>
      </c>
      <c r="E274" t="s">
        <v>26</v>
      </c>
      <c r="F274" t="s">
        <v>27</v>
      </c>
      <c r="G274" t="s">
        <v>19</v>
      </c>
      <c r="H274" t="s">
        <v>64</v>
      </c>
      <c r="I274">
        <v>39788</v>
      </c>
      <c r="J274">
        <v>4</v>
      </c>
      <c r="K274">
        <v>4.8</v>
      </c>
      <c r="L274">
        <v>1</v>
      </c>
      <c r="M274" t="s">
        <v>47</v>
      </c>
    </row>
    <row r="275" spans="1:13">
      <c r="A275" t="s">
        <v>558</v>
      </c>
      <c r="B275" t="s">
        <v>559</v>
      </c>
      <c r="C275" t="s">
        <v>50</v>
      </c>
      <c r="D275" t="s">
        <v>159</v>
      </c>
      <c r="E275" t="s">
        <v>42</v>
      </c>
      <c r="F275" t="s">
        <v>83</v>
      </c>
      <c r="G275" t="s">
        <v>54</v>
      </c>
      <c r="H275" t="s">
        <v>64</v>
      </c>
      <c r="I275">
        <v>23824</v>
      </c>
      <c r="J275">
        <v>8</v>
      </c>
      <c r="K275">
        <v>4.0999999999999996</v>
      </c>
      <c r="L275">
        <v>7</v>
      </c>
      <c r="M275" t="s">
        <v>87</v>
      </c>
    </row>
    <row r="276" spans="1:13">
      <c r="A276" t="s">
        <v>560</v>
      </c>
      <c r="B276" t="s">
        <v>561</v>
      </c>
      <c r="C276" t="s">
        <v>133</v>
      </c>
      <c r="D276" t="s">
        <v>90</v>
      </c>
      <c r="E276" t="s">
        <v>42</v>
      </c>
      <c r="F276" t="s">
        <v>18</v>
      </c>
      <c r="G276" t="s">
        <v>54</v>
      </c>
      <c r="H276" t="s">
        <v>36</v>
      </c>
      <c r="I276">
        <v>38192</v>
      </c>
      <c r="J276">
        <v>8</v>
      </c>
      <c r="K276">
        <v>3.2</v>
      </c>
      <c r="L276">
        <v>7</v>
      </c>
      <c r="M276" t="s">
        <v>87</v>
      </c>
    </row>
    <row r="277" spans="1:13">
      <c r="A277" t="s">
        <v>562</v>
      </c>
      <c r="B277" t="s">
        <v>62</v>
      </c>
      <c r="C277" t="s">
        <v>170</v>
      </c>
      <c r="D277" t="s">
        <v>59</v>
      </c>
      <c r="E277" t="s">
        <v>26</v>
      </c>
      <c r="F277" t="s">
        <v>100</v>
      </c>
      <c r="G277" t="s">
        <v>28</v>
      </c>
      <c r="H277" t="s">
        <v>29</v>
      </c>
      <c r="I277">
        <v>6756</v>
      </c>
      <c r="J277">
        <v>4</v>
      </c>
      <c r="K277">
        <v>4.7</v>
      </c>
      <c r="L277">
        <v>8</v>
      </c>
      <c r="M277" t="s">
        <v>65</v>
      </c>
    </row>
    <row r="278" spans="1:13">
      <c r="A278" t="s">
        <v>563</v>
      </c>
      <c r="B278" t="s">
        <v>564</v>
      </c>
      <c r="C278" t="s">
        <v>68</v>
      </c>
      <c r="D278" t="s">
        <v>41</v>
      </c>
      <c r="E278" t="s">
        <v>42</v>
      </c>
      <c r="F278" t="s">
        <v>18</v>
      </c>
      <c r="G278" t="s">
        <v>19</v>
      </c>
      <c r="H278" t="s">
        <v>64</v>
      </c>
      <c r="I278">
        <v>23560</v>
      </c>
      <c r="J278">
        <v>4</v>
      </c>
      <c r="K278">
        <v>4.2</v>
      </c>
      <c r="L278">
        <v>6</v>
      </c>
      <c r="M278" t="s">
        <v>87</v>
      </c>
    </row>
    <row r="279" spans="1:13">
      <c r="A279" t="s">
        <v>565</v>
      </c>
      <c r="B279" t="s">
        <v>111</v>
      </c>
      <c r="C279" t="s">
        <v>170</v>
      </c>
      <c r="D279" t="s">
        <v>51</v>
      </c>
      <c r="E279" t="s">
        <v>52</v>
      </c>
      <c r="F279" t="s">
        <v>18</v>
      </c>
      <c r="G279" t="s">
        <v>28</v>
      </c>
      <c r="H279" t="s">
        <v>36</v>
      </c>
      <c r="I279">
        <v>5260</v>
      </c>
      <c r="J279">
        <v>5</v>
      </c>
      <c r="K279">
        <v>3.6</v>
      </c>
      <c r="L279">
        <v>4</v>
      </c>
      <c r="M279" t="s">
        <v>87</v>
      </c>
    </row>
    <row r="280" spans="1:13">
      <c r="A280" t="s">
        <v>566</v>
      </c>
      <c r="B280" t="s">
        <v>396</v>
      </c>
      <c r="C280" t="s">
        <v>78</v>
      </c>
      <c r="D280" t="s">
        <v>25</v>
      </c>
      <c r="E280" t="s">
        <v>26</v>
      </c>
      <c r="F280" t="s">
        <v>60</v>
      </c>
      <c r="G280" t="s">
        <v>28</v>
      </c>
      <c r="H280" t="s">
        <v>20</v>
      </c>
      <c r="I280">
        <v>6968</v>
      </c>
      <c r="J280">
        <v>8</v>
      </c>
      <c r="K280">
        <v>4.2</v>
      </c>
      <c r="L280">
        <v>1</v>
      </c>
      <c r="M280" t="s">
        <v>47</v>
      </c>
    </row>
    <row r="281" spans="1:13">
      <c r="A281" t="s">
        <v>567</v>
      </c>
      <c r="B281" t="s">
        <v>77</v>
      </c>
      <c r="C281" t="s">
        <v>103</v>
      </c>
      <c r="D281" t="s">
        <v>79</v>
      </c>
      <c r="E281" t="s">
        <v>26</v>
      </c>
      <c r="F281" t="s">
        <v>60</v>
      </c>
      <c r="G281" t="s">
        <v>104</v>
      </c>
      <c r="H281" t="s">
        <v>29</v>
      </c>
      <c r="I281">
        <v>15318</v>
      </c>
      <c r="J281">
        <v>2</v>
      </c>
      <c r="K281">
        <v>5</v>
      </c>
      <c r="L281">
        <v>4</v>
      </c>
      <c r="M281" t="s">
        <v>80</v>
      </c>
    </row>
    <row r="282" spans="1:13">
      <c r="A282" t="s">
        <v>568</v>
      </c>
      <c r="B282" t="s">
        <v>385</v>
      </c>
      <c r="C282" t="s">
        <v>179</v>
      </c>
      <c r="D282" t="s">
        <v>159</v>
      </c>
      <c r="E282" t="s">
        <v>42</v>
      </c>
      <c r="F282" t="s">
        <v>83</v>
      </c>
      <c r="G282" t="s">
        <v>104</v>
      </c>
      <c r="H282" t="s">
        <v>29</v>
      </c>
      <c r="I282">
        <v>36309</v>
      </c>
      <c r="J282">
        <v>7</v>
      </c>
      <c r="K282">
        <v>4.5</v>
      </c>
      <c r="L282">
        <v>4</v>
      </c>
      <c r="M282" t="s">
        <v>80</v>
      </c>
    </row>
    <row r="283" spans="1:13">
      <c r="A283" t="s">
        <v>569</v>
      </c>
      <c r="B283" t="s">
        <v>570</v>
      </c>
      <c r="C283" t="s">
        <v>78</v>
      </c>
      <c r="D283" t="s">
        <v>63</v>
      </c>
      <c r="E283" t="s">
        <v>52</v>
      </c>
      <c r="F283" t="s">
        <v>53</v>
      </c>
      <c r="G283" t="s">
        <v>28</v>
      </c>
      <c r="H283" t="s">
        <v>36</v>
      </c>
      <c r="I283">
        <v>4332</v>
      </c>
      <c r="J283">
        <v>6</v>
      </c>
      <c r="K283">
        <v>4.2</v>
      </c>
      <c r="L283">
        <v>7</v>
      </c>
      <c r="M283" t="s">
        <v>65</v>
      </c>
    </row>
    <row r="284" spans="1:13">
      <c r="A284" t="s">
        <v>571</v>
      </c>
      <c r="B284" t="s">
        <v>143</v>
      </c>
      <c r="C284" t="s">
        <v>40</v>
      </c>
      <c r="D284" t="s">
        <v>25</v>
      </c>
      <c r="E284" t="s">
        <v>26</v>
      </c>
      <c r="F284" t="s">
        <v>27</v>
      </c>
      <c r="G284" t="s">
        <v>104</v>
      </c>
      <c r="H284" t="s">
        <v>20</v>
      </c>
      <c r="I284">
        <v>36218</v>
      </c>
      <c r="J284">
        <v>7</v>
      </c>
      <c r="K284">
        <v>4.5999999999999996</v>
      </c>
      <c r="L284">
        <v>3</v>
      </c>
      <c r="M284" t="s">
        <v>144</v>
      </c>
    </row>
    <row r="285" spans="1:13">
      <c r="A285" t="s">
        <v>572</v>
      </c>
      <c r="B285" t="s">
        <v>573</v>
      </c>
      <c r="C285" t="s">
        <v>78</v>
      </c>
      <c r="D285" t="s">
        <v>218</v>
      </c>
      <c r="E285" t="s">
        <v>17</v>
      </c>
      <c r="F285" t="s">
        <v>60</v>
      </c>
      <c r="G285" t="s">
        <v>19</v>
      </c>
      <c r="H285" t="s">
        <v>29</v>
      </c>
      <c r="I285">
        <v>1034</v>
      </c>
      <c r="J285">
        <v>1</v>
      </c>
      <c r="K285">
        <v>4.5</v>
      </c>
      <c r="L285">
        <v>4</v>
      </c>
      <c r="M285" t="s">
        <v>37</v>
      </c>
    </row>
    <row r="286" spans="1:13">
      <c r="A286" t="s">
        <v>574</v>
      </c>
      <c r="B286" t="s">
        <v>454</v>
      </c>
      <c r="C286" t="s">
        <v>45</v>
      </c>
      <c r="D286" t="s">
        <v>116</v>
      </c>
      <c r="E286" t="s">
        <v>17</v>
      </c>
      <c r="F286" t="s">
        <v>60</v>
      </c>
      <c r="G286" t="s">
        <v>19</v>
      </c>
      <c r="H286" t="s">
        <v>29</v>
      </c>
      <c r="I286">
        <v>11921</v>
      </c>
      <c r="J286">
        <v>7</v>
      </c>
      <c r="K286">
        <v>4.5</v>
      </c>
      <c r="L286">
        <v>4</v>
      </c>
      <c r="M286" t="s">
        <v>55</v>
      </c>
    </row>
    <row r="287" spans="1:13">
      <c r="A287" t="s">
        <v>575</v>
      </c>
      <c r="B287" t="s">
        <v>576</v>
      </c>
      <c r="C287" t="s">
        <v>50</v>
      </c>
      <c r="D287" t="s">
        <v>79</v>
      </c>
      <c r="E287" t="s">
        <v>26</v>
      </c>
      <c r="F287" t="s">
        <v>18</v>
      </c>
      <c r="G287" t="s">
        <v>28</v>
      </c>
      <c r="H287" t="s">
        <v>29</v>
      </c>
      <c r="I287">
        <v>18235</v>
      </c>
      <c r="J287">
        <v>5</v>
      </c>
      <c r="K287">
        <v>4.5</v>
      </c>
      <c r="L287">
        <v>2</v>
      </c>
      <c r="M287" t="s">
        <v>37</v>
      </c>
    </row>
    <row r="288" spans="1:13">
      <c r="A288" t="s">
        <v>577</v>
      </c>
      <c r="B288" t="s">
        <v>261</v>
      </c>
      <c r="C288" t="s">
        <v>33</v>
      </c>
      <c r="D288" t="s">
        <v>59</v>
      </c>
      <c r="E288" t="s">
        <v>26</v>
      </c>
      <c r="F288" t="s">
        <v>83</v>
      </c>
      <c r="G288" t="s">
        <v>104</v>
      </c>
      <c r="H288" t="s">
        <v>36</v>
      </c>
      <c r="I288">
        <v>25320</v>
      </c>
      <c r="J288">
        <v>3</v>
      </c>
      <c r="K288">
        <v>4.5</v>
      </c>
      <c r="L288">
        <v>3</v>
      </c>
      <c r="M288" t="s">
        <v>80</v>
      </c>
    </row>
    <row r="289" spans="1:13">
      <c r="A289" t="s">
        <v>578</v>
      </c>
      <c r="B289" t="s">
        <v>579</v>
      </c>
      <c r="C289" t="s">
        <v>133</v>
      </c>
      <c r="D289" t="s">
        <v>59</v>
      </c>
      <c r="E289" t="s">
        <v>26</v>
      </c>
      <c r="F289" t="s">
        <v>100</v>
      </c>
      <c r="G289" t="s">
        <v>28</v>
      </c>
      <c r="H289" t="s">
        <v>36</v>
      </c>
      <c r="I289">
        <v>22872</v>
      </c>
      <c r="J289">
        <v>6</v>
      </c>
      <c r="K289">
        <v>4.0999999999999996</v>
      </c>
      <c r="L289">
        <v>3</v>
      </c>
      <c r="M289" t="s">
        <v>65</v>
      </c>
    </row>
    <row r="290" spans="1:13">
      <c r="A290" t="s">
        <v>580</v>
      </c>
      <c r="B290" t="s">
        <v>581</v>
      </c>
      <c r="C290" t="s">
        <v>68</v>
      </c>
      <c r="D290" t="s">
        <v>34</v>
      </c>
      <c r="E290" t="s">
        <v>35</v>
      </c>
      <c r="F290" t="s">
        <v>27</v>
      </c>
      <c r="G290" t="s">
        <v>104</v>
      </c>
      <c r="H290" t="s">
        <v>64</v>
      </c>
      <c r="I290">
        <v>245874</v>
      </c>
      <c r="J290">
        <v>6</v>
      </c>
      <c r="K290">
        <v>4.2</v>
      </c>
      <c r="L290">
        <v>1</v>
      </c>
      <c r="M290" t="s">
        <v>37</v>
      </c>
    </row>
    <row r="291" spans="1:13">
      <c r="A291" t="s">
        <v>582</v>
      </c>
      <c r="B291" t="s">
        <v>583</v>
      </c>
      <c r="C291" t="s">
        <v>112</v>
      </c>
      <c r="D291" t="s">
        <v>63</v>
      </c>
      <c r="E291" t="s">
        <v>52</v>
      </c>
      <c r="F291" t="s">
        <v>53</v>
      </c>
      <c r="G291" t="s">
        <v>28</v>
      </c>
      <c r="H291" t="s">
        <v>64</v>
      </c>
      <c r="I291">
        <v>4284</v>
      </c>
      <c r="J291">
        <v>6</v>
      </c>
      <c r="K291">
        <v>4.5</v>
      </c>
      <c r="L291">
        <v>1</v>
      </c>
      <c r="M291" t="s">
        <v>144</v>
      </c>
    </row>
    <row r="292" spans="1:13">
      <c r="A292" t="s">
        <v>584</v>
      </c>
      <c r="B292" t="s">
        <v>585</v>
      </c>
      <c r="C292" t="s">
        <v>75</v>
      </c>
      <c r="D292" t="s">
        <v>218</v>
      </c>
      <c r="E292" t="s">
        <v>17</v>
      </c>
      <c r="F292" t="s">
        <v>83</v>
      </c>
      <c r="G292" t="s">
        <v>19</v>
      </c>
      <c r="H292" t="s">
        <v>64</v>
      </c>
      <c r="I292">
        <v>3824</v>
      </c>
      <c r="J292">
        <v>4</v>
      </c>
      <c r="K292">
        <v>4.9000000000000004</v>
      </c>
      <c r="L292">
        <v>1</v>
      </c>
      <c r="M292" t="s">
        <v>192</v>
      </c>
    </row>
    <row r="293" spans="1:13">
      <c r="A293" t="s">
        <v>586</v>
      </c>
      <c r="B293" t="s">
        <v>587</v>
      </c>
      <c r="C293" t="s">
        <v>75</v>
      </c>
      <c r="D293" t="s">
        <v>86</v>
      </c>
      <c r="E293" t="s">
        <v>17</v>
      </c>
      <c r="F293" t="s">
        <v>18</v>
      </c>
      <c r="G293" t="s">
        <v>54</v>
      </c>
      <c r="H293" t="s">
        <v>20</v>
      </c>
      <c r="I293">
        <v>11368</v>
      </c>
      <c r="J293">
        <v>7</v>
      </c>
      <c r="K293">
        <v>4.5</v>
      </c>
      <c r="L293">
        <v>1</v>
      </c>
      <c r="M293" t="s">
        <v>30</v>
      </c>
    </row>
    <row r="294" spans="1:13">
      <c r="A294" t="s">
        <v>588</v>
      </c>
      <c r="B294" t="s">
        <v>589</v>
      </c>
      <c r="C294" t="s">
        <v>15</v>
      </c>
      <c r="D294" t="s">
        <v>165</v>
      </c>
      <c r="E294" t="s">
        <v>35</v>
      </c>
      <c r="F294" t="s">
        <v>60</v>
      </c>
      <c r="G294" t="s">
        <v>54</v>
      </c>
      <c r="H294" t="s">
        <v>36</v>
      </c>
      <c r="I294">
        <v>213440</v>
      </c>
      <c r="J294">
        <v>4</v>
      </c>
      <c r="K294">
        <v>3.9</v>
      </c>
      <c r="L294">
        <v>6</v>
      </c>
      <c r="M294" t="s">
        <v>87</v>
      </c>
    </row>
    <row r="295" spans="1:13">
      <c r="A295" t="s">
        <v>590</v>
      </c>
      <c r="B295" t="s">
        <v>99</v>
      </c>
      <c r="C295" t="s">
        <v>45</v>
      </c>
      <c r="D295" t="s">
        <v>25</v>
      </c>
      <c r="E295" t="s">
        <v>26</v>
      </c>
      <c r="F295" t="s">
        <v>18</v>
      </c>
      <c r="G295" t="s">
        <v>104</v>
      </c>
      <c r="H295" t="s">
        <v>64</v>
      </c>
      <c r="I295">
        <v>2538</v>
      </c>
      <c r="J295">
        <v>1</v>
      </c>
      <c r="K295">
        <v>3.7</v>
      </c>
      <c r="L295">
        <v>5</v>
      </c>
      <c r="M295" t="s">
        <v>30</v>
      </c>
    </row>
    <row r="296" spans="1:13">
      <c r="A296" t="s">
        <v>591</v>
      </c>
      <c r="B296" t="s">
        <v>167</v>
      </c>
      <c r="C296" t="s">
        <v>72</v>
      </c>
      <c r="D296" t="s">
        <v>90</v>
      </c>
      <c r="E296" t="s">
        <v>42</v>
      </c>
      <c r="F296" t="s">
        <v>53</v>
      </c>
      <c r="G296" t="s">
        <v>104</v>
      </c>
      <c r="H296" t="s">
        <v>36</v>
      </c>
      <c r="I296">
        <v>2501</v>
      </c>
      <c r="J296">
        <v>1</v>
      </c>
      <c r="K296">
        <v>4.5</v>
      </c>
      <c r="L296">
        <v>5</v>
      </c>
      <c r="M296" t="s">
        <v>119</v>
      </c>
    </row>
    <row r="297" spans="1:13">
      <c r="A297" t="s">
        <v>592</v>
      </c>
      <c r="B297" t="s">
        <v>593</v>
      </c>
      <c r="C297" t="s">
        <v>179</v>
      </c>
      <c r="D297" t="s">
        <v>79</v>
      </c>
      <c r="E297" t="s">
        <v>26</v>
      </c>
      <c r="F297" t="s">
        <v>60</v>
      </c>
      <c r="G297" t="s">
        <v>19</v>
      </c>
      <c r="H297" t="s">
        <v>20</v>
      </c>
      <c r="I297">
        <v>2194</v>
      </c>
      <c r="J297">
        <v>1</v>
      </c>
      <c r="K297">
        <v>3.7</v>
      </c>
      <c r="L297">
        <v>6</v>
      </c>
      <c r="M297" t="s">
        <v>80</v>
      </c>
    </row>
    <row r="298" spans="1:13">
      <c r="A298" t="s">
        <v>594</v>
      </c>
      <c r="B298" t="s">
        <v>595</v>
      </c>
      <c r="C298" t="s">
        <v>78</v>
      </c>
      <c r="D298" t="s">
        <v>63</v>
      </c>
      <c r="E298" t="s">
        <v>52</v>
      </c>
      <c r="F298" t="s">
        <v>18</v>
      </c>
      <c r="G298" t="s">
        <v>104</v>
      </c>
      <c r="H298" t="s">
        <v>36</v>
      </c>
      <c r="I298">
        <v>3595</v>
      </c>
      <c r="J298">
        <v>5</v>
      </c>
      <c r="K298">
        <v>4.7</v>
      </c>
      <c r="L298">
        <v>8</v>
      </c>
      <c r="M298" t="s">
        <v>192</v>
      </c>
    </row>
    <row r="299" spans="1:13">
      <c r="A299" t="s">
        <v>596</v>
      </c>
      <c r="B299" t="s">
        <v>597</v>
      </c>
      <c r="C299" t="s">
        <v>179</v>
      </c>
      <c r="D299" t="s">
        <v>113</v>
      </c>
      <c r="E299" t="s">
        <v>35</v>
      </c>
      <c r="F299" t="s">
        <v>53</v>
      </c>
      <c r="G299" t="s">
        <v>28</v>
      </c>
      <c r="H299" t="s">
        <v>64</v>
      </c>
      <c r="I299">
        <v>154440</v>
      </c>
      <c r="J299">
        <v>8</v>
      </c>
      <c r="K299">
        <v>3.7</v>
      </c>
      <c r="L299">
        <v>2</v>
      </c>
      <c r="M299" t="s">
        <v>37</v>
      </c>
    </row>
    <row r="300" spans="1:13">
      <c r="A300" t="s">
        <v>598</v>
      </c>
      <c r="B300" t="s">
        <v>599</v>
      </c>
      <c r="C300" t="s">
        <v>24</v>
      </c>
      <c r="D300" t="s">
        <v>165</v>
      </c>
      <c r="E300" t="s">
        <v>35</v>
      </c>
      <c r="F300" t="s">
        <v>18</v>
      </c>
      <c r="G300" t="s">
        <v>104</v>
      </c>
      <c r="H300" t="s">
        <v>20</v>
      </c>
      <c r="I300">
        <v>383140</v>
      </c>
      <c r="J300">
        <v>5</v>
      </c>
      <c r="K300">
        <v>4.7</v>
      </c>
      <c r="L300">
        <v>7</v>
      </c>
      <c r="M300" t="s">
        <v>119</v>
      </c>
    </row>
    <row r="301" spans="1:13">
      <c r="A301" t="s">
        <v>600</v>
      </c>
      <c r="B301" t="s">
        <v>115</v>
      </c>
      <c r="C301" t="s">
        <v>125</v>
      </c>
      <c r="D301" t="s">
        <v>51</v>
      </c>
      <c r="E301" t="s">
        <v>52</v>
      </c>
      <c r="F301" t="s">
        <v>100</v>
      </c>
      <c r="G301" t="s">
        <v>54</v>
      </c>
      <c r="H301" t="s">
        <v>20</v>
      </c>
      <c r="I301">
        <v>9648</v>
      </c>
      <c r="J301">
        <v>6</v>
      </c>
      <c r="K301">
        <v>3.8</v>
      </c>
      <c r="L301">
        <v>5</v>
      </c>
      <c r="M301" t="s">
        <v>21</v>
      </c>
    </row>
    <row r="302" spans="1:13">
      <c r="A302" t="s">
        <v>601</v>
      </c>
      <c r="B302" t="s">
        <v>237</v>
      </c>
      <c r="C302" t="s">
        <v>112</v>
      </c>
      <c r="D302" t="s">
        <v>25</v>
      </c>
      <c r="E302" t="s">
        <v>26</v>
      </c>
      <c r="F302" t="s">
        <v>27</v>
      </c>
      <c r="G302" t="s">
        <v>54</v>
      </c>
      <c r="H302" t="s">
        <v>64</v>
      </c>
      <c r="I302">
        <v>6156</v>
      </c>
      <c r="J302">
        <v>3</v>
      </c>
      <c r="K302">
        <v>4.5</v>
      </c>
      <c r="L302">
        <v>1</v>
      </c>
      <c r="M302" t="s">
        <v>21</v>
      </c>
    </row>
    <row r="303" spans="1:13">
      <c r="A303" t="s">
        <v>602</v>
      </c>
      <c r="B303" t="s">
        <v>603</v>
      </c>
      <c r="C303" t="s">
        <v>72</v>
      </c>
      <c r="D303" t="s">
        <v>79</v>
      </c>
      <c r="E303" t="s">
        <v>26</v>
      </c>
      <c r="F303" t="s">
        <v>60</v>
      </c>
      <c r="G303" t="s">
        <v>54</v>
      </c>
      <c r="H303" t="s">
        <v>64</v>
      </c>
      <c r="I303">
        <v>33965</v>
      </c>
      <c r="J303">
        <v>5</v>
      </c>
      <c r="K303">
        <v>3.9</v>
      </c>
      <c r="L303">
        <v>5</v>
      </c>
      <c r="M303" t="s">
        <v>144</v>
      </c>
    </row>
    <row r="304" spans="1:13">
      <c r="A304" t="s">
        <v>604</v>
      </c>
      <c r="B304" t="s">
        <v>605</v>
      </c>
      <c r="C304" t="s">
        <v>125</v>
      </c>
      <c r="D304" t="s">
        <v>165</v>
      </c>
      <c r="E304" t="s">
        <v>35</v>
      </c>
      <c r="F304" t="s">
        <v>53</v>
      </c>
      <c r="G304" t="s">
        <v>54</v>
      </c>
      <c r="H304" t="s">
        <v>20</v>
      </c>
      <c r="I304">
        <v>279552</v>
      </c>
      <c r="J304">
        <v>4</v>
      </c>
      <c r="K304">
        <v>3.5</v>
      </c>
      <c r="L304">
        <v>3</v>
      </c>
      <c r="M304" t="s">
        <v>144</v>
      </c>
    </row>
    <row r="305" spans="1:13">
      <c r="A305" t="s">
        <v>606</v>
      </c>
      <c r="B305" t="s">
        <v>242</v>
      </c>
      <c r="C305" t="s">
        <v>50</v>
      </c>
      <c r="D305" t="s">
        <v>159</v>
      </c>
      <c r="E305" t="s">
        <v>42</v>
      </c>
      <c r="F305" t="s">
        <v>60</v>
      </c>
      <c r="G305" t="s">
        <v>28</v>
      </c>
      <c r="H305" t="s">
        <v>36</v>
      </c>
      <c r="I305">
        <v>11965</v>
      </c>
      <c r="J305">
        <v>5</v>
      </c>
      <c r="K305">
        <v>4.8</v>
      </c>
      <c r="L305">
        <v>6</v>
      </c>
      <c r="M305" t="s">
        <v>87</v>
      </c>
    </row>
    <row r="306" spans="1:13">
      <c r="A306" t="s">
        <v>607</v>
      </c>
      <c r="B306" t="s">
        <v>183</v>
      </c>
      <c r="C306" t="s">
        <v>58</v>
      </c>
      <c r="D306" t="s">
        <v>218</v>
      </c>
      <c r="E306" t="s">
        <v>17</v>
      </c>
      <c r="F306" t="s">
        <v>27</v>
      </c>
      <c r="G306" t="s">
        <v>54</v>
      </c>
      <c r="H306" t="s">
        <v>29</v>
      </c>
      <c r="I306">
        <v>4195</v>
      </c>
      <c r="J306">
        <v>5</v>
      </c>
      <c r="K306">
        <v>4.4000000000000004</v>
      </c>
      <c r="L306">
        <v>6</v>
      </c>
      <c r="M306" t="s">
        <v>87</v>
      </c>
    </row>
    <row r="307" spans="1:13">
      <c r="A307" t="s">
        <v>608</v>
      </c>
      <c r="B307" t="s">
        <v>174</v>
      </c>
      <c r="C307" t="s">
        <v>146</v>
      </c>
      <c r="D307" t="s">
        <v>159</v>
      </c>
      <c r="E307" t="s">
        <v>42</v>
      </c>
      <c r="F307" t="s">
        <v>83</v>
      </c>
      <c r="G307" t="s">
        <v>19</v>
      </c>
      <c r="H307" t="s">
        <v>36</v>
      </c>
      <c r="I307">
        <v>32543</v>
      </c>
      <c r="J307">
        <v>7</v>
      </c>
      <c r="K307">
        <v>3.2</v>
      </c>
      <c r="L307">
        <v>3</v>
      </c>
      <c r="M307" t="s">
        <v>65</v>
      </c>
    </row>
    <row r="308" spans="1:13">
      <c r="A308" t="s">
        <v>609</v>
      </c>
      <c r="B308" t="s">
        <v>57</v>
      </c>
      <c r="C308" t="s">
        <v>170</v>
      </c>
      <c r="D308" t="s">
        <v>59</v>
      </c>
      <c r="E308" t="s">
        <v>26</v>
      </c>
      <c r="F308" t="s">
        <v>27</v>
      </c>
      <c r="G308" t="s">
        <v>54</v>
      </c>
      <c r="H308" t="s">
        <v>64</v>
      </c>
      <c r="I308">
        <v>8214</v>
      </c>
      <c r="J308">
        <v>3</v>
      </c>
      <c r="K308">
        <v>4.4000000000000004</v>
      </c>
      <c r="L308">
        <v>7</v>
      </c>
      <c r="M308" t="s">
        <v>37</v>
      </c>
    </row>
    <row r="309" spans="1:13">
      <c r="A309" t="s">
        <v>610</v>
      </c>
      <c r="B309" t="s">
        <v>611</v>
      </c>
      <c r="C309" t="s">
        <v>72</v>
      </c>
      <c r="D309" t="s">
        <v>90</v>
      </c>
      <c r="E309" t="s">
        <v>42</v>
      </c>
      <c r="F309" t="s">
        <v>27</v>
      </c>
      <c r="G309" t="s">
        <v>54</v>
      </c>
      <c r="H309" t="s">
        <v>20</v>
      </c>
      <c r="I309">
        <v>8088</v>
      </c>
      <c r="J309">
        <v>3</v>
      </c>
      <c r="K309">
        <v>3.4</v>
      </c>
      <c r="L309">
        <v>3</v>
      </c>
      <c r="M309" t="s">
        <v>37</v>
      </c>
    </row>
    <row r="310" spans="1:13">
      <c r="A310" t="s">
        <v>612</v>
      </c>
      <c r="B310" t="s">
        <v>533</v>
      </c>
      <c r="C310" t="s">
        <v>75</v>
      </c>
      <c r="D310" t="s">
        <v>86</v>
      </c>
      <c r="E310" t="s">
        <v>17</v>
      </c>
      <c r="F310" t="s">
        <v>83</v>
      </c>
      <c r="G310" t="s">
        <v>28</v>
      </c>
      <c r="H310" t="s">
        <v>64</v>
      </c>
      <c r="I310">
        <v>4074</v>
      </c>
      <c r="J310">
        <v>3</v>
      </c>
      <c r="K310">
        <v>3.2</v>
      </c>
      <c r="L310">
        <v>5</v>
      </c>
      <c r="M310" t="s">
        <v>21</v>
      </c>
    </row>
    <row r="311" spans="1:13">
      <c r="A311" t="s">
        <v>613</v>
      </c>
      <c r="B311" t="s">
        <v>226</v>
      </c>
      <c r="C311" t="s">
        <v>24</v>
      </c>
      <c r="D311" t="s">
        <v>159</v>
      </c>
      <c r="E311" t="s">
        <v>42</v>
      </c>
      <c r="F311" t="s">
        <v>27</v>
      </c>
      <c r="G311" t="s">
        <v>104</v>
      </c>
      <c r="H311" t="s">
        <v>64</v>
      </c>
      <c r="I311">
        <v>15323</v>
      </c>
      <c r="J311">
        <v>7</v>
      </c>
      <c r="K311">
        <v>4.4000000000000004</v>
      </c>
      <c r="L311">
        <v>5</v>
      </c>
      <c r="M311" t="s">
        <v>37</v>
      </c>
    </row>
    <row r="312" spans="1:13">
      <c r="A312" t="s">
        <v>614</v>
      </c>
      <c r="B312" t="s">
        <v>615</v>
      </c>
      <c r="C312" t="s">
        <v>72</v>
      </c>
      <c r="D312" t="s">
        <v>25</v>
      </c>
      <c r="E312" t="s">
        <v>26</v>
      </c>
      <c r="F312" t="s">
        <v>100</v>
      </c>
      <c r="G312" t="s">
        <v>54</v>
      </c>
      <c r="H312" t="s">
        <v>20</v>
      </c>
      <c r="I312">
        <v>28805</v>
      </c>
      <c r="J312">
        <v>7</v>
      </c>
      <c r="K312">
        <v>4.0999999999999996</v>
      </c>
      <c r="L312">
        <v>7</v>
      </c>
      <c r="M312" t="s">
        <v>37</v>
      </c>
    </row>
    <row r="313" spans="1:13">
      <c r="A313" t="s">
        <v>616</v>
      </c>
      <c r="B313" t="s">
        <v>387</v>
      </c>
      <c r="C313" t="s">
        <v>112</v>
      </c>
      <c r="D313" t="s">
        <v>41</v>
      </c>
      <c r="E313" t="s">
        <v>42</v>
      </c>
      <c r="F313" t="s">
        <v>60</v>
      </c>
      <c r="G313" t="s">
        <v>104</v>
      </c>
      <c r="H313" t="s">
        <v>36</v>
      </c>
      <c r="I313">
        <v>11286</v>
      </c>
      <c r="J313">
        <v>2</v>
      </c>
      <c r="K313">
        <v>4.7</v>
      </c>
      <c r="L313">
        <v>7</v>
      </c>
      <c r="M313" t="s">
        <v>65</v>
      </c>
    </row>
    <row r="314" spans="1:13">
      <c r="A314" t="s">
        <v>617</v>
      </c>
      <c r="B314" t="s">
        <v>615</v>
      </c>
      <c r="C314" t="s">
        <v>125</v>
      </c>
      <c r="D314" t="s">
        <v>69</v>
      </c>
      <c r="E314" t="s">
        <v>26</v>
      </c>
      <c r="F314" t="s">
        <v>83</v>
      </c>
      <c r="G314" t="s">
        <v>54</v>
      </c>
      <c r="H314" t="s">
        <v>29</v>
      </c>
      <c r="I314">
        <v>19200</v>
      </c>
      <c r="J314">
        <v>8</v>
      </c>
      <c r="K314">
        <v>4</v>
      </c>
      <c r="L314">
        <v>5</v>
      </c>
      <c r="M314" t="s">
        <v>37</v>
      </c>
    </row>
    <row r="315" spans="1:13">
      <c r="A315" t="s">
        <v>618</v>
      </c>
      <c r="B315" t="s">
        <v>619</v>
      </c>
      <c r="C315" t="s">
        <v>179</v>
      </c>
      <c r="D315" t="s">
        <v>69</v>
      </c>
      <c r="E315" t="s">
        <v>26</v>
      </c>
      <c r="F315" t="s">
        <v>27</v>
      </c>
      <c r="G315" t="s">
        <v>104</v>
      </c>
      <c r="H315" t="s">
        <v>64</v>
      </c>
      <c r="I315">
        <v>10920</v>
      </c>
      <c r="J315">
        <v>4</v>
      </c>
      <c r="K315">
        <v>4.0999999999999996</v>
      </c>
      <c r="L315">
        <v>7</v>
      </c>
      <c r="M315" t="s">
        <v>21</v>
      </c>
    </row>
    <row r="316" spans="1:13">
      <c r="A316" t="s">
        <v>620</v>
      </c>
      <c r="B316" t="s">
        <v>458</v>
      </c>
      <c r="C316" t="s">
        <v>50</v>
      </c>
      <c r="D316" t="s">
        <v>113</v>
      </c>
      <c r="E316" t="s">
        <v>35</v>
      </c>
      <c r="F316" t="s">
        <v>83</v>
      </c>
      <c r="G316" t="s">
        <v>28</v>
      </c>
      <c r="H316" t="s">
        <v>64</v>
      </c>
      <c r="I316">
        <v>257243</v>
      </c>
      <c r="J316">
        <v>7</v>
      </c>
      <c r="K316">
        <v>4.2</v>
      </c>
      <c r="L316">
        <v>5</v>
      </c>
      <c r="M316" t="s">
        <v>80</v>
      </c>
    </row>
    <row r="317" spans="1:13">
      <c r="A317" t="s">
        <v>621</v>
      </c>
      <c r="B317" t="s">
        <v>622</v>
      </c>
      <c r="C317" t="s">
        <v>122</v>
      </c>
      <c r="D317" t="s">
        <v>109</v>
      </c>
      <c r="E317" t="s">
        <v>52</v>
      </c>
      <c r="F317" t="s">
        <v>60</v>
      </c>
      <c r="G317" t="s">
        <v>19</v>
      </c>
      <c r="H317" t="s">
        <v>36</v>
      </c>
      <c r="I317">
        <v>12048</v>
      </c>
      <c r="J317">
        <v>8</v>
      </c>
      <c r="K317">
        <v>4.5</v>
      </c>
      <c r="L317">
        <v>2</v>
      </c>
      <c r="M317" t="s">
        <v>30</v>
      </c>
    </row>
    <row r="318" spans="1:13">
      <c r="A318" t="s">
        <v>623</v>
      </c>
      <c r="B318" t="s">
        <v>624</v>
      </c>
      <c r="C318" t="s">
        <v>75</v>
      </c>
      <c r="D318" t="s">
        <v>51</v>
      </c>
      <c r="E318" t="s">
        <v>52</v>
      </c>
      <c r="F318" t="s">
        <v>18</v>
      </c>
      <c r="G318" t="s">
        <v>104</v>
      </c>
      <c r="H318" t="s">
        <v>20</v>
      </c>
      <c r="I318">
        <v>1843</v>
      </c>
      <c r="J318">
        <v>1</v>
      </c>
      <c r="K318">
        <v>4</v>
      </c>
      <c r="L318">
        <v>7</v>
      </c>
      <c r="M318" t="s">
        <v>126</v>
      </c>
    </row>
    <row r="319" spans="1:13">
      <c r="A319" t="s">
        <v>625</v>
      </c>
      <c r="B319" t="s">
        <v>626</v>
      </c>
      <c r="C319" t="s">
        <v>24</v>
      </c>
      <c r="D319" t="s">
        <v>113</v>
      </c>
      <c r="E319" t="s">
        <v>35</v>
      </c>
      <c r="F319" t="s">
        <v>27</v>
      </c>
      <c r="G319" t="s">
        <v>28</v>
      </c>
      <c r="H319" t="s">
        <v>64</v>
      </c>
      <c r="I319">
        <v>55013</v>
      </c>
      <c r="J319">
        <v>1</v>
      </c>
      <c r="K319">
        <v>4.0999999999999996</v>
      </c>
      <c r="L319">
        <v>1</v>
      </c>
      <c r="M319" t="s">
        <v>192</v>
      </c>
    </row>
    <row r="320" spans="1:13">
      <c r="A320" t="s">
        <v>627</v>
      </c>
      <c r="B320" t="s">
        <v>275</v>
      </c>
      <c r="C320" t="s">
        <v>33</v>
      </c>
      <c r="D320" t="s">
        <v>86</v>
      </c>
      <c r="E320" t="s">
        <v>17</v>
      </c>
      <c r="F320" t="s">
        <v>53</v>
      </c>
      <c r="G320" t="s">
        <v>19</v>
      </c>
      <c r="H320" t="s">
        <v>36</v>
      </c>
      <c r="I320">
        <v>3490</v>
      </c>
      <c r="J320">
        <v>5</v>
      </c>
      <c r="K320">
        <v>4.5</v>
      </c>
      <c r="L320">
        <v>3</v>
      </c>
      <c r="M320" t="s">
        <v>119</v>
      </c>
    </row>
    <row r="321" spans="1:13">
      <c r="A321" t="s">
        <v>628</v>
      </c>
      <c r="B321" t="s">
        <v>115</v>
      </c>
      <c r="C321" t="s">
        <v>75</v>
      </c>
      <c r="D321" t="s">
        <v>147</v>
      </c>
      <c r="E321" t="s">
        <v>52</v>
      </c>
      <c r="F321" t="s">
        <v>100</v>
      </c>
      <c r="G321" t="s">
        <v>104</v>
      </c>
      <c r="H321" t="s">
        <v>29</v>
      </c>
      <c r="I321">
        <v>13076</v>
      </c>
      <c r="J321">
        <v>7</v>
      </c>
      <c r="K321">
        <v>4.0999999999999996</v>
      </c>
      <c r="L321">
        <v>2</v>
      </c>
      <c r="M321" t="s">
        <v>21</v>
      </c>
    </row>
    <row r="322" spans="1:13">
      <c r="A322" t="s">
        <v>629</v>
      </c>
      <c r="B322" t="s">
        <v>630</v>
      </c>
      <c r="C322" t="s">
        <v>78</v>
      </c>
      <c r="D322" t="s">
        <v>130</v>
      </c>
      <c r="E322" t="s">
        <v>35</v>
      </c>
      <c r="F322" t="s">
        <v>18</v>
      </c>
      <c r="G322" t="s">
        <v>104</v>
      </c>
      <c r="H322" t="s">
        <v>29</v>
      </c>
      <c r="I322">
        <v>311416</v>
      </c>
      <c r="J322">
        <v>4</v>
      </c>
      <c r="K322">
        <v>3.5</v>
      </c>
      <c r="L322">
        <v>2</v>
      </c>
      <c r="M322" t="s">
        <v>37</v>
      </c>
    </row>
    <row r="323" spans="1:13">
      <c r="A323" t="s">
        <v>631</v>
      </c>
      <c r="B323" t="s">
        <v>587</v>
      </c>
      <c r="C323" t="s">
        <v>146</v>
      </c>
      <c r="D323" t="s">
        <v>218</v>
      </c>
      <c r="E323" t="s">
        <v>17</v>
      </c>
      <c r="F323" t="s">
        <v>27</v>
      </c>
      <c r="G323" t="s">
        <v>28</v>
      </c>
      <c r="H323" t="s">
        <v>36</v>
      </c>
      <c r="I323">
        <v>8605</v>
      </c>
      <c r="J323">
        <v>5</v>
      </c>
      <c r="K323">
        <v>4.5999999999999996</v>
      </c>
      <c r="L323">
        <v>6</v>
      </c>
      <c r="M323" t="s">
        <v>30</v>
      </c>
    </row>
    <row r="324" spans="1:13">
      <c r="A324" t="s">
        <v>632</v>
      </c>
      <c r="B324" t="s">
        <v>533</v>
      </c>
      <c r="C324" t="s">
        <v>103</v>
      </c>
      <c r="D324" t="s">
        <v>41</v>
      </c>
      <c r="E324" t="s">
        <v>42</v>
      </c>
      <c r="F324" t="s">
        <v>83</v>
      </c>
      <c r="G324" t="s">
        <v>104</v>
      </c>
      <c r="H324" t="s">
        <v>36</v>
      </c>
      <c r="I324">
        <v>6572</v>
      </c>
      <c r="J324">
        <v>2</v>
      </c>
      <c r="K324">
        <v>4.9000000000000004</v>
      </c>
      <c r="L324">
        <v>1</v>
      </c>
      <c r="M324" t="s">
        <v>21</v>
      </c>
    </row>
    <row r="325" spans="1:13">
      <c r="A325" t="s">
        <v>633</v>
      </c>
      <c r="B325" t="s">
        <v>559</v>
      </c>
      <c r="C325" t="s">
        <v>125</v>
      </c>
      <c r="D325" t="s">
        <v>46</v>
      </c>
      <c r="E325" t="s">
        <v>42</v>
      </c>
      <c r="F325" t="s">
        <v>27</v>
      </c>
      <c r="G325" t="s">
        <v>19</v>
      </c>
      <c r="H325" t="s">
        <v>20</v>
      </c>
      <c r="I325">
        <v>7470</v>
      </c>
      <c r="J325">
        <v>3</v>
      </c>
      <c r="K325">
        <v>3.7</v>
      </c>
      <c r="L325">
        <v>4</v>
      </c>
      <c r="M325" t="s">
        <v>87</v>
      </c>
    </row>
    <row r="326" spans="1:13">
      <c r="A326" t="s">
        <v>634</v>
      </c>
      <c r="B326" t="s">
        <v>635</v>
      </c>
      <c r="C326" t="s">
        <v>75</v>
      </c>
      <c r="D326" t="s">
        <v>109</v>
      </c>
      <c r="E326" t="s">
        <v>52</v>
      </c>
      <c r="F326" t="s">
        <v>27</v>
      </c>
      <c r="G326" t="s">
        <v>28</v>
      </c>
      <c r="H326" t="s">
        <v>36</v>
      </c>
      <c r="I326">
        <v>5088</v>
      </c>
      <c r="J326">
        <v>4</v>
      </c>
      <c r="K326">
        <v>4.5999999999999996</v>
      </c>
      <c r="L326">
        <v>2</v>
      </c>
      <c r="M326" t="s">
        <v>37</v>
      </c>
    </row>
    <row r="327" spans="1:13">
      <c r="A327" t="s">
        <v>636</v>
      </c>
      <c r="B327" t="s">
        <v>637</v>
      </c>
      <c r="C327" t="s">
        <v>50</v>
      </c>
      <c r="D327" t="s">
        <v>25</v>
      </c>
      <c r="E327" t="s">
        <v>26</v>
      </c>
      <c r="F327" t="s">
        <v>83</v>
      </c>
      <c r="G327" t="s">
        <v>19</v>
      </c>
      <c r="H327" t="s">
        <v>36</v>
      </c>
      <c r="I327">
        <v>31806</v>
      </c>
      <c r="J327">
        <v>6</v>
      </c>
      <c r="K327">
        <v>4.0999999999999996</v>
      </c>
      <c r="L327">
        <v>5</v>
      </c>
      <c r="M327" t="s">
        <v>65</v>
      </c>
    </row>
    <row r="328" spans="1:13">
      <c r="A328" t="s">
        <v>638</v>
      </c>
      <c r="B328" t="s">
        <v>446</v>
      </c>
      <c r="C328" t="s">
        <v>170</v>
      </c>
      <c r="D328" t="s">
        <v>69</v>
      </c>
      <c r="E328" t="s">
        <v>26</v>
      </c>
      <c r="F328" t="s">
        <v>27</v>
      </c>
      <c r="G328" t="s">
        <v>54</v>
      </c>
      <c r="H328" t="s">
        <v>36</v>
      </c>
      <c r="I328">
        <v>8290</v>
      </c>
      <c r="J328">
        <v>1</v>
      </c>
      <c r="K328">
        <v>5</v>
      </c>
      <c r="L328">
        <v>8</v>
      </c>
      <c r="M328" t="s">
        <v>65</v>
      </c>
    </row>
    <row r="329" spans="1:13">
      <c r="A329" t="s">
        <v>639</v>
      </c>
      <c r="B329" t="s">
        <v>640</v>
      </c>
      <c r="C329" t="s">
        <v>103</v>
      </c>
      <c r="D329" t="s">
        <v>51</v>
      </c>
      <c r="E329" t="s">
        <v>52</v>
      </c>
      <c r="F329" t="s">
        <v>60</v>
      </c>
      <c r="G329" t="s">
        <v>104</v>
      </c>
      <c r="H329" t="s">
        <v>29</v>
      </c>
      <c r="I329">
        <v>3462</v>
      </c>
      <c r="J329">
        <v>2</v>
      </c>
      <c r="K329">
        <v>4.2</v>
      </c>
      <c r="L329">
        <v>4</v>
      </c>
      <c r="M329" t="s">
        <v>30</v>
      </c>
    </row>
    <row r="330" spans="1:13">
      <c r="A330" t="s">
        <v>641</v>
      </c>
      <c r="B330" t="s">
        <v>434</v>
      </c>
      <c r="C330" t="s">
        <v>58</v>
      </c>
      <c r="D330" t="s">
        <v>51</v>
      </c>
      <c r="E330" t="s">
        <v>52</v>
      </c>
      <c r="F330" t="s">
        <v>27</v>
      </c>
      <c r="G330" t="s">
        <v>19</v>
      </c>
      <c r="H330" t="s">
        <v>36</v>
      </c>
      <c r="I330">
        <v>7096</v>
      </c>
      <c r="J330">
        <v>4</v>
      </c>
      <c r="K330">
        <v>4</v>
      </c>
      <c r="L330">
        <v>3</v>
      </c>
      <c r="M330" t="s">
        <v>47</v>
      </c>
    </row>
    <row r="331" spans="1:13">
      <c r="A331" t="s">
        <v>642</v>
      </c>
      <c r="B331" t="s">
        <v>429</v>
      </c>
      <c r="C331" t="s">
        <v>133</v>
      </c>
      <c r="D331" t="s">
        <v>34</v>
      </c>
      <c r="E331" t="s">
        <v>35</v>
      </c>
      <c r="F331" t="s">
        <v>60</v>
      </c>
      <c r="G331" t="s">
        <v>19</v>
      </c>
      <c r="H331" t="s">
        <v>29</v>
      </c>
      <c r="I331">
        <v>151312</v>
      </c>
      <c r="J331">
        <v>7</v>
      </c>
      <c r="K331">
        <v>4.7</v>
      </c>
      <c r="L331">
        <v>3</v>
      </c>
      <c r="M331" t="s">
        <v>30</v>
      </c>
    </row>
    <row r="332" spans="1:13">
      <c r="A332" t="s">
        <v>643</v>
      </c>
      <c r="B332" t="s">
        <v>195</v>
      </c>
      <c r="C332" t="s">
        <v>68</v>
      </c>
      <c r="D332" t="s">
        <v>46</v>
      </c>
      <c r="E332" t="s">
        <v>42</v>
      </c>
      <c r="F332" t="s">
        <v>60</v>
      </c>
      <c r="G332" t="s">
        <v>104</v>
      </c>
      <c r="H332" t="s">
        <v>29</v>
      </c>
      <c r="I332">
        <v>1191</v>
      </c>
      <c r="J332">
        <v>1</v>
      </c>
      <c r="K332">
        <v>4.7</v>
      </c>
      <c r="L332">
        <v>8</v>
      </c>
      <c r="M332" t="s">
        <v>21</v>
      </c>
    </row>
    <row r="333" spans="1:13">
      <c r="A333" t="s">
        <v>644</v>
      </c>
      <c r="B333" t="s">
        <v>622</v>
      </c>
      <c r="C333" t="s">
        <v>58</v>
      </c>
      <c r="D333" t="s">
        <v>130</v>
      </c>
      <c r="E333" t="s">
        <v>35</v>
      </c>
      <c r="F333" t="s">
        <v>100</v>
      </c>
      <c r="G333" t="s">
        <v>19</v>
      </c>
      <c r="H333" t="s">
        <v>29</v>
      </c>
      <c r="I333">
        <v>282350</v>
      </c>
      <c r="J333">
        <v>5</v>
      </c>
      <c r="K333">
        <v>4.8</v>
      </c>
      <c r="L333">
        <v>4</v>
      </c>
      <c r="M333" t="s">
        <v>30</v>
      </c>
    </row>
    <row r="334" spans="1:13">
      <c r="A334" t="s">
        <v>645</v>
      </c>
      <c r="B334" t="s">
        <v>646</v>
      </c>
      <c r="C334" t="s">
        <v>24</v>
      </c>
      <c r="D334" t="s">
        <v>130</v>
      </c>
      <c r="E334" t="s">
        <v>35</v>
      </c>
      <c r="F334" t="s">
        <v>27</v>
      </c>
      <c r="G334" t="s">
        <v>104</v>
      </c>
      <c r="H334" t="s">
        <v>64</v>
      </c>
      <c r="I334">
        <v>419576</v>
      </c>
      <c r="J334">
        <v>8</v>
      </c>
      <c r="K334">
        <v>4</v>
      </c>
      <c r="L334">
        <v>3</v>
      </c>
      <c r="M334" t="s">
        <v>119</v>
      </c>
    </row>
    <row r="335" spans="1:13">
      <c r="A335" t="s">
        <v>647</v>
      </c>
      <c r="B335" t="s">
        <v>589</v>
      </c>
      <c r="C335" t="s">
        <v>45</v>
      </c>
      <c r="D335" t="s">
        <v>69</v>
      </c>
      <c r="E335" t="s">
        <v>26</v>
      </c>
      <c r="F335" t="s">
        <v>27</v>
      </c>
      <c r="G335" t="s">
        <v>28</v>
      </c>
      <c r="H335" t="s">
        <v>29</v>
      </c>
      <c r="I335">
        <v>11982</v>
      </c>
      <c r="J335">
        <v>2</v>
      </c>
      <c r="K335">
        <v>4.4000000000000004</v>
      </c>
      <c r="L335">
        <v>5</v>
      </c>
      <c r="M335" t="s">
        <v>87</v>
      </c>
    </row>
    <row r="336" spans="1:13">
      <c r="A336" t="s">
        <v>648</v>
      </c>
      <c r="B336" t="s">
        <v>222</v>
      </c>
      <c r="C336" t="s">
        <v>75</v>
      </c>
      <c r="D336" t="s">
        <v>46</v>
      </c>
      <c r="E336" t="s">
        <v>42</v>
      </c>
      <c r="F336" t="s">
        <v>83</v>
      </c>
      <c r="G336" t="s">
        <v>19</v>
      </c>
      <c r="H336" t="s">
        <v>64</v>
      </c>
      <c r="I336">
        <v>7112</v>
      </c>
      <c r="J336">
        <v>8</v>
      </c>
      <c r="K336">
        <v>4.5</v>
      </c>
      <c r="L336">
        <v>5</v>
      </c>
      <c r="M336" t="s">
        <v>30</v>
      </c>
    </row>
    <row r="337" spans="1:13">
      <c r="A337" t="s">
        <v>649</v>
      </c>
      <c r="B337" t="s">
        <v>242</v>
      </c>
      <c r="C337" t="s">
        <v>68</v>
      </c>
      <c r="D337" t="s">
        <v>16</v>
      </c>
      <c r="E337" t="s">
        <v>17</v>
      </c>
      <c r="F337" t="s">
        <v>53</v>
      </c>
      <c r="G337" t="s">
        <v>19</v>
      </c>
      <c r="H337" t="s">
        <v>36</v>
      </c>
      <c r="I337">
        <v>11384</v>
      </c>
      <c r="J337">
        <v>8</v>
      </c>
      <c r="K337">
        <v>4.5999999999999996</v>
      </c>
      <c r="L337">
        <v>2</v>
      </c>
      <c r="M337" t="s">
        <v>87</v>
      </c>
    </row>
    <row r="338" spans="1:13">
      <c r="A338" t="s">
        <v>650</v>
      </c>
      <c r="B338" t="s">
        <v>615</v>
      </c>
      <c r="C338" t="s">
        <v>15</v>
      </c>
      <c r="D338" t="s">
        <v>46</v>
      </c>
      <c r="E338" t="s">
        <v>42</v>
      </c>
      <c r="F338" t="s">
        <v>18</v>
      </c>
      <c r="G338" t="s">
        <v>104</v>
      </c>
      <c r="H338" t="s">
        <v>29</v>
      </c>
      <c r="I338">
        <v>6940</v>
      </c>
      <c r="J338">
        <v>4</v>
      </c>
      <c r="K338">
        <v>4.0999999999999996</v>
      </c>
      <c r="L338">
        <v>3</v>
      </c>
      <c r="M338" t="s">
        <v>37</v>
      </c>
    </row>
    <row r="339" spans="1:13">
      <c r="A339" t="s">
        <v>651</v>
      </c>
      <c r="B339" t="s">
        <v>652</v>
      </c>
      <c r="C339" t="s">
        <v>58</v>
      </c>
      <c r="D339" t="s">
        <v>90</v>
      </c>
      <c r="E339" t="s">
        <v>42</v>
      </c>
      <c r="F339" t="s">
        <v>60</v>
      </c>
      <c r="G339" t="s">
        <v>104</v>
      </c>
      <c r="H339" t="s">
        <v>29</v>
      </c>
      <c r="I339">
        <v>25585</v>
      </c>
      <c r="J339">
        <v>5</v>
      </c>
      <c r="K339">
        <v>4.3</v>
      </c>
      <c r="L339">
        <v>8</v>
      </c>
      <c r="M339" t="s">
        <v>30</v>
      </c>
    </row>
    <row r="340" spans="1:13">
      <c r="A340" t="s">
        <v>653</v>
      </c>
      <c r="B340" t="s">
        <v>561</v>
      </c>
      <c r="C340" t="s">
        <v>112</v>
      </c>
      <c r="D340" t="s">
        <v>159</v>
      </c>
      <c r="E340" t="s">
        <v>42</v>
      </c>
      <c r="F340" t="s">
        <v>83</v>
      </c>
      <c r="G340" t="s">
        <v>104</v>
      </c>
      <c r="H340" t="s">
        <v>29</v>
      </c>
      <c r="I340">
        <v>22624</v>
      </c>
      <c r="J340">
        <v>8</v>
      </c>
      <c r="K340">
        <v>3.7</v>
      </c>
      <c r="L340">
        <v>1</v>
      </c>
      <c r="M340" t="s">
        <v>87</v>
      </c>
    </row>
    <row r="341" spans="1:13">
      <c r="A341" t="s">
        <v>654</v>
      </c>
      <c r="B341" t="s">
        <v>523</v>
      </c>
      <c r="C341" t="s">
        <v>78</v>
      </c>
      <c r="D341" t="s">
        <v>41</v>
      </c>
      <c r="E341" t="s">
        <v>42</v>
      </c>
      <c r="F341" t="s">
        <v>53</v>
      </c>
      <c r="G341" t="s">
        <v>19</v>
      </c>
      <c r="H341" t="s">
        <v>64</v>
      </c>
      <c r="I341">
        <v>33808</v>
      </c>
      <c r="J341">
        <v>8</v>
      </c>
      <c r="K341">
        <v>4.3</v>
      </c>
      <c r="L341">
        <v>1</v>
      </c>
      <c r="M341" t="s">
        <v>119</v>
      </c>
    </row>
    <row r="342" spans="1:13">
      <c r="A342" t="s">
        <v>655</v>
      </c>
      <c r="B342" t="s">
        <v>656</v>
      </c>
      <c r="C342" t="s">
        <v>112</v>
      </c>
      <c r="D342" t="s">
        <v>69</v>
      </c>
      <c r="E342" t="s">
        <v>26</v>
      </c>
      <c r="F342" t="s">
        <v>100</v>
      </c>
      <c r="G342" t="s">
        <v>104</v>
      </c>
      <c r="H342" t="s">
        <v>29</v>
      </c>
      <c r="I342">
        <v>20432</v>
      </c>
      <c r="J342">
        <v>4</v>
      </c>
      <c r="K342">
        <v>3.3</v>
      </c>
      <c r="L342">
        <v>4</v>
      </c>
      <c r="M342" t="s">
        <v>55</v>
      </c>
    </row>
    <row r="343" spans="1:13">
      <c r="A343" t="s">
        <v>657</v>
      </c>
      <c r="B343" t="s">
        <v>201</v>
      </c>
      <c r="C343" t="s">
        <v>103</v>
      </c>
      <c r="D343" t="s">
        <v>59</v>
      </c>
      <c r="E343" t="s">
        <v>26</v>
      </c>
      <c r="F343" t="s">
        <v>27</v>
      </c>
      <c r="G343" t="s">
        <v>28</v>
      </c>
      <c r="H343" t="s">
        <v>20</v>
      </c>
      <c r="I343">
        <v>10432</v>
      </c>
      <c r="J343">
        <v>4</v>
      </c>
      <c r="K343">
        <v>4.3</v>
      </c>
      <c r="L343">
        <v>8</v>
      </c>
      <c r="M343" t="s">
        <v>55</v>
      </c>
    </row>
    <row r="344" spans="1:13">
      <c r="A344" t="s">
        <v>658</v>
      </c>
      <c r="B344" t="s">
        <v>536</v>
      </c>
      <c r="C344" t="s">
        <v>15</v>
      </c>
      <c r="D344" t="s">
        <v>113</v>
      </c>
      <c r="E344" t="s">
        <v>35</v>
      </c>
      <c r="F344" t="s">
        <v>83</v>
      </c>
      <c r="G344" t="s">
        <v>54</v>
      </c>
      <c r="H344" t="s">
        <v>20</v>
      </c>
      <c r="I344">
        <v>26871</v>
      </c>
      <c r="J344">
        <v>1</v>
      </c>
      <c r="K344">
        <v>3.7</v>
      </c>
      <c r="L344">
        <v>8</v>
      </c>
      <c r="M344" t="s">
        <v>80</v>
      </c>
    </row>
    <row r="345" spans="1:13">
      <c r="A345" t="s">
        <v>659</v>
      </c>
      <c r="B345" t="s">
        <v>660</v>
      </c>
      <c r="C345" t="s">
        <v>170</v>
      </c>
      <c r="D345" t="s">
        <v>116</v>
      </c>
      <c r="E345" t="s">
        <v>17</v>
      </c>
      <c r="F345" t="s">
        <v>18</v>
      </c>
      <c r="G345" t="s">
        <v>19</v>
      </c>
      <c r="H345" t="s">
        <v>36</v>
      </c>
      <c r="I345">
        <v>6960</v>
      </c>
      <c r="J345">
        <v>6</v>
      </c>
      <c r="K345">
        <v>4.5</v>
      </c>
      <c r="L345">
        <v>1</v>
      </c>
      <c r="M345" t="s">
        <v>37</v>
      </c>
    </row>
    <row r="346" spans="1:13">
      <c r="A346" t="s">
        <v>661</v>
      </c>
      <c r="B346" t="s">
        <v>589</v>
      </c>
      <c r="C346" t="s">
        <v>50</v>
      </c>
      <c r="D346" t="s">
        <v>97</v>
      </c>
      <c r="E346" t="s">
        <v>35</v>
      </c>
      <c r="F346" t="s">
        <v>60</v>
      </c>
      <c r="G346" t="s">
        <v>19</v>
      </c>
      <c r="H346" t="s">
        <v>36</v>
      </c>
      <c r="I346">
        <v>282224</v>
      </c>
      <c r="J346">
        <v>8</v>
      </c>
      <c r="K346">
        <v>3.4</v>
      </c>
      <c r="L346">
        <v>4</v>
      </c>
      <c r="M346" t="s">
        <v>87</v>
      </c>
    </row>
    <row r="347" spans="1:13">
      <c r="A347" t="s">
        <v>662</v>
      </c>
      <c r="B347" t="s">
        <v>663</v>
      </c>
      <c r="C347" t="s">
        <v>78</v>
      </c>
      <c r="D347" t="s">
        <v>51</v>
      </c>
      <c r="E347" t="s">
        <v>52</v>
      </c>
      <c r="F347" t="s">
        <v>100</v>
      </c>
      <c r="G347" t="s">
        <v>54</v>
      </c>
      <c r="H347" t="s">
        <v>29</v>
      </c>
      <c r="I347">
        <v>7372</v>
      </c>
      <c r="J347">
        <v>4</v>
      </c>
      <c r="K347">
        <v>4.3</v>
      </c>
      <c r="L347">
        <v>1</v>
      </c>
      <c r="M347" t="s">
        <v>87</v>
      </c>
    </row>
    <row r="348" spans="1:13">
      <c r="A348" t="s">
        <v>664</v>
      </c>
      <c r="B348" t="s">
        <v>597</v>
      </c>
      <c r="C348" t="s">
        <v>24</v>
      </c>
      <c r="D348" t="s">
        <v>46</v>
      </c>
      <c r="E348" t="s">
        <v>42</v>
      </c>
      <c r="F348" t="s">
        <v>53</v>
      </c>
      <c r="G348" t="s">
        <v>54</v>
      </c>
      <c r="H348" t="s">
        <v>64</v>
      </c>
      <c r="I348">
        <v>15798</v>
      </c>
      <c r="J348">
        <v>6</v>
      </c>
      <c r="K348">
        <v>4</v>
      </c>
      <c r="L348">
        <v>1</v>
      </c>
      <c r="M348" t="s">
        <v>37</v>
      </c>
    </row>
    <row r="349" spans="1:13">
      <c r="A349" t="s">
        <v>665</v>
      </c>
      <c r="B349" t="s">
        <v>666</v>
      </c>
      <c r="C349" t="s">
        <v>45</v>
      </c>
      <c r="D349" t="s">
        <v>147</v>
      </c>
      <c r="E349" t="s">
        <v>52</v>
      </c>
      <c r="F349" t="s">
        <v>53</v>
      </c>
      <c r="G349" t="s">
        <v>54</v>
      </c>
      <c r="H349" t="s">
        <v>36</v>
      </c>
      <c r="I349">
        <v>7072</v>
      </c>
      <c r="J349">
        <v>8</v>
      </c>
      <c r="K349">
        <v>3.5</v>
      </c>
      <c r="L349">
        <v>2</v>
      </c>
      <c r="M349" t="s">
        <v>144</v>
      </c>
    </row>
    <row r="350" spans="1:13">
      <c r="A350" t="s">
        <v>667</v>
      </c>
      <c r="B350" t="s">
        <v>668</v>
      </c>
      <c r="C350" t="s">
        <v>146</v>
      </c>
      <c r="D350" t="s">
        <v>34</v>
      </c>
      <c r="E350" t="s">
        <v>35</v>
      </c>
      <c r="F350" t="s">
        <v>27</v>
      </c>
      <c r="G350" t="s">
        <v>19</v>
      </c>
      <c r="H350" t="s">
        <v>36</v>
      </c>
      <c r="I350">
        <v>65994</v>
      </c>
      <c r="J350">
        <v>2</v>
      </c>
      <c r="K350">
        <v>4.5999999999999996</v>
      </c>
      <c r="L350">
        <v>6</v>
      </c>
      <c r="M350" t="s">
        <v>119</v>
      </c>
    </row>
    <row r="351" spans="1:13">
      <c r="A351" t="s">
        <v>669</v>
      </c>
      <c r="B351" t="s">
        <v>670</v>
      </c>
      <c r="C351" t="s">
        <v>179</v>
      </c>
      <c r="D351" t="s">
        <v>46</v>
      </c>
      <c r="E351" t="s">
        <v>42</v>
      </c>
      <c r="F351" t="s">
        <v>100</v>
      </c>
      <c r="G351" t="s">
        <v>19</v>
      </c>
      <c r="H351" t="s">
        <v>29</v>
      </c>
      <c r="I351">
        <v>26395</v>
      </c>
      <c r="J351">
        <v>5</v>
      </c>
      <c r="K351">
        <v>4.2</v>
      </c>
      <c r="L351">
        <v>8</v>
      </c>
      <c r="M351" t="s">
        <v>80</v>
      </c>
    </row>
    <row r="352" spans="1:13">
      <c r="A352" t="s">
        <v>671</v>
      </c>
      <c r="B352" t="s">
        <v>14</v>
      </c>
      <c r="C352" t="s">
        <v>146</v>
      </c>
      <c r="D352" t="s">
        <v>97</v>
      </c>
      <c r="E352" t="s">
        <v>35</v>
      </c>
      <c r="F352" t="s">
        <v>18</v>
      </c>
      <c r="G352" t="s">
        <v>28</v>
      </c>
      <c r="H352" t="s">
        <v>20</v>
      </c>
      <c r="I352">
        <v>68457</v>
      </c>
      <c r="J352">
        <v>3</v>
      </c>
      <c r="K352">
        <v>4.7</v>
      </c>
      <c r="L352">
        <v>6</v>
      </c>
      <c r="M352" t="s">
        <v>21</v>
      </c>
    </row>
    <row r="353" spans="1:13">
      <c r="A353" t="s">
        <v>672</v>
      </c>
      <c r="B353" t="s">
        <v>673</v>
      </c>
      <c r="C353" t="s">
        <v>78</v>
      </c>
      <c r="D353" t="s">
        <v>218</v>
      </c>
      <c r="E353" t="s">
        <v>17</v>
      </c>
      <c r="F353" t="s">
        <v>83</v>
      </c>
      <c r="G353" t="s">
        <v>104</v>
      </c>
      <c r="H353" t="s">
        <v>29</v>
      </c>
      <c r="I353">
        <v>3824</v>
      </c>
      <c r="J353">
        <v>4</v>
      </c>
      <c r="K353">
        <v>4.0999999999999996</v>
      </c>
      <c r="L353">
        <v>8</v>
      </c>
      <c r="M353" t="s">
        <v>192</v>
      </c>
    </row>
    <row r="354" spans="1:13">
      <c r="A354" t="s">
        <v>674</v>
      </c>
      <c r="B354" t="s">
        <v>675</v>
      </c>
      <c r="C354" t="s">
        <v>68</v>
      </c>
      <c r="D354" t="s">
        <v>46</v>
      </c>
      <c r="E354" t="s">
        <v>42</v>
      </c>
      <c r="F354" t="s">
        <v>60</v>
      </c>
      <c r="G354" t="s">
        <v>19</v>
      </c>
      <c r="H354" t="s">
        <v>36</v>
      </c>
      <c r="I354">
        <v>3526</v>
      </c>
      <c r="J354">
        <v>2</v>
      </c>
      <c r="K354">
        <v>4.8</v>
      </c>
      <c r="L354">
        <v>4</v>
      </c>
      <c r="M354" t="s">
        <v>87</v>
      </c>
    </row>
    <row r="355" spans="1:13">
      <c r="A355" t="s">
        <v>676</v>
      </c>
      <c r="B355" t="s">
        <v>275</v>
      </c>
      <c r="C355" t="s">
        <v>15</v>
      </c>
      <c r="D355" t="s">
        <v>116</v>
      </c>
      <c r="E355" t="s">
        <v>17</v>
      </c>
      <c r="F355" t="s">
        <v>83</v>
      </c>
      <c r="G355" t="s">
        <v>28</v>
      </c>
      <c r="H355" t="s">
        <v>36</v>
      </c>
      <c r="I355">
        <v>11008</v>
      </c>
      <c r="J355">
        <v>8</v>
      </c>
      <c r="K355">
        <v>4.3</v>
      </c>
      <c r="L355">
        <v>2</v>
      </c>
      <c r="M355" t="s">
        <v>119</v>
      </c>
    </row>
    <row r="356" spans="1:13">
      <c r="A356" t="s">
        <v>677</v>
      </c>
      <c r="B356" t="s">
        <v>379</v>
      </c>
      <c r="C356" t="s">
        <v>40</v>
      </c>
      <c r="D356" t="s">
        <v>41</v>
      </c>
      <c r="E356" t="s">
        <v>42</v>
      </c>
      <c r="F356" t="s">
        <v>18</v>
      </c>
      <c r="G356" t="s">
        <v>19</v>
      </c>
      <c r="H356" t="s">
        <v>36</v>
      </c>
      <c r="I356">
        <v>20139</v>
      </c>
      <c r="J356">
        <v>7</v>
      </c>
      <c r="K356">
        <v>3.3</v>
      </c>
      <c r="L356">
        <v>2</v>
      </c>
      <c r="M356" t="s">
        <v>55</v>
      </c>
    </row>
    <row r="357" spans="1:13">
      <c r="A357" t="s">
        <v>678</v>
      </c>
      <c r="B357" t="s">
        <v>387</v>
      </c>
      <c r="C357" t="s">
        <v>78</v>
      </c>
      <c r="D357" t="s">
        <v>86</v>
      </c>
      <c r="E357" t="s">
        <v>17</v>
      </c>
      <c r="F357" t="s">
        <v>27</v>
      </c>
      <c r="G357" t="s">
        <v>28</v>
      </c>
      <c r="H357" t="s">
        <v>36</v>
      </c>
      <c r="I357">
        <v>4816</v>
      </c>
      <c r="J357">
        <v>7</v>
      </c>
      <c r="K357">
        <v>4.3</v>
      </c>
      <c r="L357">
        <v>3</v>
      </c>
      <c r="M357" t="s">
        <v>65</v>
      </c>
    </row>
    <row r="358" spans="1:13">
      <c r="A358" t="s">
        <v>679</v>
      </c>
      <c r="B358" t="s">
        <v>141</v>
      </c>
      <c r="C358" t="s">
        <v>24</v>
      </c>
      <c r="D358" t="s">
        <v>59</v>
      </c>
      <c r="E358" t="s">
        <v>26</v>
      </c>
      <c r="F358" t="s">
        <v>100</v>
      </c>
      <c r="G358" t="s">
        <v>28</v>
      </c>
      <c r="H358" t="s">
        <v>29</v>
      </c>
      <c r="I358">
        <v>30040</v>
      </c>
      <c r="J358">
        <v>8</v>
      </c>
      <c r="K358">
        <v>4.2</v>
      </c>
      <c r="L358">
        <v>6</v>
      </c>
      <c r="M358" t="s">
        <v>119</v>
      </c>
    </row>
    <row r="359" spans="1:13">
      <c r="A359" t="s">
        <v>680</v>
      </c>
      <c r="B359" t="s">
        <v>681</v>
      </c>
      <c r="C359" t="s">
        <v>50</v>
      </c>
      <c r="D359" t="s">
        <v>165</v>
      </c>
      <c r="E359" t="s">
        <v>35</v>
      </c>
      <c r="F359" t="s">
        <v>100</v>
      </c>
      <c r="G359" t="s">
        <v>104</v>
      </c>
      <c r="H359" t="s">
        <v>29</v>
      </c>
      <c r="I359">
        <v>269370</v>
      </c>
      <c r="J359">
        <v>6</v>
      </c>
      <c r="K359">
        <v>4.2</v>
      </c>
      <c r="L359">
        <v>4</v>
      </c>
      <c r="M359" t="s">
        <v>126</v>
      </c>
    </row>
    <row r="360" spans="1:13">
      <c r="A360" t="s">
        <v>682</v>
      </c>
      <c r="B360" t="s">
        <v>300</v>
      </c>
      <c r="C360" t="s">
        <v>15</v>
      </c>
      <c r="D360" t="s">
        <v>90</v>
      </c>
      <c r="E360" t="s">
        <v>42</v>
      </c>
      <c r="F360" t="s">
        <v>53</v>
      </c>
      <c r="G360" t="s">
        <v>19</v>
      </c>
      <c r="H360" t="s">
        <v>20</v>
      </c>
      <c r="I360">
        <v>5580</v>
      </c>
      <c r="J360">
        <v>1</v>
      </c>
      <c r="K360">
        <v>4.0999999999999996</v>
      </c>
      <c r="L360">
        <v>5</v>
      </c>
      <c r="M360" t="s">
        <v>55</v>
      </c>
    </row>
    <row r="361" spans="1:13">
      <c r="A361" t="s">
        <v>683</v>
      </c>
      <c r="B361" t="s">
        <v>118</v>
      </c>
      <c r="C361" t="s">
        <v>146</v>
      </c>
      <c r="D361" t="s">
        <v>113</v>
      </c>
      <c r="E361" t="s">
        <v>35</v>
      </c>
      <c r="F361" t="s">
        <v>53</v>
      </c>
      <c r="G361" t="s">
        <v>19</v>
      </c>
      <c r="H361" t="s">
        <v>20</v>
      </c>
      <c r="I361">
        <v>377090</v>
      </c>
      <c r="J361">
        <v>5</v>
      </c>
      <c r="K361">
        <v>3.5</v>
      </c>
      <c r="L361">
        <v>1</v>
      </c>
      <c r="M361" t="s">
        <v>119</v>
      </c>
    </row>
    <row r="362" spans="1:13">
      <c r="A362" t="s">
        <v>684</v>
      </c>
      <c r="B362" t="s">
        <v>413</v>
      </c>
      <c r="C362" t="s">
        <v>75</v>
      </c>
      <c r="D362" t="s">
        <v>130</v>
      </c>
      <c r="E362" t="s">
        <v>35</v>
      </c>
      <c r="F362" t="s">
        <v>27</v>
      </c>
      <c r="G362" t="s">
        <v>104</v>
      </c>
      <c r="H362" t="s">
        <v>64</v>
      </c>
      <c r="I362">
        <v>167444</v>
      </c>
      <c r="J362">
        <v>4</v>
      </c>
      <c r="K362">
        <v>3.9</v>
      </c>
      <c r="L362">
        <v>4</v>
      </c>
      <c r="M362" t="s">
        <v>30</v>
      </c>
    </row>
    <row r="363" spans="1:13">
      <c r="A363" t="s">
        <v>685</v>
      </c>
      <c r="B363" t="s">
        <v>118</v>
      </c>
      <c r="C363" t="s">
        <v>170</v>
      </c>
      <c r="D363" t="s">
        <v>51</v>
      </c>
      <c r="E363" t="s">
        <v>52</v>
      </c>
      <c r="F363" t="s">
        <v>53</v>
      </c>
      <c r="G363" t="s">
        <v>28</v>
      </c>
      <c r="H363" t="s">
        <v>64</v>
      </c>
      <c r="I363">
        <v>2960</v>
      </c>
      <c r="J363">
        <v>2</v>
      </c>
      <c r="K363">
        <v>3.3</v>
      </c>
      <c r="L363">
        <v>1</v>
      </c>
      <c r="M363" t="s">
        <v>119</v>
      </c>
    </row>
    <row r="364" spans="1:13">
      <c r="A364" t="s">
        <v>686</v>
      </c>
      <c r="B364" t="s">
        <v>687</v>
      </c>
      <c r="C364" t="s">
        <v>170</v>
      </c>
      <c r="D364" t="s">
        <v>86</v>
      </c>
      <c r="E364" t="s">
        <v>17</v>
      </c>
      <c r="F364" t="s">
        <v>100</v>
      </c>
      <c r="G364" t="s">
        <v>19</v>
      </c>
      <c r="H364" t="s">
        <v>20</v>
      </c>
      <c r="I364">
        <v>1598</v>
      </c>
      <c r="J364">
        <v>1</v>
      </c>
      <c r="K364">
        <v>3.3</v>
      </c>
      <c r="L364">
        <v>3</v>
      </c>
      <c r="M364" t="s">
        <v>119</v>
      </c>
    </row>
    <row r="365" spans="1:13">
      <c r="A365" t="s">
        <v>688</v>
      </c>
      <c r="B365" t="s">
        <v>306</v>
      </c>
      <c r="C365" t="s">
        <v>125</v>
      </c>
      <c r="D365" t="s">
        <v>116</v>
      </c>
      <c r="E365" t="s">
        <v>17</v>
      </c>
      <c r="F365" t="s">
        <v>100</v>
      </c>
      <c r="G365" t="s">
        <v>54</v>
      </c>
      <c r="H365" t="s">
        <v>64</v>
      </c>
      <c r="I365">
        <v>1508</v>
      </c>
      <c r="J365">
        <v>2</v>
      </c>
      <c r="K365">
        <v>3.4</v>
      </c>
      <c r="L365">
        <v>2</v>
      </c>
      <c r="M365" t="s">
        <v>47</v>
      </c>
    </row>
    <row r="366" spans="1:13">
      <c r="A366" t="s">
        <v>689</v>
      </c>
      <c r="B366" t="s">
        <v>690</v>
      </c>
      <c r="C366" t="s">
        <v>58</v>
      </c>
      <c r="D366" t="s">
        <v>113</v>
      </c>
      <c r="E366" t="s">
        <v>35</v>
      </c>
      <c r="F366" t="s">
        <v>83</v>
      </c>
      <c r="G366" t="s">
        <v>19</v>
      </c>
      <c r="H366" t="s">
        <v>20</v>
      </c>
      <c r="I366">
        <v>141239</v>
      </c>
      <c r="J366">
        <v>7</v>
      </c>
      <c r="K366">
        <v>3.6</v>
      </c>
      <c r="L366">
        <v>7</v>
      </c>
      <c r="M366" t="s">
        <v>55</v>
      </c>
    </row>
    <row r="367" spans="1:13">
      <c r="A367" t="s">
        <v>691</v>
      </c>
      <c r="B367" t="s">
        <v>692</v>
      </c>
      <c r="C367" t="s">
        <v>170</v>
      </c>
      <c r="D367" t="s">
        <v>218</v>
      </c>
      <c r="E367" t="s">
        <v>17</v>
      </c>
      <c r="F367" t="s">
        <v>53</v>
      </c>
      <c r="G367" t="s">
        <v>54</v>
      </c>
      <c r="H367" t="s">
        <v>29</v>
      </c>
      <c r="I367">
        <v>10212</v>
      </c>
      <c r="J367">
        <v>6</v>
      </c>
      <c r="K367">
        <v>3.9</v>
      </c>
      <c r="L367">
        <v>4</v>
      </c>
      <c r="M367" t="s">
        <v>47</v>
      </c>
    </row>
    <row r="368" spans="1:13">
      <c r="A368" t="s">
        <v>693</v>
      </c>
      <c r="B368" t="s">
        <v>595</v>
      </c>
      <c r="C368" t="s">
        <v>72</v>
      </c>
      <c r="D368" t="s">
        <v>109</v>
      </c>
      <c r="E368" t="s">
        <v>52</v>
      </c>
      <c r="F368" t="s">
        <v>27</v>
      </c>
      <c r="G368" t="s">
        <v>54</v>
      </c>
      <c r="H368" t="s">
        <v>36</v>
      </c>
      <c r="I368">
        <v>6776</v>
      </c>
      <c r="J368">
        <v>8</v>
      </c>
      <c r="K368">
        <v>3.6</v>
      </c>
      <c r="L368">
        <v>6</v>
      </c>
      <c r="M368" t="s">
        <v>192</v>
      </c>
    </row>
    <row r="369" spans="1:13">
      <c r="A369" t="s">
        <v>694</v>
      </c>
      <c r="B369" t="s">
        <v>673</v>
      </c>
      <c r="C369" t="s">
        <v>170</v>
      </c>
      <c r="D369" t="s">
        <v>86</v>
      </c>
      <c r="E369" t="s">
        <v>17</v>
      </c>
      <c r="F369" t="s">
        <v>83</v>
      </c>
      <c r="G369" t="s">
        <v>19</v>
      </c>
      <c r="H369" t="s">
        <v>20</v>
      </c>
      <c r="I369">
        <v>2667</v>
      </c>
      <c r="J369">
        <v>3</v>
      </c>
      <c r="K369">
        <v>4</v>
      </c>
      <c r="L369">
        <v>1</v>
      </c>
      <c r="M369" t="s">
        <v>192</v>
      </c>
    </row>
    <row r="370" spans="1:13">
      <c r="A370" t="s">
        <v>695</v>
      </c>
      <c r="B370" t="s">
        <v>149</v>
      </c>
      <c r="C370" t="s">
        <v>103</v>
      </c>
      <c r="D370" t="s">
        <v>59</v>
      </c>
      <c r="E370" t="s">
        <v>26</v>
      </c>
      <c r="F370" t="s">
        <v>83</v>
      </c>
      <c r="G370" t="s">
        <v>54</v>
      </c>
      <c r="H370" t="s">
        <v>29</v>
      </c>
      <c r="I370">
        <v>82808</v>
      </c>
      <c r="J370">
        <v>8</v>
      </c>
      <c r="K370">
        <v>4.8</v>
      </c>
      <c r="L370">
        <v>1</v>
      </c>
      <c r="M370" t="s">
        <v>30</v>
      </c>
    </row>
    <row r="371" spans="1:13">
      <c r="A371" t="s">
        <v>696</v>
      </c>
      <c r="B371" t="s">
        <v>697</v>
      </c>
      <c r="C371" t="s">
        <v>68</v>
      </c>
      <c r="D371" t="s">
        <v>109</v>
      </c>
      <c r="E371" t="s">
        <v>52</v>
      </c>
      <c r="F371" t="s">
        <v>18</v>
      </c>
      <c r="G371" t="s">
        <v>104</v>
      </c>
      <c r="H371" t="s">
        <v>64</v>
      </c>
      <c r="I371">
        <v>2272</v>
      </c>
      <c r="J371">
        <v>8</v>
      </c>
      <c r="K371">
        <v>3.7</v>
      </c>
      <c r="L371">
        <v>6</v>
      </c>
      <c r="M371" t="s">
        <v>144</v>
      </c>
    </row>
    <row r="372" spans="1:13">
      <c r="A372" t="s">
        <v>698</v>
      </c>
      <c r="B372" t="s">
        <v>62</v>
      </c>
      <c r="C372" t="s">
        <v>78</v>
      </c>
      <c r="D372" t="s">
        <v>51</v>
      </c>
      <c r="E372" t="s">
        <v>52</v>
      </c>
      <c r="F372" t="s">
        <v>27</v>
      </c>
      <c r="G372" t="s">
        <v>54</v>
      </c>
      <c r="H372" t="s">
        <v>36</v>
      </c>
      <c r="I372">
        <v>4470</v>
      </c>
      <c r="J372">
        <v>2</v>
      </c>
      <c r="K372">
        <v>3.5</v>
      </c>
      <c r="L372">
        <v>8</v>
      </c>
      <c r="M372" t="s">
        <v>65</v>
      </c>
    </row>
    <row r="373" spans="1:13">
      <c r="A373" t="s">
        <v>699</v>
      </c>
      <c r="B373" t="s">
        <v>124</v>
      </c>
      <c r="C373" t="s">
        <v>122</v>
      </c>
      <c r="D373" t="s">
        <v>109</v>
      </c>
      <c r="E373" t="s">
        <v>52</v>
      </c>
      <c r="F373" t="s">
        <v>100</v>
      </c>
      <c r="G373" t="s">
        <v>104</v>
      </c>
      <c r="H373" t="s">
        <v>36</v>
      </c>
      <c r="I373">
        <v>7144</v>
      </c>
      <c r="J373">
        <v>8</v>
      </c>
      <c r="K373">
        <v>3.8</v>
      </c>
      <c r="L373">
        <v>5</v>
      </c>
      <c r="M373" t="s">
        <v>126</v>
      </c>
    </row>
    <row r="374" spans="1:13">
      <c r="A374" t="s">
        <v>700</v>
      </c>
      <c r="B374" t="s">
        <v>308</v>
      </c>
      <c r="C374" t="s">
        <v>112</v>
      </c>
      <c r="D374" t="s">
        <v>97</v>
      </c>
      <c r="E374" t="s">
        <v>35</v>
      </c>
      <c r="F374" t="s">
        <v>27</v>
      </c>
      <c r="G374" t="s">
        <v>19</v>
      </c>
      <c r="H374" t="s">
        <v>64</v>
      </c>
      <c r="I374">
        <v>236490</v>
      </c>
      <c r="J374">
        <v>5</v>
      </c>
      <c r="K374">
        <v>3.4</v>
      </c>
      <c r="L374">
        <v>7</v>
      </c>
      <c r="M374" t="s">
        <v>144</v>
      </c>
    </row>
    <row r="375" spans="1:13">
      <c r="A375" t="s">
        <v>701</v>
      </c>
      <c r="B375" t="s">
        <v>702</v>
      </c>
      <c r="C375" t="s">
        <v>58</v>
      </c>
      <c r="D375" t="s">
        <v>63</v>
      </c>
      <c r="E375" t="s">
        <v>52</v>
      </c>
      <c r="F375" t="s">
        <v>100</v>
      </c>
      <c r="G375" t="s">
        <v>19</v>
      </c>
      <c r="H375" t="s">
        <v>20</v>
      </c>
      <c r="I375">
        <v>7990</v>
      </c>
      <c r="J375">
        <v>5</v>
      </c>
      <c r="K375">
        <v>3.6</v>
      </c>
      <c r="L375">
        <v>3</v>
      </c>
      <c r="M375" t="s">
        <v>47</v>
      </c>
    </row>
    <row r="376" spans="1:13">
      <c r="A376" t="s">
        <v>703</v>
      </c>
      <c r="B376" t="s">
        <v>363</v>
      </c>
      <c r="C376" t="s">
        <v>24</v>
      </c>
      <c r="D376" t="s">
        <v>165</v>
      </c>
      <c r="E376" t="s">
        <v>35</v>
      </c>
      <c r="F376" t="s">
        <v>53</v>
      </c>
      <c r="G376" t="s">
        <v>19</v>
      </c>
      <c r="H376" t="s">
        <v>36</v>
      </c>
      <c r="I376">
        <v>308798</v>
      </c>
      <c r="J376">
        <v>7</v>
      </c>
      <c r="K376">
        <v>4.2</v>
      </c>
      <c r="L376">
        <v>2</v>
      </c>
      <c r="M376" t="s">
        <v>80</v>
      </c>
    </row>
    <row r="377" spans="1:13">
      <c r="A377" t="s">
        <v>704</v>
      </c>
      <c r="B377" t="s">
        <v>705</v>
      </c>
      <c r="C377" t="s">
        <v>45</v>
      </c>
      <c r="D377" t="s">
        <v>97</v>
      </c>
      <c r="E377" t="s">
        <v>35</v>
      </c>
      <c r="F377" t="s">
        <v>100</v>
      </c>
      <c r="G377" t="s">
        <v>104</v>
      </c>
      <c r="H377" t="s">
        <v>20</v>
      </c>
      <c r="I377">
        <v>112085</v>
      </c>
      <c r="J377">
        <v>5</v>
      </c>
      <c r="K377">
        <v>3.4</v>
      </c>
      <c r="L377">
        <v>1</v>
      </c>
      <c r="M377" t="s">
        <v>55</v>
      </c>
    </row>
    <row r="378" spans="1:13">
      <c r="A378" t="s">
        <v>706</v>
      </c>
      <c r="B378" t="s">
        <v>178</v>
      </c>
      <c r="C378" t="s">
        <v>129</v>
      </c>
      <c r="D378" t="s">
        <v>79</v>
      </c>
      <c r="E378" t="s">
        <v>26</v>
      </c>
      <c r="F378" t="s">
        <v>83</v>
      </c>
      <c r="G378" t="s">
        <v>28</v>
      </c>
      <c r="H378" t="s">
        <v>64</v>
      </c>
      <c r="I378">
        <v>9030</v>
      </c>
      <c r="J378">
        <v>1</v>
      </c>
      <c r="K378">
        <v>4.7</v>
      </c>
      <c r="L378">
        <v>8</v>
      </c>
      <c r="M378" t="s">
        <v>37</v>
      </c>
    </row>
    <row r="379" spans="1:13">
      <c r="A379" t="s">
        <v>707</v>
      </c>
      <c r="B379" t="s">
        <v>708</v>
      </c>
      <c r="C379" t="s">
        <v>179</v>
      </c>
      <c r="D379" t="s">
        <v>159</v>
      </c>
      <c r="E379" t="s">
        <v>42</v>
      </c>
      <c r="F379" t="s">
        <v>83</v>
      </c>
      <c r="G379" t="s">
        <v>54</v>
      </c>
      <c r="H379" t="s">
        <v>20</v>
      </c>
      <c r="I379">
        <v>3288</v>
      </c>
      <c r="J379">
        <v>4</v>
      </c>
      <c r="K379">
        <v>4.9000000000000004</v>
      </c>
      <c r="L379">
        <v>4</v>
      </c>
      <c r="M379" t="s">
        <v>80</v>
      </c>
    </row>
    <row r="380" spans="1:13">
      <c r="A380" t="s">
        <v>709</v>
      </c>
      <c r="B380" t="s">
        <v>523</v>
      </c>
      <c r="C380" t="s">
        <v>170</v>
      </c>
      <c r="D380" t="s">
        <v>90</v>
      </c>
      <c r="E380" t="s">
        <v>42</v>
      </c>
      <c r="F380" t="s">
        <v>60</v>
      </c>
      <c r="G380" t="s">
        <v>54</v>
      </c>
      <c r="H380" t="s">
        <v>36</v>
      </c>
      <c r="I380">
        <v>24096</v>
      </c>
      <c r="J380">
        <v>6</v>
      </c>
      <c r="K380">
        <v>4.3</v>
      </c>
      <c r="L380">
        <v>7</v>
      </c>
      <c r="M380" t="s">
        <v>119</v>
      </c>
    </row>
    <row r="381" spans="1:13">
      <c r="A381" t="s">
        <v>710</v>
      </c>
      <c r="B381" t="s">
        <v>666</v>
      </c>
      <c r="C381" t="s">
        <v>179</v>
      </c>
      <c r="D381" t="s">
        <v>90</v>
      </c>
      <c r="E381" t="s">
        <v>42</v>
      </c>
      <c r="F381" t="s">
        <v>53</v>
      </c>
      <c r="G381" t="s">
        <v>28</v>
      </c>
      <c r="H381" t="s">
        <v>64</v>
      </c>
      <c r="I381">
        <v>4084</v>
      </c>
      <c r="J381">
        <v>4</v>
      </c>
      <c r="K381">
        <v>3.9</v>
      </c>
      <c r="L381">
        <v>1</v>
      </c>
      <c r="M381" t="s">
        <v>144</v>
      </c>
    </row>
    <row r="382" spans="1:13">
      <c r="A382" t="s">
        <v>711</v>
      </c>
      <c r="B382" t="s">
        <v>158</v>
      </c>
      <c r="C382" t="s">
        <v>146</v>
      </c>
      <c r="D382" t="s">
        <v>130</v>
      </c>
      <c r="E382" t="s">
        <v>35</v>
      </c>
      <c r="F382" t="s">
        <v>18</v>
      </c>
      <c r="G382" t="s">
        <v>54</v>
      </c>
      <c r="H382" t="s">
        <v>20</v>
      </c>
      <c r="I382">
        <v>248592</v>
      </c>
      <c r="J382">
        <v>3</v>
      </c>
      <c r="K382">
        <v>4.8</v>
      </c>
      <c r="L382">
        <v>8</v>
      </c>
      <c r="M382" t="s">
        <v>47</v>
      </c>
    </row>
    <row r="383" spans="1:13">
      <c r="A383" t="s">
        <v>712</v>
      </c>
      <c r="B383" t="s">
        <v>713</v>
      </c>
      <c r="C383" t="s">
        <v>146</v>
      </c>
      <c r="D383" t="s">
        <v>79</v>
      </c>
      <c r="E383" t="s">
        <v>26</v>
      </c>
      <c r="F383" t="s">
        <v>18</v>
      </c>
      <c r="G383" t="s">
        <v>104</v>
      </c>
      <c r="H383" t="s">
        <v>29</v>
      </c>
      <c r="I383">
        <v>57631</v>
      </c>
      <c r="J383">
        <v>7</v>
      </c>
      <c r="K383">
        <v>4.3</v>
      </c>
      <c r="L383">
        <v>4</v>
      </c>
      <c r="M383" t="s">
        <v>55</v>
      </c>
    </row>
    <row r="384" spans="1:13">
      <c r="A384" t="s">
        <v>714</v>
      </c>
      <c r="B384" t="s">
        <v>359</v>
      </c>
      <c r="C384" t="s">
        <v>50</v>
      </c>
      <c r="D384" t="s">
        <v>147</v>
      </c>
      <c r="E384" t="s">
        <v>52</v>
      </c>
      <c r="F384" t="s">
        <v>100</v>
      </c>
      <c r="G384" t="s">
        <v>28</v>
      </c>
      <c r="H384" t="s">
        <v>36</v>
      </c>
      <c r="I384">
        <v>4180</v>
      </c>
      <c r="J384">
        <v>2</v>
      </c>
      <c r="K384">
        <v>4.5</v>
      </c>
      <c r="L384">
        <v>3</v>
      </c>
      <c r="M384" t="s">
        <v>87</v>
      </c>
    </row>
    <row r="385" spans="1:13">
      <c r="A385" t="s">
        <v>715</v>
      </c>
      <c r="B385" t="s">
        <v>716</v>
      </c>
      <c r="C385" t="s">
        <v>40</v>
      </c>
      <c r="D385" t="s">
        <v>109</v>
      </c>
      <c r="E385" t="s">
        <v>52</v>
      </c>
      <c r="F385" t="s">
        <v>27</v>
      </c>
      <c r="G385" t="s">
        <v>19</v>
      </c>
      <c r="H385" t="s">
        <v>36</v>
      </c>
      <c r="I385">
        <v>2526</v>
      </c>
      <c r="J385">
        <v>3</v>
      </c>
      <c r="K385">
        <v>3.8</v>
      </c>
      <c r="L385">
        <v>8</v>
      </c>
      <c r="M385" t="s">
        <v>30</v>
      </c>
    </row>
    <row r="386" spans="1:13">
      <c r="A386" t="s">
        <v>717</v>
      </c>
      <c r="B386" t="s">
        <v>361</v>
      </c>
      <c r="C386" t="s">
        <v>122</v>
      </c>
      <c r="D386" t="s">
        <v>63</v>
      </c>
      <c r="E386" t="s">
        <v>52</v>
      </c>
      <c r="F386" t="s">
        <v>83</v>
      </c>
      <c r="G386" t="s">
        <v>28</v>
      </c>
      <c r="H386" t="s">
        <v>64</v>
      </c>
      <c r="I386">
        <v>10640</v>
      </c>
      <c r="J386">
        <v>5</v>
      </c>
      <c r="K386">
        <v>4.7</v>
      </c>
      <c r="L386">
        <v>8</v>
      </c>
      <c r="M386" t="s">
        <v>144</v>
      </c>
    </row>
    <row r="387" spans="1:13">
      <c r="A387" t="s">
        <v>718</v>
      </c>
      <c r="B387" t="s">
        <v>290</v>
      </c>
      <c r="C387" t="s">
        <v>33</v>
      </c>
      <c r="D387" t="s">
        <v>90</v>
      </c>
      <c r="E387" t="s">
        <v>42</v>
      </c>
      <c r="F387" t="s">
        <v>83</v>
      </c>
      <c r="G387" t="s">
        <v>19</v>
      </c>
      <c r="H387" t="s">
        <v>36</v>
      </c>
      <c r="I387">
        <v>5777</v>
      </c>
      <c r="J387">
        <v>1</v>
      </c>
      <c r="K387">
        <v>4.2</v>
      </c>
      <c r="L387">
        <v>4</v>
      </c>
      <c r="M387" t="s">
        <v>87</v>
      </c>
    </row>
    <row r="388" spans="1:13">
      <c r="A388" t="s">
        <v>719</v>
      </c>
      <c r="B388" t="s">
        <v>404</v>
      </c>
      <c r="C388" t="s">
        <v>24</v>
      </c>
      <c r="D388" t="s">
        <v>113</v>
      </c>
      <c r="E388" t="s">
        <v>35</v>
      </c>
      <c r="F388" t="s">
        <v>27</v>
      </c>
      <c r="G388" t="s">
        <v>104</v>
      </c>
      <c r="H388" t="s">
        <v>20</v>
      </c>
      <c r="I388">
        <v>45899</v>
      </c>
      <c r="J388">
        <v>1</v>
      </c>
      <c r="K388">
        <v>3.4</v>
      </c>
      <c r="L388">
        <v>3</v>
      </c>
      <c r="M388" t="s">
        <v>80</v>
      </c>
    </row>
    <row r="389" spans="1:13">
      <c r="A389" t="s">
        <v>720</v>
      </c>
      <c r="B389" t="s">
        <v>603</v>
      </c>
      <c r="C389" t="s">
        <v>40</v>
      </c>
      <c r="D389" t="s">
        <v>46</v>
      </c>
      <c r="E389" t="s">
        <v>42</v>
      </c>
      <c r="F389" t="s">
        <v>60</v>
      </c>
      <c r="G389" t="s">
        <v>19</v>
      </c>
      <c r="H389" t="s">
        <v>36</v>
      </c>
      <c r="I389">
        <v>7608</v>
      </c>
      <c r="J389">
        <v>2</v>
      </c>
      <c r="K389">
        <v>4.5999999999999996</v>
      </c>
      <c r="L389">
        <v>2</v>
      </c>
      <c r="M389" t="s">
        <v>144</v>
      </c>
    </row>
    <row r="390" spans="1:13">
      <c r="A390" t="s">
        <v>721</v>
      </c>
      <c r="B390" t="s">
        <v>722</v>
      </c>
      <c r="C390" t="s">
        <v>125</v>
      </c>
      <c r="D390" t="s">
        <v>130</v>
      </c>
      <c r="E390" t="s">
        <v>35</v>
      </c>
      <c r="F390" t="s">
        <v>27</v>
      </c>
      <c r="G390" t="s">
        <v>104</v>
      </c>
      <c r="H390" t="s">
        <v>64</v>
      </c>
      <c r="I390">
        <v>209300</v>
      </c>
      <c r="J390">
        <v>7</v>
      </c>
      <c r="K390">
        <v>3.4</v>
      </c>
      <c r="L390">
        <v>2</v>
      </c>
      <c r="M390" t="s">
        <v>65</v>
      </c>
    </row>
    <row r="391" spans="1:13">
      <c r="A391" t="s">
        <v>723</v>
      </c>
      <c r="B391" t="s">
        <v>533</v>
      </c>
      <c r="C391" t="s">
        <v>45</v>
      </c>
      <c r="D391" t="s">
        <v>59</v>
      </c>
      <c r="E391" t="s">
        <v>26</v>
      </c>
      <c r="F391" t="s">
        <v>83</v>
      </c>
      <c r="G391" t="s">
        <v>104</v>
      </c>
      <c r="H391" t="s">
        <v>20</v>
      </c>
      <c r="I391">
        <v>53724</v>
      </c>
      <c r="J391">
        <v>6</v>
      </c>
      <c r="K391">
        <v>4.0999999999999996</v>
      </c>
      <c r="L391">
        <v>3</v>
      </c>
      <c r="M391" t="s">
        <v>21</v>
      </c>
    </row>
    <row r="392" spans="1:13">
      <c r="A392" t="s">
        <v>724</v>
      </c>
      <c r="B392" t="s">
        <v>143</v>
      </c>
      <c r="C392" t="s">
        <v>129</v>
      </c>
      <c r="D392" t="s">
        <v>16</v>
      </c>
      <c r="E392" t="s">
        <v>17</v>
      </c>
      <c r="F392" t="s">
        <v>100</v>
      </c>
      <c r="G392" t="s">
        <v>19</v>
      </c>
      <c r="H392" t="s">
        <v>36</v>
      </c>
      <c r="I392">
        <v>12640</v>
      </c>
      <c r="J392">
        <v>8</v>
      </c>
      <c r="K392">
        <v>3.9</v>
      </c>
      <c r="L392">
        <v>6</v>
      </c>
      <c r="M392" t="s">
        <v>144</v>
      </c>
    </row>
    <row r="393" spans="1:13">
      <c r="A393" t="s">
        <v>725</v>
      </c>
      <c r="B393" t="s">
        <v>135</v>
      </c>
      <c r="C393" t="s">
        <v>170</v>
      </c>
      <c r="D393" t="s">
        <v>109</v>
      </c>
      <c r="E393" t="s">
        <v>52</v>
      </c>
      <c r="F393" t="s">
        <v>53</v>
      </c>
      <c r="G393" t="s">
        <v>28</v>
      </c>
      <c r="H393" t="s">
        <v>36</v>
      </c>
      <c r="I393">
        <v>2958</v>
      </c>
      <c r="J393">
        <v>2</v>
      </c>
      <c r="K393">
        <v>4.5999999999999996</v>
      </c>
      <c r="L393">
        <v>2</v>
      </c>
      <c r="M393" t="s">
        <v>21</v>
      </c>
    </row>
    <row r="394" spans="1:13">
      <c r="A394" t="s">
        <v>726</v>
      </c>
      <c r="B394" t="s">
        <v>727</v>
      </c>
      <c r="C394" t="s">
        <v>146</v>
      </c>
      <c r="D394" t="s">
        <v>63</v>
      </c>
      <c r="E394" t="s">
        <v>52</v>
      </c>
      <c r="F394" t="s">
        <v>100</v>
      </c>
      <c r="G394" t="s">
        <v>104</v>
      </c>
      <c r="H394" t="s">
        <v>64</v>
      </c>
      <c r="I394">
        <v>13272</v>
      </c>
      <c r="J394">
        <v>6</v>
      </c>
      <c r="K394">
        <v>3.4</v>
      </c>
      <c r="L394">
        <v>3</v>
      </c>
      <c r="M394" t="s">
        <v>126</v>
      </c>
    </row>
    <row r="395" spans="1:13">
      <c r="A395" t="s">
        <v>728</v>
      </c>
      <c r="B395" t="s">
        <v>729</v>
      </c>
      <c r="C395" t="s">
        <v>129</v>
      </c>
      <c r="D395" t="s">
        <v>41</v>
      </c>
      <c r="E395" t="s">
        <v>42</v>
      </c>
      <c r="F395" t="s">
        <v>18</v>
      </c>
      <c r="G395" t="s">
        <v>19</v>
      </c>
      <c r="H395" t="s">
        <v>29</v>
      </c>
      <c r="I395">
        <v>25445</v>
      </c>
      <c r="J395">
        <v>5</v>
      </c>
      <c r="K395">
        <v>3.6</v>
      </c>
      <c r="L395">
        <v>6</v>
      </c>
      <c r="M395" t="s">
        <v>65</v>
      </c>
    </row>
    <row r="396" spans="1:13">
      <c r="A396" t="s">
        <v>730</v>
      </c>
      <c r="B396" t="s">
        <v>731</v>
      </c>
      <c r="C396" t="s">
        <v>170</v>
      </c>
      <c r="D396" t="s">
        <v>218</v>
      </c>
      <c r="E396" t="s">
        <v>17</v>
      </c>
      <c r="F396" t="s">
        <v>27</v>
      </c>
      <c r="G396" t="s">
        <v>54</v>
      </c>
      <c r="H396" t="s">
        <v>29</v>
      </c>
      <c r="I396">
        <v>4407</v>
      </c>
      <c r="J396">
        <v>3</v>
      </c>
      <c r="K396">
        <v>4.8</v>
      </c>
      <c r="L396">
        <v>5</v>
      </c>
      <c r="M396" t="s">
        <v>55</v>
      </c>
    </row>
    <row r="397" spans="1:13">
      <c r="A397" t="s">
        <v>732</v>
      </c>
      <c r="B397" t="s">
        <v>220</v>
      </c>
      <c r="C397" t="s">
        <v>129</v>
      </c>
      <c r="D397" t="s">
        <v>41</v>
      </c>
      <c r="E397" t="s">
        <v>42</v>
      </c>
      <c r="F397" t="s">
        <v>18</v>
      </c>
      <c r="G397" t="s">
        <v>19</v>
      </c>
      <c r="H397" t="s">
        <v>36</v>
      </c>
      <c r="I397">
        <v>9880</v>
      </c>
      <c r="J397">
        <v>4</v>
      </c>
      <c r="K397">
        <v>3.7</v>
      </c>
      <c r="L397">
        <v>2</v>
      </c>
      <c r="M397" t="s">
        <v>65</v>
      </c>
    </row>
    <row r="398" spans="1:13">
      <c r="A398" t="s">
        <v>733</v>
      </c>
      <c r="B398" t="s">
        <v>734</v>
      </c>
      <c r="C398" t="s">
        <v>68</v>
      </c>
      <c r="D398" t="s">
        <v>41</v>
      </c>
      <c r="E398" t="s">
        <v>42</v>
      </c>
      <c r="F398" t="s">
        <v>100</v>
      </c>
      <c r="G398" t="s">
        <v>19</v>
      </c>
      <c r="H398" t="s">
        <v>20</v>
      </c>
      <c r="I398">
        <v>14967</v>
      </c>
      <c r="J398">
        <v>3</v>
      </c>
      <c r="K398">
        <v>4.5999999999999996</v>
      </c>
      <c r="L398">
        <v>3</v>
      </c>
      <c r="M398" t="s">
        <v>65</v>
      </c>
    </row>
    <row r="399" spans="1:13">
      <c r="A399" t="s">
        <v>735</v>
      </c>
      <c r="B399" t="s">
        <v>454</v>
      </c>
      <c r="C399" t="s">
        <v>68</v>
      </c>
      <c r="D399" t="s">
        <v>116</v>
      </c>
      <c r="E399" t="s">
        <v>17</v>
      </c>
      <c r="F399" t="s">
        <v>100</v>
      </c>
      <c r="G399" t="s">
        <v>104</v>
      </c>
      <c r="H399" t="s">
        <v>36</v>
      </c>
      <c r="I399">
        <v>616</v>
      </c>
      <c r="J399">
        <v>2</v>
      </c>
      <c r="K399">
        <v>3.8</v>
      </c>
      <c r="L399">
        <v>1</v>
      </c>
      <c r="M399" t="s">
        <v>55</v>
      </c>
    </row>
    <row r="400" spans="1:13">
      <c r="A400" t="s">
        <v>736</v>
      </c>
      <c r="B400" t="s">
        <v>737</v>
      </c>
      <c r="C400" t="s">
        <v>68</v>
      </c>
      <c r="D400" t="s">
        <v>59</v>
      </c>
      <c r="E400" t="s">
        <v>26</v>
      </c>
      <c r="F400" t="s">
        <v>53</v>
      </c>
      <c r="G400" t="s">
        <v>19</v>
      </c>
      <c r="H400" t="s">
        <v>20</v>
      </c>
      <c r="I400">
        <v>21328</v>
      </c>
      <c r="J400">
        <v>4</v>
      </c>
      <c r="K400">
        <v>4.2</v>
      </c>
      <c r="L400">
        <v>8</v>
      </c>
      <c r="M400" t="s">
        <v>192</v>
      </c>
    </row>
    <row r="401" spans="1:13">
      <c r="A401" t="s">
        <v>738</v>
      </c>
      <c r="B401" t="s">
        <v>739</v>
      </c>
      <c r="C401" t="s">
        <v>58</v>
      </c>
      <c r="D401" t="s">
        <v>113</v>
      </c>
      <c r="E401" t="s">
        <v>35</v>
      </c>
      <c r="F401" t="s">
        <v>83</v>
      </c>
      <c r="G401" t="s">
        <v>19</v>
      </c>
      <c r="H401" t="s">
        <v>36</v>
      </c>
      <c r="I401">
        <v>96832</v>
      </c>
      <c r="J401">
        <v>2</v>
      </c>
      <c r="K401">
        <v>3.7</v>
      </c>
      <c r="L401">
        <v>5</v>
      </c>
      <c r="M401" t="s">
        <v>144</v>
      </c>
    </row>
    <row r="402" spans="1:13">
      <c r="A402" t="s">
        <v>740</v>
      </c>
      <c r="B402" t="s">
        <v>624</v>
      </c>
      <c r="C402" t="s">
        <v>33</v>
      </c>
      <c r="D402" t="s">
        <v>165</v>
      </c>
      <c r="E402" t="s">
        <v>35</v>
      </c>
      <c r="F402" t="s">
        <v>18</v>
      </c>
      <c r="G402" t="s">
        <v>28</v>
      </c>
      <c r="H402" t="s">
        <v>64</v>
      </c>
      <c r="I402">
        <v>50400</v>
      </c>
      <c r="J402">
        <v>8</v>
      </c>
      <c r="K402">
        <v>3.3</v>
      </c>
      <c r="L402">
        <v>7</v>
      </c>
      <c r="M402" t="s">
        <v>126</v>
      </c>
    </row>
    <row r="403" spans="1:13">
      <c r="A403" t="s">
        <v>741</v>
      </c>
      <c r="B403" t="s">
        <v>595</v>
      </c>
      <c r="C403" t="s">
        <v>58</v>
      </c>
      <c r="D403" t="s">
        <v>51</v>
      </c>
      <c r="E403" t="s">
        <v>52</v>
      </c>
      <c r="F403" t="s">
        <v>83</v>
      </c>
      <c r="G403" t="s">
        <v>54</v>
      </c>
      <c r="H403" t="s">
        <v>64</v>
      </c>
      <c r="I403">
        <v>9666</v>
      </c>
      <c r="J403">
        <v>6</v>
      </c>
      <c r="K403">
        <v>5</v>
      </c>
      <c r="L403">
        <v>8</v>
      </c>
      <c r="M403" t="s">
        <v>192</v>
      </c>
    </row>
    <row r="404" spans="1:13">
      <c r="A404" t="s">
        <v>742</v>
      </c>
      <c r="B404" t="s">
        <v>743</v>
      </c>
      <c r="C404" t="s">
        <v>50</v>
      </c>
      <c r="D404" t="s">
        <v>116</v>
      </c>
      <c r="E404" t="s">
        <v>17</v>
      </c>
      <c r="F404" t="s">
        <v>83</v>
      </c>
      <c r="G404" t="s">
        <v>104</v>
      </c>
      <c r="H404" t="s">
        <v>29</v>
      </c>
      <c r="I404">
        <v>10104</v>
      </c>
      <c r="J404">
        <v>8</v>
      </c>
      <c r="K404">
        <v>3.7</v>
      </c>
      <c r="L404">
        <v>6</v>
      </c>
      <c r="M404" t="s">
        <v>126</v>
      </c>
    </row>
    <row r="405" spans="1:13">
      <c r="A405" t="s">
        <v>744</v>
      </c>
      <c r="B405" t="s">
        <v>308</v>
      </c>
      <c r="C405" t="s">
        <v>129</v>
      </c>
      <c r="D405" t="s">
        <v>90</v>
      </c>
      <c r="E405" t="s">
        <v>42</v>
      </c>
      <c r="F405" t="s">
        <v>100</v>
      </c>
      <c r="G405" t="s">
        <v>19</v>
      </c>
      <c r="H405" t="s">
        <v>36</v>
      </c>
      <c r="I405">
        <v>9242</v>
      </c>
      <c r="J405">
        <v>2</v>
      </c>
      <c r="K405">
        <v>4.7</v>
      </c>
      <c r="L405">
        <v>5</v>
      </c>
      <c r="M405" t="s">
        <v>144</v>
      </c>
    </row>
    <row r="406" spans="1:13">
      <c r="A406" t="s">
        <v>745</v>
      </c>
      <c r="B406" t="s">
        <v>681</v>
      </c>
      <c r="C406" t="s">
        <v>78</v>
      </c>
      <c r="D406" t="s">
        <v>41</v>
      </c>
      <c r="E406" t="s">
        <v>42</v>
      </c>
      <c r="F406" t="s">
        <v>83</v>
      </c>
      <c r="G406" t="s">
        <v>28</v>
      </c>
      <c r="H406" t="s">
        <v>64</v>
      </c>
      <c r="I406">
        <v>7966</v>
      </c>
      <c r="J406">
        <v>2</v>
      </c>
      <c r="K406">
        <v>3.9</v>
      </c>
      <c r="L406">
        <v>4</v>
      </c>
      <c r="M406" t="s">
        <v>126</v>
      </c>
    </row>
    <row r="407" spans="1:13">
      <c r="A407" t="s">
        <v>746</v>
      </c>
      <c r="B407" t="s">
        <v>475</v>
      </c>
      <c r="C407" t="s">
        <v>58</v>
      </c>
      <c r="D407" t="s">
        <v>218</v>
      </c>
      <c r="E407" t="s">
        <v>17</v>
      </c>
      <c r="F407" t="s">
        <v>60</v>
      </c>
      <c r="G407" t="s">
        <v>54</v>
      </c>
      <c r="H407" t="s">
        <v>64</v>
      </c>
      <c r="I407">
        <v>8337</v>
      </c>
      <c r="J407">
        <v>7</v>
      </c>
      <c r="K407">
        <v>4.4000000000000004</v>
      </c>
      <c r="L407">
        <v>2</v>
      </c>
      <c r="M407" t="s">
        <v>37</v>
      </c>
    </row>
    <row r="408" spans="1:13">
      <c r="A408" t="s">
        <v>747</v>
      </c>
      <c r="B408" t="s">
        <v>564</v>
      </c>
      <c r="C408" t="s">
        <v>170</v>
      </c>
      <c r="D408" t="s">
        <v>165</v>
      </c>
      <c r="E408" t="s">
        <v>35</v>
      </c>
      <c r="F408" t="s">
        <v>60</v>
      </c>
      <c r="G408" t="s">
        <v>54</v>
      </c>
      <c r="H408" t="s">
        <v>36</v>
      </c>
      <c r="I408">
        <v>445504</v>
      </c>
      <c r="J408">
        <v>8</v>
      </c>
      <c r="K408">
        <v>3.4</v>
      </c>
      <c r="L408">
        <v>7</v>
      </c>
      <c r="M408" t="s">
        <v>87</v>
      </c>
    </row>
    <row r="409" spans="1:13">
      <c r="A409" t="s">
        <v>748</v>
      </c>
      <c r="B409" t="s">
        <v>640</v>
      </c>
      <c r="C409" t="s">
        <v>179</v>
      </c>
      <c r="D409" t="s">
        <v>63</v>
      </c>
      <c r="E409" t="s">
        <v>52</v>
      </c>
      <c r="F409" t="s">
        <v>83</v>
      </c>
      <c r="G409" t="s">
        <v>104</v>
      </c>
      <c r="H409" t="s">
        <v>29</v>
      </c>
      <c r="I409">
        <v>861</v>
      </c>
      <c r="J409">
        <v>1</v>
      </c>
      <c r="K409">
        <v>3.9</v>
      </c>
      <c r="L409">
        <v>8</v>
      </c>
      <c r="M409" t="s">
        <v>30</v>
      </c>
    </row>
    <row r="410" spans="1:13">
      <c r="A410" t="s">
        <v>749</v>
      </c>
      <c r="B410" t="s">
        <v>391</v>
      </c>
      <c r="C410" t="s">
        <v>33</v>
      </c>
      <c r="D410" t="s">
        <v>59</v>
      </c>
      <c r="E410" t="s">
        <v>26</v>
      </c>
      <c r="F410" t="s">
        <v>53</v>
      </c>
      <c r="G410" t="s">
        <v>54</v>
      </c>
      <c r="H410" t="s">
        <v>36</v>
      </c>
      <c r="I410">
        <v>44532</v>
      </c>
      <c r="J410">
        <v>6</v>
      </c>
      <c r="K410">
        <v>4.7</v>
      </c>
      <c r="L410">
        <v>5</v>
      </c>
      <c r="M410" t="s">
        <v>47</v>
      </c>
    </row>
    <row r="411" spans="1:13">
      <c r="A411" t="s">
        <v>750</v>
      </c>
      <c r="B411" t="s">
        <v>675</v>
      </c>
      <c r="C411" t="s">
        <v>50</v>
      </c>
      <c r="D411" t="s">
        <v>59</v>
      </c>
      <c r="E411" t="s">
        <v>26</v>
      </c>
      <c r="F411" t="s">
        <v>60</v>
      </c>
      <c r="G411" t="s">
        <v>28</v>
      </c>
      <c r="H411" t="s">
        <v>20</v>
      </c>
      <c r="I411">
        <v>36295</v>
      </c>
      <c r="J411">
        <v>5</v>
      </c>
      <c r="K411">
        <v>4.3</v>
      </c>
      <c r="L411">
        <v>7</v>
      </c>
      <c r="M411" t="s">
        <v>87</v>
      </c>
    </row>
    <row r="412" spans="1:13">
      <c r="A412" t="s">
        <v>751</v>
      </c>
      <c r="B412" t="s">
        <v>752</v>
      </c>
      <c r="C412" t="s">
        <v>72</v>
      </c>
      <c r="D412" t="s">
        <v>51</v>
      </c>
      <c r="E412" t="s">
        <v>52</v>
      </c>
      <c r="F412" t="s">
        <v>18</v>
      </c>
      <c r="G412" t="s">
        <v>54</v>
      </c>
      <c r="H412" t="s">
        <v>36</v>
      </c>
      <c r="I412">
        <v>7300</v>
      </c>
      <c r="J412">
        <v>4</v>
      </c>
      <c r="K412">
        <v>3.7</v>
      </c>
      <c r="L412">
        <v>3</v>
      </c>
      <c r="M412" t="s">
        <v>80</v>
      </c>
    </row>
    <row r="413" spans="1:13">
      <c r="A413" t="s">
        <v>753</v>
      </c>
      <c r="B413" t="s">
        <v>275</v>
      </c>
      <c r="C413" t="s">
        <v>45</v>
      </c>
      <c r="D413" t="s">
        <v>51</v>
      </c>
      <c r="E413" t="s">
        <v>52</v>
      </c>
      <c r="F413" t="s">
        <v>83</v>
      </c>
      <c r="G413" t="s">
        <v>28</v>
      </c>
      <c r="H413" t="s">
        <v>64</v>
      </c>
      <c r="I413">
        <v>4172</v>
      </c>
      <c r="J413">
        <v>7</v>
      </c>
      <c r="K413">
        <v>4.7</v>
      </c>
      <c r="L413">
        <v>7</v>
      </c>
      <c r="M413" t="s">
        <v>119</v>
      </c>
    </row>
    <row r="414" spans="1:13">
      <c r="A414" t="s">
        <v>754</v>
      </c>
      <c r="B414" t="s">
        <v>352</v>
      </c>
      <c r="C414" t="s">
        <v>112</v>
      </c>
      <c r="D414" t="s">
        <v>69</v>
      </c>
      <c r="E414" t="s">
        <v>26</v>
      </c>
      <c r="F414" t="s">
        <v>53</v>
      </c>
      <c r="G414" t="s">
        <v>28</v>
      </c>
      <c r="H414" t="s">
        <v>29</v>
      </c>
      <c r="I414">
        <v>5526</v>
      </c>
      <c r="J414">
        <v>6</v>
      </c>
      <c r="K414">
        <v>4.2</v>
      </c>
      <c r="L414">
        <v>4</v>
      </c>
      <c r="M414" t="s">
        <v>55</v>
      </c>
    </row>
    <row r="415" spans="1:13">
      <c r="A415" t="s">
        <v>755</v>
      </c>
      <c r="B415" t="s">
        <v>756</v>
      </c>
      <c r="C415" t="s">
        <v>72</v>
      </c>
      <c r="D415" t="s">
        <v>16</v>
      </c>
      <c r="E415" t="s">
        <v>17</v>
      </c>
      <c r="F415" t="s">
        <v>27</v>
      </c>
      <c r="G415" t="s">
        <v>104</v>
      </c>
      <c r="H415" t="s">
        <v>64</v>
      </c>
      <c r="I415">
        <v>13944</v>
      </c>
      <c r="J415">
        <v>8</v>
      </c>
      <c r="K415">
        <v>4.9000000000000004</v>
      </c>
      <c r="L415">
        <v>2</v>
      </c>
      <c r="M415" t="s">
        <v>30</v>
      </c>
    </row>
    <row r="416" spans="1:13">
      <c r="A416" t="s">
        <v>757</v>
      </c>
      <c r="B416" t="s">
        <v>169</v>
      </c>
      <c r="C416" t="s">
        <v>45</v>
      </c>
      <c r="D416" t="s">
        <v>25</v>
      </c>
      <c r="E416" t="s">
        <v>26</v>
      </c>
      <c r="F416" t="s">
        <v>18</v>
      </c>
      <c r="G416" t="s">
        <v>104</v>
      </c>
      <c r="H416" t="s">
        <v>36</v>
      </c>
      <c r="I416">
        <v>19268</v>
      </c>
      <c r="J416">
        <v>2</v>
      </c>
      <c r="K416">
        <v>4.5999999999999996</v>
      </c>
      <c r="L416">
        <v>5</v>
      </c>
      <c r="M416" t="s">
        <v>65</v>
      </c>
    </row>
    <row r="417" spans="1:13">
      <c r="A417" t="s">
        <v>758</v>
      </c>
      <c r="B417" t="s">
        <v>525</v>
      </c>
      <c r="C417" t="s">
        <v>45</v>
      </c>
      <c r="D417" t="s">
        <v>90</v>
      </c>
      <c r="E417" t="s">
        <v>42</v>
      </c>
      <c r="F417" t="s">
        <v>27</v>
      </c>
      <c r="G417" t="s">
        <v>104</v>
      </c>
      <c r="H417" t="s">
        <v>29</v>
      </c>
      <c r="I417">
        <v>28728</v>
      </c>
      <c r="J417">
        <v>8</v>
      </c>
      <c r="K417">
        <v>3.7</v>
      </c>
      <c r="L417">
        <v>1</v>
      </c>
      <c r="M417" t="s">
        <v>65</v>
      </c>
    </row>
    <row r="418" spans="1:13">
      <c r="A418" t="s">
        <v>759</v>
      </c>
      <c r="B418" t="s">
        <v>760</v>
      </c>
      <c r="C418" t="s">
        <v>72</v>
      </c>
      <c r="D418" t="s">
        <v>116</v>
      </c>
      <c r="E418" t="s">
        <v>17</v>
      </c>
      <c r="F418" t="s">
        <v>100</v>
      </c>
      <c r="G418" t="s">
        <v>54</v>
      </c>
      <c r="H418" t="s">
        <v>29</v>
      </c>
      <c r="I418">
        <v>4419</v>
      </c>
      <c r="J418">
        <v>3</v>
      </c>
      <c r="K418">
        <v>3.7</v>
      </c>
      <c r="L418">
        <v>2</v>
      </c>
      <c r="M418" t="s">
        <v>30</v>
      </c>
    </row>
    <row r="419" spans="1:13">
      <c r="A419" t="s">
        <v>761</v>
      </c>
      <c r="B419" t="s">
        <v>595</v>
      </c>
      <c r="C419" t="s">
        <v>146</v>
      </c>
      <c r="D419" t="s">
        <v>34</v>
      </c>
      <c r="E419" t="s">
        <v>35</v>
      </c>
      <c r="F419" t="s">
        <v>53</v>
      </c>
      <c r="G419" t="s">
        <v>19</v>
      </c>
      <c r="H419" t="s">
        <v>29</v>
      </c>
      <c r="I419">
        <v>21805</v>
      </c>
      <c r="J419">
        <v>5</v>
      </c>
      <c r="K419">
        <v>3.5</v>
      </c>
      <c r="L419">
        <v>3</v>
      </c>
      <c r="M419" t="s">
        <v>192</v>
      </c>
    </row>
    <row r="420" spans="1:13">
      <c r="A420" t="s">
        <v>762</v>
      </c>
      <c r="B420" t="s">
        <v>763</v>
      </c>
      <c r="C420" t="s">
        <v>50</v>
      </c>
      <c r="D420" t="s">
        <v>51</v>
      </c>
      <c r="E420" t="s">
        <v>52</v>
      </c>
      <c r="F420" t="s">
        <v>83</v>
      </c>
      <c r="G420" t="s">
        <v>28</v>
      </c>
      <c r="H420" t="s">
        <v>20</v>
      </c>
      <c r="I420">
        <v>595</v>
      </c>
      <c r="J420">
        <v>1</v>
      </c>
      <c r="K420">
        <v>4.7</v>
      </c>
      <c r="L420">
        <v>7</v>
      </c>
      <c r="M420" t="s">
        <v>37</v>
      </c>
    </row>
    <row r="421" spans="1:13">
      <c r="A421" t="s">
        <v>764</v>
      </c>
      <c r="B421" t="s">
        <v>697</v>
      </c>
      <c r="C421" t="s">
        <v>78</v>
      </c>
      <c r="D421" t="s">
        <v>109</v>
      </c>
      <c r="E421" t="s">
        <v>52</v>
      </c>
      <c r="F421" t="s">
        <v>83</v>
      </c>
      <c r="G421" t="s">
        <v>28</v>
      </c>
      <c r="H421" t="s">
        <v>64</v>
      </c>
      <c r="I421">
        <v>2325</v>
      </c>
      <c r="J421">
        <v>5</v>
      </c>
      <c r="K421">
        <v>4.0999999999999996</v>
      </c>
      <c r="L421">
        <v>8</v>
      </c>
      <c r="M421" t="s">
        <v>144</v>
      </c>
    </row>
    <row r="422" spans="1:13">
      <c r="A422" t="s">
        <v>765</v>
      </c>
      <c r="B422" t="s">
        <v>404</v>
      </c>
      <c r="C422" t="s">
        <v>68</v>
      </c>
      <c r="D422" t="s">
        <v>46</v>
      </c>
      <c r="E422" t="s">
        <v>42</v>
      </c>
      <c r="F422" t="s">
        <v>100</v>
      </c>
      <c r="G422" t="s">
        <v>104</v>
      </c>
      <c r="H422" t="s">
        <v>64</v>
      </c>
      <c r="I422">
        <v>26803</v>
      </c>
      <c r="J422">
        <v>7</v>
      </c>
      <c r="K422">
        <v>3.8</v>
      </c>
      <c r="L422">
        <v>1</v>
      </c>
      <c r="M422" t="s">
        <v>80</v>
      </c>
    </row>
    <row r="423" spans="1:13">
      <c r="A423" t="s">
        <v>766</v>
      </c>
      <c r="B423" t="s">
        <v>462</v>
      </c>
      <c r="C423" t="s">
        <v>58</v>
      </c>
      <c r="D423" t="s">
        <v>59</v>
      </c>
      <c r="E423" t="s">
        <v>26</v>
      </c>
      <c r="F423" t="s">
        <v>83</v>
      </c>
      <c r="G423" t="s">
        <v>104</v>
      </c>
      <c r="H423" t="s">
        <v>20</v>
      </c>
      <c r="I423">
        <v>36040</v>
      </c>
      <c r="J423">
        <v>5</v>
      </c>
      <c r="K423">
        <v>4</v>
      </c>
      <c r="L423">
        <v>4</v>
      </c>
      <c r="M423" t="s">
        <v>126</v>
      </c>
    </row>
    <row r="424" spans="1:13">
      <c r="A424" t="s">
        <v>767</v>
      </c>
      <c r="B424" t="s">
        <v>605</v>
      </c>
      <c r="C424" t="s">
        <v>129</v>
      </c>
      <c r="D424" t="s">
        <v>165</v>
      </c>
      <c r="E424" t="s">
        <v>35</v>
      </c>
      <c r="F424" t="s">
        <v>83</v>
      </c>
      <c r="G424" t="s">
        <v>104</v>
      </c>
      <c r="H424" t="s">
        <v>29</v>
      </c>
      <c r="I424">
        <v>56403</v>
      </c>
      <c r="J424">
        <v>1</v>
      </c>
      <c r="K424">
        <v>3.4</v>
      </c>
      <c r="L424">
        <v>8</v>
      </c>
      <c r="M424" t="s">
        <v>144</v>
      </c>
    </row>
    <row r="425" spans="1:13">
      <c r="A425" t="s">
        <v>768</v>
      </c>
      <c r="B425" t="s">
        <v>143</v>
      </c>
      <c r="C425" t="s">
        <v>75</v>
      </c>
      <c r="D425" t="s">
        <v>147</v>
      </c>
      <c r="E425" t="s">
        <v>52</v>
      </c>
      <c r="F425" t="s">
        <v>100</v>
      </c>
      <c r="G425" t="s">
        <v>19</v>
      </c>
      <c r="H425" t="s">
        <v>64</v>
      </c>
      <c r="I425">
        <v>2276</v>
      </c>
      <c r="J425">
        <v>2</v>
      </c>
      <c r="K425">
        <v>4.5</v>
      </c>
      <c r="L425">
        <v>2</v>
      </c>
      <c r="M425" t="s">
        <v>144</v>
      </c>
    </row>
    <row r="426" spans="1:13">
      <c r="A426" t="s">
        <v>769</v>
      </c>
      <c r="B426" t="s">
        <v>675</v>
      </c>
      <c r="C426" t="s">
        <v>133</v>
      </c>
      <c r="D426" t="s">
        <v>79</v>
      </c>
      <c r="E426" t="s">
        <v>26</v>
      </c>
      <c r="F426" t="s">
        <v>27</v>
      </c>
      <c r="G426" t="s">
        <v>104</v>
      </c>
      <c r="H426" t="s">
        <v>29</v>
      </c>
      <c r="I426">
        <v>33795</v>
      </c>
      <c r="J426">
        <v>3</v>
      </c>
      <c r="K426">
        <v>4</v>
      </c>
      <c r="L426">
        <v>5</v>
      </c>
      <c r="M426" t="s">
        <v>87</v>
      </c>
    </row>
    <row r="427" spans="1:13">
      <c r="A427" t="s">
        <v>770</v>
      </c>
      <c r="B427" t="s">
        <v>115</v>
      </c>
      <c r="C427" t="s">
        <v>24</v>
      </c>
      <c r="D427" t="s">
        <v>147</v>
      </c>
      <c r="E427" t="s">
        <v>52</v>
      </c>
      <c r="F427" t="s">
        <v>60</v>
      </c>
      <c r="G427" t="s">
        <v>54</v>
      </c>
      <c r="H427" t="s">
        <v>64</v>
      </c>
      <c r="I427">
        <v>1841</v>
      </c>
      <c r="J427">
        <v>1</v>
      </c>
      <c r="K427">
        <v>4.9000000000000004</v>
      </c>
      <c r="L427">
        <v>5</v>
      </c>
      <c r="M427" t="s">
        <v>21</v>
      </c>
    </row>
    <row r="428" spans="1:13">
      <c r="A428" t="s">
        <v>771</v>
      </c>
      <c r="B428" t="s">
        <v>393</v>
      </c>
      <c r="C428" t="s">
        <v>146</v>
      </c>
      <c r="D428" t="s">
        <v>51</v>
      </c>
      <c r="E428" t="s">
        <v>52</v>
      </c>
      <c r="F428" t="s">
        <v>27</v>
      </c>
      <c r="G428" t="s">
        <v>104</v>
      </c>
      <c r="H428" t="s">
        <v>36</v>
      </c>
      <c r="I428">
        <v>6712</v>
      </c>
      <c r="J428">
        <v>8</v>
      </c>
      <c r="K428">
        <v>4.3</v>
      </c>
      <c r="L428">
        <v>2</v>
      </c>
      <c r="M428" t="s">
        <v>37</v>
      </c>
    </row>
    <row r="429" spans="1:13">
      <c r="A429" t="s">
        <v>772</v>
      </c>
      <c r="B429" t="s">
        <v>589</v>
      </c>
      <c r="C429" t="s">
        <v>50</v>
      </c>
      <c r="D429" t="s">
        <v>16</v>
      </c>
      <c r="E429" t="s">
        <v>17</v>
      </c>
      <c r="F429" t="s">
        <v>53</v>
      </c>
      <c r="G429" t="s">
        <v>19</v>
      </c>
      <c r="H429" t="s">
        <v>29</v>
      </c>
      <c r="I429">
        <v>6065</v>
      </c>
      <c r="J429">
        <v>5</v>
      </c>
      <c r="K429">
        <v>4.4000000000000004</v>
      </c>
      <c r="L429">
        <v>1</v>
      </c>
      <c r="M429" t="s">
        <v>87</v>
      </c>
    </row>
    <row r="430" spans="1:13">
      <c r="A430" t="s">
        <v>773</v>
      </c>
      <c r="B430" t="s">
        <v>326</v>
      </c>
      <c r="C430" t="s">
        <v>125</v>
      </c>
      <c r="D430" t="s">
        <v>41</v>
      </c>
      <c r="E430" t="s">
        <v>42</v>
      </c>
      <c r="F430" t="s">
        <v>18</v>
      </c>
      <c r="G430" t="s">
        <v>104</v>
      </c>
      <c r="H430" t="s">
        <v>29</v>
      </c>
      <c r="I430">
        <v>10192</v>
      </c>
      <c r="J430">
        <v>8</v>
      </c>
      <c r="K430">
        <v>3.6</v>
      </c>
      <c r="L430">
        <v>7</v>
      </c>
      <c r="M430" t="s">
        <v>65</v>
      </c>
    </row>
    <row r="431" spans="1:13">
      <c r="A431" t="s">
        <v>774</v>
      </c>
      <c r="B431" t="s">
        <v>217</v>
      </c>
      <c r="C431" t="s">
        <v>179</v>
      </c>
      <c r="D431" t="s">
        <v>97</v>
      </c>
      <c r="E431" t="s">
        <v>35</v>
      </c>
      <c r="F431" t="s">
        <v>83</v>
      </c>
      <c r="G431" t="s">
        <v>54</v>
      </c>
      <c r="H431" t="s">
        <v>64</v>
      </c>
      <c r="I431">
        <v>94144</v>
      </c>
      <c r="J431">
        <v>2</v>
      </c>
      <c r="K431">
        <v>4.5999999999999996</v>
      </c>
      <c r="L431">
        <v>5</v>
      </c>
      <c r="M431" t="s">
        <v>144</v>
      </c>
    </row>
    <row r="432" spans="1:13">
      <c r="A432" t="s">
        <v>775</v>
      </c>
      <c r="B432" t="s">
        <v>298</v>
      </c>
      <c r="C432" t="s">
        <v>72</v>
      </c>
      <c r="D432" t="s">
        <v>109</v>
      </c>
      <c r="E432" t="s">
        <v>52</v>
      </c>
      <c r="F432" t="s">
        <v>18</v>
      </c>
      <c r="G432" t="s">
        <v>19</v>
      </c>
      <c r="H432" t="s">
        <v>36</v>
      </c>
      <c r="I432">
        <v>12047</v>
      </c>
      <c r="J432">
        <v>7</v>
      </c>
      <c r="K432">
        <v>4</v>
      </c>
      <c r="L432">
        <v>4</v>
      </c>
      <c r="M432" t="s">
        <v>119</v>
      </c>
    </row>
    <row r="433" spans="1:13">
      <c r="A433" t="s">
        <v>776</v>
      </c>
      <c r="B433" t="s">
        <v>74</v>
      </c>
      <c r="C433" t="s">
        <v>15</v>
      </c>
      <c r="D433" t="s">
        <v>79</v>
      </c>
      <c r="E433" t="s">
        <v>26</v>
      </c>
      <c r="F433" t="s">
        <v>18</v>
      </c>
      <c r="G433" t="s">
        <v>104</v>
      </c>
      <c r="H433" t="s">
        <v>36</v>
      </c>
      <c r="I433">
        <v>66836</v>
      </c>
      <c r="J433">
        <v>7</v>
      </c>
      <c r="K433">
        <v>4.9000000000000004</v>
      </c>
      <c r="L433">
        <v>8</v>
      </c>
      <c r="M433" t="s">
        <v>65</v>
      </c>
    </row>
    <row r="434" spans="1:13">
      <c r="A434" t="s">
        <v>777</v>
      </c>
      <c r="B434" t="s">
        <v>176</v>
      </c>
      <c r="C434" t="s">
        <v>75</v>
      </c>
      <c r="D434" t="s">
        <v>113</v>
      </c>
      <c r="E434" t="s">
        <v>35</v>
      </c>
      <c r="F434" t="s">
        <v>18</v>
      </c>
      <c r="G434" t="s">
        <v>19</v>
      </c>
      <c r="H434" t="s">
        <v>64</v>
      </c>
      <c r="I434">
        <v>125158</v>
      </c>
      <c r="J434">
        <v>2</v>
      </c>
      <c r="K434">
        <v>4.5</v>
      </c>
      <c r="L434">
        <v>4</v>
      </c>
      <c r="M434" t="s">
        <v>55</v>
      </c>
    </row>
    <row r="435" spans="1:13">
      <c r="A435" t="s">
        <v>778</v>
      </c>
      <c r="B435" t="s">
        <v>215</v>
      </c>
      <c r="C435" t="s">
        <v>68</v>
      </c>
      <c r="D435" t="s">
        <v>116</v>
      </c>
      <c r="E435" t="s">
        <v>17</v>
      </c>
      <c r="F435" t="s">
        <v>60</v>
      </c>
      <c r="G435" t="s">
        <v>19</v>
      </c>
      <c r="H435" t="s">
        <v>36</v>
      </c>
      <c r="I435">
        <v>797</v>
      </c>
      <c r="J435">
        <v>1</v>
      </c>
      <c r="K435">
        <v>3.3</v>
      </c>
      <c r="L435">
        <v>5</v>
      </c>
      <c r="M435" t="s">
        <v>192</v>
      </c>
    </row>
    <row r="436" spans="1:13">
      <c r="A436" t="s">
        <v>779</v>
      </c>
      <c r="B436" t="s">
        <v>220</v>
      </c>
      <c r="C436" t="s">
        <v>58</v>
      </c>
      <c r="D436" t="s">
        <v>16</v>
      </c>
      <c r="E436" t="s">
        <v>17</v>
      </c>
      <c r="F436" t="s">
        <v>100</v>
      </c>
      <c r="G436" t="s">
        <v>19</v>
      </c>
      <c r="H436" t="s">
        <v>29</v>
      </c>
      <c r="I436">
        <v>1716</v>
      </c>
      <c r="J436">
        <v>4</v>
      </c>
      <c r="K436">
        <v>3.9</v>
      </c>
      <c r="L436">
        <v>2</v>
      </c>
      <c r="M436" t="s">
        <v>65</v>
      </c>
    </row>
    <row r="437" spans="1:13">
      <c r="A437" t="s">
        <v>780</v>
      </c>
      <c r="B437" t="s">
        <v>489</v>
      </c>
      <c r="C437" t="s">
        <v>129</v>
      </c>
      <c r="D437" t="s">
        <v>147</v>
      </c>
      <c r="E437" t="s">
        <v>52</v>
      </c>
      <c r="F437" t="s">
        <v>100</v>
      </c>
      <c r="G437" t="s">
        <v>19</v>
      </c>
      <c r="H437" t="s">
        <v>64</v>
      </c>
      <c r="I437">
        <v>1524</v>
      </c>
      <c r="J437">
        <v>3</v>
      </c>
      <c r="K437">
        <v>4.5999999999999996</v>
      </c>
      <c r="L437">
        <v>3</v>
      </c>
      <c r="M437" t="s">
        <v>30</v>
      </c>
    </row>
    <row r="438" spans="1:13">
      <c r="A438" t="s">
        <v>781</v>
      </c>
      <c r="B438" t="s">
        <v>670</v>
      </c>
      <c r="C438" t="s">
        <v>24</v>
      </c>
      <c r="D438" t="s">
        <v>147</v>
      </c>
      <c r="E438" t="s">
        <v>52</v>
      </c>
      <c r="F438" t="s">
        <v>18</v>
      </c>
      <c r="G438" t="s">
        <v>104</v>
      </c>
      <c r="H438" t="s">
        <v>64</v>
      </c>
      <c r="I438">
        <v>3580</v>
      </c>
      <c r="J438">
        <v>2</v>
      </c>
      <c r="K438">
        <v>3.3</v>
      </c>
      <c r="L438">
        <v>1</v>
      </c>
      <c r="M438" t="s">
        <v>80</v>
      </c>
    </row>
    <row r="439" spans="1:13">
      <c r="A439" t="s">
        <v>782</v>
      </c>
      <c r="B439" t="s">
        <v>635</v>
      </c>
      <c r="C439" t="s">
        <v>45</v>
      </c>
      <c r="D439" t="s">
        <v>159</v>
      </c>
      <c r="E439" t="s">
        <v>42</v>
      </c>
      <c r="F439" t="s">
        <v>27</v>
      </c>
      <c r="G439" t="s">
        <v>54</v>
      </c>
      <c r="H439" t="s">
        <v>20</v>
      </c>
      <c r="I439">
        <v>13167</v>
      </c>
      <c r="J439">
        <v>3</v>
      </c>
      <c r="K439">
        <v>3.6</v>
      </c>
      <c r="L439">
        <v>3</v>
      </c>
      <c r="M439" t="s">
        <v>37</v>
      </c>
    </row>
    <row r="440" spans="1:13">
      <c r="A440" t="s">
        <v>783</v>
      </c>
      <c r="B440" t="s">
        <v>784</v>
      </c>
      <c r="C440" t="s">
        <v>45</v>
      </c>
      <c r="D440" t="s">
        <v>41</v>
      </c>
      <c r="E440" t="s">
        <v>42</v>
      </c>
      <c r="F440" t="s">
        <v>53</v>
      </c>
      <c r="G440" t="s">
        <v>19</v>
      </c>
      <c r="H440" t="s">
        <v>64</v>
      </c>
      <c r="I440">
        <v>26340</v>
      </c>
      <c r="J440">
        <v>5</v>
      </c>
      <c r="K440">
        <v>3.5</v>
      </c>
      <c r="L440">
        <v>2</v>
      </c>
      <c r="M440" t="s">
        <v>192</v>
      </c>
    </row>
    <row r="441" spans="1:13">
      <c r="A441" t="s">
        <v>785</v>
      </c>
      <c r="B441" t="s">
        <v>697</v>
      </c>
      <c r="C441" t="s">
        <v>33</v>
      </c>
      <c r="D441" t="s">
        <v>109</v>
      </c>
      <c r="E441" t="s">
        <v>52</v>
      </c>
      <c r="F441" t="s">
        <v>27</v>
      </c>
      <c r="G441" t="s">
        <v>104</v>
      </c>
      <c r="H441" t="s">
        <v>29</v>
      </c>
      <c r="I441">
        <v>3444</v>
      </c>
      <c r="J441">
        <v>4</v>
      </c>
      <c r="K441">
        <v>3.5</v>
      </c>
      <c r="L441">
        <v>1</v>
      </c>
      <c r="M441" t="s">
        <v>144</v>
      </c>
    </row>
    <row r="442" spans="1:13">
      <c r="A442" t="s">
        <v>786</v>
      </c>
      <c r="B442" t="s">
        <v>195</v>
      </c>
      <c r="C442" t="s">
        <v>24</v>
      </c>
      <c r="D442" t="s">
        <v>51</v>
      </c>
      <c r="E442" t="s">
        <v>52</v>
      </c>
      <c r="F442" t="s">
        <v>18</v>
      </c>
      <c r="G442" t="s">
        <v>28</v>
      </c>
      <c r="H442" t="s">
        <v>36</v>
      </c>
      <c r="I442">
        <v>12636</v>
      </c>
      <c r="J442">
        <v>6</v>
      </c>
      <c r="K442">
        <v>4.9000000000000004</v>
      </c>
      <c r="L442">
        <v>3</v>
      </c>
      <c r="M442" t="s">
        <v>21</v>
      </c>
    </row>
    <row r="443" spans="1:13">
      <c r="A443" t="s">
        <v>787</v>
      </c>
      <c r="B443" t="s">
        <v>313</v>
      </c>
      <c r="C443" t="s">
        <v>122</v>
      </c>
      <c r="D443" t="s">
        <v>86</v>
      </c>
      <c r="E443" t="s">
        <v>17</v>
      </c>
      <c r="F443" t="s">
        <v>27</v>
      </c>
      <c r="G443" t="s">
        <v>28</v>
      </c>
      <c r="H443" t="s">
        <v>20</v>
      </c>
      <c r="I443">
        <v>6948</v>
      </c>
      <c r="J443">
        <v>6</v>
      </c>
      <c r="K443">
        <v>3.8</v>
      </c>
      <c r="L443">
        <v>2</v>
      </c>
      <c r="M443" t="s">
        <v>47</v>
      </c>
    </row>
    <row r="444" spans="1:13">
      <c r="A444" t="s">
        <v>788</v>
      </c>
      <c r="B444" t="s">
        <v>185</v>
      </c>
      <c r="C444" t="s">
        <v>24</v>
      </c>
      <c r="D444" t="s">
        <v>159</v>
      </c>
      <c r="E444" t="s">
        <v>42</v>
      </c>
      <c r="F444" t="s">
        <v>60</v>
      </c>
      <c r="G444" t="s">
        <v>104</v>
      </c>
      <c r="H444" t="s">
        <v>20</v>
      </c>
      <c r="I444">
        <v>34160</v>
      </c>
      <c r="J444">
        <v>8</v>
      </c>
      <c r="K444">
        <v>3.6</v>
      </c>
      <c r="L444">
        <v>8</v>
      </c>
      <c r="M444" t="s">
        <v>87</v>
      </c>
    </row>
    <row r="445" spans="1:13">
      <c r="A445" t="s">
        <v>789</v>
      </c>
      <c r="B445" t="s">
        <v>790</v>
      </c>
      <c r="C445" t="s">
        <v>103</v>
      </c>
      <c r="D445" t="s">
        <v>159</v>
      </c>
      <c r="E445" t="s">
        <v>42</v>
      </c>
      <c r="F445" t="s">
        <v>83</v>
      </c>
      <c r="G445" t="s">
        <v>54</v>
      </c>
      <c r="H445" t="s">
        <v>64</v>
      </c>
      <c r="I445">
        <v>10452</v>
      </c>
      <c r="J445">
        <v>6</v>
      </c>
      <c r="K445">
        <v>4.4000000000000004</v>
      </c>
      <c r="L445">
        <v>1</v>
      </c>
      <c r="M445" t="s">
        <v>192</v>
      </c>
    </row>
    <row r="446" spans="1:13">
      <c r="A446" t="s">
        <v>791</v>
      </c>
      <c r="B446" t="s">
        <v>336</v>
      </c>
      <c r="C446" t="s">
        <v>58</v>
      </c>
      <c r="D446" t="s">
        <v>90</v>
      </c>
      <c r="E446" t="s">
        <v>42</v>
      </c>
      <c r="F446" t="s">
        <v>100</v>
      </c>
      <c r="G446" t="s">
        <v>19</v>
      </c>
      <c r="H446" t="s">
        <v>36</v>
      </c>
      <c r="I446">
        <v>11904</v>
      </c>
      <c r="J446">
        <v>6</v>
      </c>
      <c r="K446">
        <v>4.9000000000000004</v>
      </c>
      <c r="L446">
        <v>3</v>
      </c>
      <c r="M446" t="s">
        <v>80</v>
      </c>
    </row>
    <row r="447" spans="1:13">
      <c r="A447" t="s">
        <v>792</v>
      </c>
      <c r="B447" t="s">
        <v>32</v>
      </c>
      <c r="C447" t="s">
        <v>58</v>
      </c>
      <c r="D447" t="s">
        <v>90</v>
      </c>
      <c r="E447" t="s">
        <v>42</v>
      </c>
      <c r="F447" t="s">
        <v>83</v>
      </c>
      <c r="G447" t="s">
        <v>19</v>
      </c>
      <c r="H447" t="s">
        <v>36</v>
      </c>
      <c r="I447">
        <v>33656</v>
      </c>
      <c r="J447">
        <v>8</v>
      </c>
      <c r="K447">
        <v>3.6</v>
      </c>
      <c r="L447">
        <v>7</v>
      </c>
      <c r="M447" t="s">
        <v>37</v>
      </c>
    </row>
    <row r="448" spans="1:13">
      <c r="A448" t="s">
        <v>793</v>
      </c>
      <c r="B448" t="s">
        <v>583</v>
      </c>
      <c r="C448" t="s">
        <v>146</v>
      </c>
      <c r="D448" t="s">
        <v>41</v>
      </c>
      <c r="E448" t="s">
        <v>42</v>
      </c>
      <c r="F448" t="s">
        <v>60</v>
      </c>
      <c r="G448" t="s">
        <v>19</v>
      </c>
      <c r="H448" t="s">
        <v>36</v>
      </c>
      <c r="I448">
        <v>40400</v>
      </c>
      <c r="J448">
        <v>8</v>
      </c>
      <c r="K448">
        <v>4.0999999999999996</v>
      </c>
      <c r="L448">
        <v>2</v>
      </c>
      <c r="M448" t="s">
        <v>144</v>
      </c>
    </row>
    <row r="449" spans="1:13">
      <c r="A449" t="s">
        <v>794</v>
      </c>
      <c r="B449" t="s">
        <v>411</v>
      </c>
      <c r="C449" t="s">
        <v>15</v>
      </c>
      <c r="D449" t="s">
        <v>25</v>
      </c>
      <c r="E449" t="s">
        <v>26</v>
      </c>
      <c r="F449" t="s">
        <v>60</v>
      </c>
      <c r="G449" t="s">
        <v>104</v>
      </c>
      <c r="H449" t="s">
        <v>20</v>
      </c>
      <c r="I449">
        <v>33012</v>
      </c>
      <c r="J449">
        <v>7</v>
      </c>
      <c r="K449">
        <v>4.4000000000000004</v>
      </c>
      <c r="L449">
        <v>2</v>
      </c>
      <c r="M449" t="s">
        <v>119</v>
      </c>
    </row>
    <row r="450" spans="1:13">
      <c r="A450" t="s">
        <v>795</v>
      </c>
      <c r="B450" t="s">
        <v>44</v>
      </c>
      <c r="C450" t="s">
        <v>75</v>
      </c>
      <c r="D450" t="s">
        <v>41</v>
      </c>
      <c r="E450" t="s">
        <v>42</v>
      </c>
      <c r="F450" t="s">
        <v>60</v>
      </c>
      <c r="G450" t="s">
        <v>104</v>
      </c>
      <c r="H450" t="s">
        <v>36</v>
      </c>
      <c r="I450">
        <v>29872</v>
      </c>
      <c r="J450">
        <v>8</v>
      </c>
      <c r="K450">
        <v>4</v>
      </c>
      <c r="L450">
        <v>1</v>
      </c>
      <c r="M450" t="s">
        <v>47</v>
      </c>
    </row>
    <row r="451" spans="1:13">
      <c r="A451" t="s">
        <v>796</v>
      </c>
      <c r="B451" t="s">
        <v>797</v>
      </c>
      <c r="C451" t="s">
        <v>33</v>
      </c>
      <c r="D451" t="s">
        <v>97</v>
      </c>
      <c r="E451" t="s">
        <v>35</v>
      </c>
      <c r="F451" t="s">
        <v>18</v>
      </c>
      <c r="G451" t="s">
        <v>28</v>
      </c>
      <c r="H451" t="s">
        <v>29</v>
      </c>
      <c r="I451">
        <v>335296</v>
      </c>
      <c r="J451">
        <v>4</v>
      </c>
      <c r="K451">
        <v>4.0999999999999996</v>
      </c>
      <c r="L451">
        <v>6</v>
      </c>
      <c r="M451" t="s">
        <v>21</v>
      </c>
    </row>
    <row r="452" spans="1:13">
      <c r="A452" t="s">
        <v>798</v>
      </c>
      <c r="B452" t="s">
        <v>799</v>
      </c>
      <c r="C452" t="s">
        <v>78</v>
      </c>
      <c r="D452" t="s">
        <v>41</v>
      </c>
      <c r="E452" t="s">
        <v>42</v>
      </c>
      <c r="F452" t="s">
        <v>18</v>
      </c>
      <c r="G452" t="s">
        <v>28</v>
      </c>
      <c r="H452" t="s">
        <v>20</v>
      </c>
      <c r="I452">
        <v>14262</v>
      </c>
      <c r="J452">
        <v>6</v>
      </c>
      <c r="K452">
        <v>5</v>
      </c>
      <c r="L452">
        <v>4</v>
      </c>
      <c r="M452" t="s">
        <v>55</v>
      </c>
    </row>
    <row r="453" spans="1:13">
      <c r="A453" t="s">
        <v>800</v>
      </c>
      <c r="B453" t="s">
        <v>154</v>
      </c>
      <c r="C453" t="s">
        <v>125</v>
      </c>
      <c r="D453" t="s">
        <v>109</v>
      </c>
      <c r="E453" t="s">
        <v>52</v>
      </c>
      <c r="F453" t="s">
        <v>100</v>
      </c>
      <c r="G453" t="s">
        <v>54</v>
      </c>
      <c r="H453" t="s">
        <v>64</v>
      </c>
      <c r="I453">
        <v>9910</v>
      </c>
      <c r="J453">
        <v>5</v>
      </c>
      <c r="K453">
        <v>3.9</v>
      </c>
      <c r="L453">
        <v>8</v>
      </c>
      <c r="M453" t="s">
        <v>126</v>
      </c>
    </row>
    <row r="454" spans="1:13">
      <c r="A454" t="s">
        <v>801</v>
      </c>
      <c r="B454" t="s">
        <v>802</v>
      </c>
      <c r="C454" t="s">
        <v>40</v>
      </c>
      <c r="D454" t="s">
        <v>59</v>
      </c>
      <c r="E454" t="s">
        <v>26</v>
      </c>
      <c r="F454" t="s">
        <v>18</v>
      </c>
      <c r="G454" t="s">
        <v>54</v>
      </c>
      <c r="H454" t="s">
        <v>20</v>
      </c>
      <c r="I454">
        <v>13380</v>
      </c>
      <c r="J454">
        <v>6</v>
      </c>
      <c r="K454">
        <v>3.3</v>
      </c>
      <c r="L454">
        <v>3</v>
      </c>
      <c r="M454" t="s">
        <v>47</v>
      </c>
    </row>
    <row r="455" spans="1:13">
      <c r="A455" t="s">
        <v>803</v>
      </c>
      <c r="B455" t="s">
        <v>298</v>
      </c>
      <c r="C455" t="s">
        <v>78</v>
      </c>
      <c r="D455" t="s">
        <v>113</v>
      </c>
      <c r="E455" t="s">
        <v>35</v>
      </c>
      <c r="F455" t="s">
        <v>83</v>
      </c>
      <c r="G455" t="s">
        <v>28</v>
      </c>
      <c r="H455" t="s">
        <v>29</v>
      </c>
      <c r="I455">
        <v>87816</v>
      </c>
      <c r="J455">
        <v>3</v>
      </c>
      <c r="K455">
        <v>3.2</v>
      </c>
      <c r="L455">
        <v>7</v>
      </c>
      <c r="M455" t="s">
        <v>119</v>
      </c>
    </row>
    <row r="456" spans="1:13">
      <c r="A456" t="s">
        <v>804</v>
      </c>
      <c r="B456" t="s">
        <v>805</v>
      </c>
      <c r="C456" t="s">
        <v>133</v>
      </c>
      <c r="D456" t="s">
        <v>90</v>
      </c>
      <c r="E456" t="s">
        <v>42</v>
      </c>
      <c r="F456" t="s">
        <v>100</v>
      </c>
      <c r="G456" t="s">
        <v>104</v>
      </c>
      <c r="H456" t="s">
        <v>29</v>
      </c>
      <c r="I456">
        <v>880</v>
      </c>
      <c r="J456">
        <v>1</v>
      </c>
      <c r="K456">
        <v>4.7</v>
      </c>
      <c r="L456">
        <v>6</v>
      </c>
      <c r="M456" t="s">
        <v>192</v>
      </c>
    </row>
    <row r="457" spans="1:13">
      <c r="A457" t="s">
        <v>806</v>
      </c>
      <c r="B457" t="s">
        <v>406</v>
      </c>
      <c r="C457" t="s">
        <v>40</v>
      </c>
      <c r="D457" t="s">
        <v>90</v>
      </c>
      <c r="E457" t="s">
        <v>42</v>
      </c>
      <c r="F457" t="s">
        <v>18</v>
      </c>
      <c r="G457" t="s">
        <v>19</v>
      </c>
      <c r="H457" t="s">
        <v>29</v>
      </c>
      <c r="I457">
        <v>10530</v>
      </c>
      <c r="J457">
        <v>5</v>
      </c>
      <c r="K457">
        <v>3.6</v>
      </c>
      <c r="L457">
        <v>6</v>
      </c>
      <c r="M457" t="s">
        <v>47</v>
      </c>
    </row>
    <row r="458" spans="1:13">
      <c r="A458" t="s">
        <v>807</v>
      </c>
      <c r="B458" t="s">
        <v>415</v>
      </c>
      <c r="C458" t="s">
        <v>24</v>
      </c>
      <c r="D458" t="s">
        <v>97</v>
      </c>
      <c r="E458" t="s">
        <v>35</v>
      </c>
      <c r="F458" t="s">
        <v>83</v>
      </c>
      <c r="G458" t="s">
        <v>54</v>
      </c>
      <c r="H458" t="s">
        <v>36</v>
      </c>
      <c r="I458">
        <v>119661</v>
      </c>
      <c r="J458">
        <v>3</v>
      </c>
      <c r="K458">
        <v>4.7</v>
      </c>
      <c r="L458">
        <v>3</v>
      </c>
      <c r="M458" t="s">
        <v>80</v>
      </c>
    </row>
    <row r="459" spans="1:13">
      <c r="A459" t="s">
        <v>808</v>
      </c>
      <c r="B459" t="s">
        <v>510</v>
      </c>
      <c r="C459" t="s">
        <v>129</v>
      </c>
      <c r="D459" t="s">
        <v>165</v>
      </c>
      <c r="E459" t="s">
        <v>35</v>
      </c>
      <c r="F459" t="s">
        <v>83</v>
      </c>
      <c r="G459" t="s">
        <v>104</v>
      </c>
      <c r="H459" t="s">
        <v>64</v>
      </c>
      <c r="I459">
        <v>213456</v>
      </c>
      <c r="J459">
        <v>8</v>
      </c>
      <c r="K459">
        <v>4.5</v>
      </c>
      <c r="L459">
        <v>6</v>
      </c>
      <c r="M459" t="s">
        <v>80</v>
      </c>
    </row>
    <row r="460" spans="1:13">
      <c r="A460" t="s">
        <v>809</v>
      </c>
      <c r="B460" t="s">
        <v>810</v>
      </c>
      <c r="C460" t="s">
        <v>72</v>
      </c>
      <c r="D460" t="s">
        <v>79</v>
      </c>
      <c r="E460" t="s">
        <v>26</v>
      </c>
      <c r="F460" t="s">
        <v>18</v>
      </c>
      <c r="G460" t="s">
        <v>104</v>
      </c>
      <c r="H460" t="s">
        <v>29</v>
      </c>
      <c r="I460">
        <v>15905</v>
      </c>
      <c r="J460">
        <v>5</v>
      </c>
      <c r="K460">
        <v>4.9000000000000004</v>
      </c>
      <c r="L460">
        <v>6</v>
      </c>
      <c r="M460" t="s">
        <v>30</v>
      </c>
    </row>
    <row r="461" spans="1:13">
      <c r="A461" t="s">
        <v>811</v>
      </c>
      <c r="B461" t="s">
        <v>252</v>
      </c>
      <c r="C461" t="s">
        <v>78</v>
      </c>
      <c r="D461" t="s">
        <v>46</v>
      </c>
      <c r="E461" t="s">
        <v>42</v>
      </c>
      <c r="F461" t="s">
        <v>18</v>
      </c>
      <c r="G461" t="s">
        <v>104</v>
      </c>
      <c r="H461" t="s">
        <v>36</v>
      </c>
      <c r="I461">
        <v>4860</v>
      </c>
      <c r="J461">
        <v>3</v>
      </c>
      <c r="K461">
        <v>4.8</v>
      </c>
      <c r="L461">
        <v>3</v>
      </c>
      <c r="M461" t="s">
        <v>30</v>
      </c>
    </row>
    <row r="462" spans="1:13">
      <c r="A462" t="s">
        <v>812</v>
      </c>
      <c r="B462" t="s">
        <v>306</v>
      </c>
      <c r="C462" t="s">
        <v>103</v>
      </c>
      <c r="D462" t="s">
        <v>159</v>
      </c>
      <c r="E462" t="s">
        <v>42</v>
      </c>
      <c r="F462" t="s">
        <v>83</v>
      </c>
      <c r="G462" t="s">
        <v>54</v>
      </c>
      <c r="H462" t="s">
        <v>36</v>
      </c>
      <c r="I462">
        <v>34086</v>
      </c>
      <c r="J462">
        <v>6</v>
      </c>
      <c r="K462">
        <v>3.6</v>
      </c>
      <c r="L462">
        <v>4</v>
      </c>
      <c r="M462" t="s">
        <v>47</v>
      </c>
    </row>
    <row r="463" spans="1:13">
      <c r="A463" t="s">
        <v>813</v>
      </c>
      <c r="B463" t="s">
        <v>139</v>
      </c>
      <c r="C463" t="s">
        <v>129</v>
      </c>
      <c r="D463" t="s">
        <v>69</v>
      </c>
      <c r="E463" t="s">
        <v>26</v>
      </c>
      <c r="F463" t="s">
        <v>60</v>
      </c>
      <c r="G463" t="s">
        <v>19</v>
      </c>
      <c r="H463" t="s">
        <v>64</v>
      </c>
      <c r="I463">
        <v>12012</v>
      </c>
      <c r="J463">
        <v>2</v>
      </c>
      <c r="K463">
        <v>4.3</v>
      </c>
      <c r="L463">
        <v>1</v>
      </c>
      <c r="M463" t="s">
        <v>119</v>
      </c>
    </row>
    <row r="464" spans="1:13">
      <c r="A464" t="s">
        <v>814</v>
      </c>
      <c r="B464" t="s">
        <v>310</v>
      </c>
      <c r="C464" t="s">
        <v>179</v>
      </c>
      <c r="D464" t="s">
        <v>97</v>
      </c>
      <c r="E464" t="s">
        <v>35</v>
      </c>
      <c r="F464" t="s">
        <v>27</v>
      </c>
      <c r="G464" t="s">
        <v>28</v>
      </c>
      <c r="H464" t="s">
        <v>64</v>
      </c>
      <c r="I464">
        <v>48552</v>
      </c>
      <c r="J464">
        <v>1</v>
      </c>
      <c r="K464">
        <v>4.8</v>
      </c>
      <c r="L464">
        <v>2</v>
      </c>
      <c r="M464" t="s">
        <v>55</v>
      </c>
    </row>
    <row r="465" spans="1:13">
      <c r="A465" t="s">
        <v>815</v>
      </c>
      <c r="B465" t="s">
        <v>708</v>
      </c>
      <c r="C465" t="s">
        <v>40</v>
      </c>
      <c r="D465" t="s">
        <v>46</v>
      </c>
      <c r="E465" t="s">
        <v>42</v>
      </c>
      <c r="F465" t="s">
        <v>60</v>
      </c>
      <c r="G465" t="s">
        <v>104</v>
      </c>
      <c r="H465" t="s">
        <v>36</v>
      </c>
      <c r="I465">
        <v>38570</v>
      </c>
      <c r="J465">
        <v>7</v>
      </c>
      <c r="K465">
        <v>3.4</v>
      </c>
      <c r="L465">
        <v>4</v>
      </c>
      <c r="M465" t="s">
        <v>80</v>
      </c>
    </row>
    <row r="466" spans="1:13">
      <c r="A466" t="s">
        <v>816</v>
      </c>
      <c r="B466" t="s">
        <v>561</v>
      </c>
      <c r="C466" t="s">
        <v>179</v>
      </c>
      <c r="D466" t="s">
        <v>69</v>
      </c>
      <c r="E466" t="s">
        <v>26</v>
      </c>
      <c r="F466" t="s">
        <v>83</v>
      </c>
      <c r="G466" t="s">
        <v>28</v>
      </c>
      <c r="H466" t="s">
        <v>29</v>
      </c>
      <c r="I466">
        <v>9906</v>
      </c>
      <c r="J466">
        <v>1</v>
      </c>
      <c r="K466">
        <v>4</v>
      </c>
      <c r="L466">
        <v>3</v>
      </c>
      <c r="M466" t="s">
        <v>87</v>
      </c>
    </row>
    <row r="467" spans="1:13">
      <c r="A467" t="s">
        <v>817</v>
      </c>
      <c r="B467" t="s">
        <v>666</v>
      </c>
      <c r="C467" t="s">
        <v>72</v>
      </c>
      <c r="D467" t="s">
        <v>69</v>
      </c>
      <c r="E467" t="s">
        <v>26</v>
      </c>
      <c r="F467" t="s">
        <v>53</v>
      </c>
      <c r="G467" t="s">
        <v>104</v>
      </c>
      <c r="H467" t="s">
        <v>64</v>
      </c>
      <c r="I467">
        <v>41965</v>
      </c>
      <c r="J467">
        <v>5</v>
      </c>
      <c r="K467">
        <v>3.6</v>
      </c>
      <c r="L467">
        <v>1</v>
      </c>
      <c r="M467" t="s">
        <v>144</v>
      </c>
    </row>
    <row r="468" spans="1:13">
      <c r="A468" t="s">
        <v>818</v>
      </c>
      <c r="B468" t="s">
        <v>545</v>
      </c>
      <c r="C468" t="s">
        <v>45</v>
      </c>
      <c r="D468" t="s">
        <v>218</v>
      </c>
      <c r="E468" t="s">
        <v>17</v>
      </c>
      <c r="F468" t="s">
        <v>27</v>
      </c>
      <c r="G468" t="s">
        <v>104</v>
      </c>
      <c r="H468" t="s">
        <v>64</v>
      </c>
      <c r="I468">
        <v>3921</v>
      </c>
      <c r="J468">
        <v>3</v>
      </c>
      <c r="K468">
        <v>4.0999999999999996</v>
      </c>
      <c r="L468">
        <v>2</v>
      </c>
      <c r="M468" t="s">
        <v>47</v>
      </c>
    </row>
    <row r="469" spans="1:13">
      <c r="A469" t="s">
        <v>819</v>
      </c>
      <c r="B469" t="s">
        <v>533</v>
      </c>
      <c r="C469" t="s">
        <v>24</v>
      </c>
      <c r="D469" t="s">
        <v>69</v>
      </c>
      <c r="E469" t="s">
        <v>26</v>
      </c>
      <c r="F469" t="s">
        <v>100</v>
      </c>
      <c r="G469" t="s">
        <v>54</v>
      </c>
      <c r="H469" t="s">
        <v>20</v>
      </c>
      <c r="I469">
        <v>81800</v>
      </c>
      <c r="J469">
        <v>8</v>
      </c>
      <c r="K469">
        <v>3.2</v>
      </c>
      <c r="L469">
        <v>5</v>
      </c>
      <c r="M469" t="s">
        <v>21</v>
      </c>
    </row>
    <row r="470" spans="1:13">
      <c r="A470" t="s">
        <v>820</v>
      </c>
      <c r="B470" t="s">
        <v>411</v>
      </c>
      <c r="C470" t="s">
        <v>33</v>
      </c>
      <c r="D470" t="s">
        <v>97</v>
      </c>
      <c r="E470" t="s">
        <v>35</v>
      </c>
      <c r="F470" t="s">
        <v>53</v>
      </c>
      <c r="G470" t="s">
        <v>104</v>
      </c>
      <c r="H470" t="s">
        <v>36</v>
      </c>
      <c r="I470">
        <v>28296</v>
      </c>
      <c r="J470">
        <v>3</v>
      </c>
      <c r="K470">
        <v>4</v>
      </c>
      <c r="L470">
        <v>6</v>
      </c>
      <c r="M470" t="s">
        <v>119</v>
      </c>
    </row>
    <row r="471" spans="1:13">
      <c r="A471" t="s">
        <v>821</v>
      </c>
      <c r="B471" t="s">
        <v>784</v>
      </c>
      <c r="C471" t="s">
        <v>103</v>
      </c>
      <c r="D471" t="s">
        <v>79</v>
      </c>
      <c r="E471" t="s">
        <v>26</v>
      </c>
      <c r="F471" t="s">
        <v>27</v>
      </c>
      <c r="G471" t="s">
        <v>104</v>
      </c>
      <c r="H471" t="s">
        <v>36</v>
      </c>
      <c r="I471">
        <v>17940</v>
      </c>
      <c r="J471">
        <v>3</v>
      </c>
      <c r="K471">
        <v>4.7</v>
      </c>
      <c r="L471">
        <v>5</v>
      </c>
      <c r="M471" t="s">
        <v>192</v>
      </c>
    </row>
    <row r="472" spans="1:13">
      <c r="A472" t="s">
        <v>822</v>
      </c>
      <c r="B472" t="s">
        <v>371</v>
      </c>
      <c r="C472" t="s">
        <v>68</v>
      </c>
      <c r="D472" t="s">
        <v>59</v>
      </c>
      <c r="E472" t="s">
        <v>26</v>
      </c>
      <c r="F472" t="s">
        <v>83</v>
      </c>
      <c r="G472" t="s">
        <v>19</v>
      </c>
      <c r="H472" t="s">
        <v>20</v>
      </c>
      <c r="I472">
        <v>8744</v>
      </c>
      <c r="J472">
        <v>1</v>
      </c>
      <c r="K472">
        <v>3.9</v>
      </c>
      <c r="L472">
        <v>3</v>
      </c>
      <c r="M472" t="s">
        <v>80</v>
      </c>
    </row>
    <row r="473" spans="1:13">
      <c r="A473" t="s">
        <v>823</v>
      </c>
      <c r="B473" t="s">
        <v>545</v>
      </c>
      <c r="C473" t="s">
        <v>72</v>
      </c>
      <c r="D473" t="s">
        <v>147</v>
      </c>
      <c r="E473" t="s">
        <v>52</v>
      </c>
      <c r="F473" t="s">
        <v>60</v>
      </c>
      <c r="G473" t="s">
        <v>104</v>
      </c>
      <c r="H473" t="s">
        <v>20</v>
      </c>
      <c r="I473">
        <v>5816</v>
      </c>
      <c r="J473">
        <v>8</v>
      </c>
      <c r="K473">
        <v>3.8</v>
      </c>
      <c r="L473">
        <v>6</v>
      </c>
      <c r="M473" t="s">
        <v>47</v>
      </c>
    </row>
    <row r="474" spans="1:13">
      <c r="A474" t="s">
        <v>824</v>
      </c>
      <c r="B474" t="s">
        <v>825</v>
      </c>
      <c r="C474" t="s">
        <v>133</v>
      </c>
      <c r="D474" t="s">
        <v>113</v>
      </c>
      <c r="E474" t="s">
        <v>35</v>
      </c>
      <c r="F474" t="s">
        <v>27</v>
      </c>
      <c r="G474" t="s">
        <v>54</v>
      </c>
      <c r="H474" t="s">
        <v>36</v>
      </c>
      <c r="I474">
        <v>128788</v>
      </c>
      <c r="J474">
        <v>4</v>
      </c>
      <c r="K474">
        <v>3.6</v>
      </c>
      <c r="L474">
        <v>2</v>
      </c>
      <c r="M474" t="s">
        <v>80</v>
      </c>
    </row>
    <row r="475" spans="1:13">
      <c r="A475" t="s">
        <v>826</v>
      </c>
      <c r="B475" t="s">
        <v>692</v>
      </c>
      <c r="C475" t="s">
        <v>103</v>
      </c>
      <c r="D475" t="s">
        <v>116</v>
      </c>
      <c r="E475" t="s">
        <v>17</v>
      </c>
      <c r="F475" t="s">
        <v>18</v>
      </c>
      <c r="G475" t="s">
        <v>54</v>
      </c>
      <c r="H475" t="s">
        <v>29</v>
      </c>
      <c r="I475">
        <v>702</v>
      </c>
      <c r="J475">
        <v>1</v>
      </c>
      <c r="K475">
        <v>3.3</v>
      </c>
      <c r="L475">
        <v>2</v>
      </c>
      <c r="M475" t="s">
        <v>47</v>
      </c>
    </row>
    <row r="476" spans="1:13">
      <c r="A476" t="s">
        <v>827</v>
      </c>
      <c r="B476" t="s">
        <v>593</v>
      </c>
      <c r="C476" t="s">
        <v>58</v>
      </c>
      <c r="D476" t="s">
        <v>16</v>
      </c>
      <c r="E476" t="s">
        <v>17</v>
      </c>
      <c r="F476" t="s">
        <v>53</v>
      </c>
      <c r="G476" t="s">
        <v>104</v>
      </c>
      <c r="H476" t="s">
        <v>20</v>
      </c>
      <c r="I476">
        <v>6012</v>
      </c>
      <c r="J476">
        <v>4</v>
      </c>
      <c r="K476">
        <v>3.4</v>
      </c>
      <c r="L476">
        <v>5</v>
      </c>
      <c r="M476" t="s">
        <v>80</v>
      </c>
    </row>
    <row r="477" spans="1:13">
      <c r="A477" t="s">
        <v>828</v>
      </c>
      <c r="B477" t="s">
        <v>829</v>
      </c>
      <c r="C477" t="s">
        <v>78</v>
      </c>
      <c r="D477" t="s">
        <v>79</v>
      </c>
      <c r="E477" t="s">
        <v>26</v>
      </c>
      <c r="F477" t="s">
        <v>18</v>
      </c>
      <c r="G477" t="s">
        <v>54</v>
      </c>
      <c r="H477" t="s">
        <v>20</v>
      </c>
      <c r="I477">
        <v>7876</v>
      </c>
      <c r="J477">
        <v>2</v>
      </c>
      <c r="K477">
        <v>4.9000000000000004</v>
      </c>
      <c r="L477">
        <v>3</v>
      </c>
      <c r="M477" t="s">
        <v>65</v>
      </c>
    </row>
    <row r="478" spans="1:13">
      <c r="A478" t="s">
        <v>830</v>
      </c>
      <c r="B478" t="s">
        <v>799</v>
      </c>
      <c r="C478" t="s">
        <v>133</v>
      </c>
      <c r="D478" t="s">
        <v>69</v>
      </c>
      <c r="E478" t="s">
        <v>26</v>
      </c>
      <c r="F478" t="s">
        <v>18</v>
      </c>
      <c r="G478" t="s">
        <v>104</v>
      </c>
      <c r="H478" t="s">
        <v>36</v>
      </c>
      <c r="I478">
        <v>21057</v>
      </c>
      <c r="J478">
        <v>3</v>
      </c>
      <c r="K478">
        <v>4</v>
      </c>
      <c r="L478">
        <v>4</v>
      </c>
      <c r="M478" t="s">
        <v>55</v>
      </c>
    </row>
    <row r="479" spans="1:13">
      <c r="A479" t="s">
        <v>831</v>
      </c>
      <c r="B479" t="s">
        <v>729</v>
      </c>
      <c r="C479" t="s">
        <v>68</v>
      </c>
      <c r="D479" t="s">
        <v>41</v>
      </c>
      <c r="E479" t="s">
        <v>42</v>
      </c>
      <c r="F479" t="s">
        <v>60</v>
      </c>
      <c r="G479" t="s">
        <v>104</v>
      </c>
      <c r="H479" t="s">
        <v>64</v>
      </c>
      <c r="I479">
        <v>15792</v>
      </c>
      <c r="J479">
        <v>3</v>
      </c>
      <c r="K479">
        <v>3.3</v>
      </c>
      <c r="L479">
        <v>8</v>
      </c>
      <c r="M479" t="s">
        <v>65</v>
      </c>
    </row>
    <row r="480" spans="1:13">
      <c r="A480" t="s">
        <v>832</v>
      </c>
      <c r="B480" t="s">
        <v>833</v>
      </c>
      <c r="C480" t="s">
        <v>129</v>
      </c>
      <c r="D480" t="s">
        <v>59</v>
      </c>
      <c r="E480" t="s">
        <v>26</v>
      </c>
      <c r="F480" t="s">
        <v>83</v>
      </c>
      <c r="G480" t="s">
        <v>54</v>
      </c>
      <c r="H480" t="s">
        <v>64</v>
      </c>
      <c r="I480">
        <v>31144</v>
      </c>
      <c r="J480">
        <v>8</v>
      </c>
      <c r="K480">
        <v>4.7</v>
      </c>
      <c r="L480">
        <v>8</v>
      </c>
      <c r="M480" t="s">
        <v>119</v>
      </c>
    </row>
    <row r="481" spans="1:13">
      <c r="A481" t="s">
        <v>834</v>
      </c>
      <c r="B481" t="s">
        <v>82</v>
      </c>
      <c r="C481" t="s">
        <v>75</v>
      </c>
      <c r="D481" t="s">
        <v>116</v>
      </c>
      <c r="E481" t="s">
        <v>17</v>
      </c>
      <c r="F481" t="s">
        <v>53</v>
      </c>
      <c r="G481" t="s">
        <v>19</v>
      </c>
      <c r="H481" t="s">
        <v>29</v>
      </c>
      <c r="I481">
        <v>1088</v>
      </c>
      <c r="J481">
        <v>2</v>
      </c>
      <c r="K481">
        <v>5</v>
      </c>
      <c r="L481">
        <v>3</v>
      </c>
      <c r="M481" t="s">
        <v>47</v>
      </c>
    </row>
    <row r="482" spans="1:13">
      <c r="A482" t="s">
        <v>835</v>
      </c>
      <c r="B482" t="s">
        <v>203</v>
      </c>
      <c r="C482" t="s">
        <v>129</v>
      </c>
      <c r="D482" t="s">
        <v>51</v>
      </c>
      <c r="E482" t="s">
        <v>52</v>
      </c>
      <c r="F482" t="s">
        <v>60</v>
      </c>
      <c r="G482" t="s">
        <v>28</v>
      </c>
      <c r="H482" t="s">
        <v>64</v>
      </c>
      <c r="I482">
        <v>9176</v>
      </c>
      <c r="J482">
        <v>4</v>
      </c>
      <c r="K482">
        <v>3.7</v>
      </c>
      <c r="L482">
        <v>7</v>
      </c>
      <c r="M482" t="s">
        <v>80</v>
      </c>
    </row>
    <row r="483" spans="1:13">
      <c r="A483" t="s">
        <v>836</v>
      </c>
      <c r="B483" t="s">
        <v>837</v>
      </c>
      <c r="C483" t="s">
        <v>15</v>
      </c>
      <c r="D483" t="s">
        <v>59</v>
      </c>
      <c r="E483" t="s">
        <v>26</v>
      </c>
      <c r="F483" t="s">
        <v>18</v>
      </c>
      <c r="G483" t="s">
        <v>54</v>
      </c>
      <c r="H483" t="s">
        <v>36</v>
      </c>
      <c r="I483">
        <v>71576</v>
      </c>
      <c r="J483">
        <v>8</v>
      </c>
      <c r="K483">
        <v>3.6</v>
      </c>
      <c r="L483">
        <v>3</v>
      </c>
      <c r="M483" t="s">
        <v>80</v>
      </c>
    </row>
    <row r="484" spans="1:13">
      <c r="A484" t="s">
        <v>838</v>
      </c>
      <c r="B484" t="s">
        <v>393</v>
      </c>
      <c r="C484" t="s">
        <v>112</v>
      </c>
      <c r="D484" t="s">
        <v>41</v>
      </c>
      <c r="E484" t="s">
        <v>42</v>
      </c>
      <c r="F484" t="s">
        <v>60</v>
      </c>
      <c r="G484" t="s">
        <v>28</v>
      </c>
      <c r="H484" t="s">
        <v>20</v>
      </c>
      <c r="I484">
        <v>22260</v>
      </c>
      <c r="J484">
        <v>7</v>
      </c>
      <c r="K484">
        <v>4.3</v>
      </c>
      <c r="L484">
        <v>2</v>
      </c>
      <c r="M484" t="s">
        <v>37</v>
      </c>
    </row>
    <row r="485" spans="1:13">
      <c r="A485" t="s">
        <v>839</v>
      </c>
      <c r="B485" t="s">
        <v>579</v>
      </c>
      <c r="C485" t="s">
        <v>133</v>
      </c>
      <c r="D485" t="s">
        <v>97</v>
      </c>
      <c r="E485" t="s">
        <v>35</v>
      </c>
      <c r="F485" t="s">
        <v>18</v>
      </c>
      <c r="G485" t="s">
        <v>28</v>
      </c>
      <c r="H485" t="s">
        <v>64</v>
      </c>
      <c r="I485">
        <v>366740</v>
      </c>
      <c r="J485">
        <v>5</v>
      </c>
      <c r="K485">
        <v>4.9000000000000004</v>
      </c>
      <c r="L485">
        <v>1</v>
      </c>
      <c r="M485" t="s">
        <v>65</v>
      </c>
    </row>
    <row r="486" spans="1:13">
      <c r="A486" t="s">
        <v>840</v>
      </c>
      <c r="B486" t="s">
        <v>841</v>
      </c>
      <c r="C486" t="s">
        <v>24</v>
      </c>
      <c r="D486" t="s">
        <v>97</v>
      </c>
      <c r="E486" t="s">
        <v>35</v>
      </c>
      <c r="F486" t="s">
        <v>60</v>
      </c>
      <c r="G486" t="s">
        <v>28</v>
      </c>
      <c r="H486" t="s">
        <v>20</v>
      </c>
      <c r="I486">
        <v>205456</v>
      </c>
      <c r="J486">
        <v>8</v>
      </c>
      <c r="K486">
        <v>4.7</v>
      </c>
      <c r="L486">
        <v>5</v>
      </c>
      <c r="M486" t="s">
        <v>47</v>
      </c>
    </row>
    <row r="487" spans="1:13">
      <c r="A487" t="s">
        <v>842</v>
      </c>
      <c r="B487" t="s">
        <v>843</v>
      </c>
      <c r="C487" t="s">
        <v>112</v>
      </c>
      <c r="D487" t="s">
        <v>97</v>
      </c>
      <c r="E487" t="s">
        <v>35</v>
      </c>
      <c r="F487" t="s">
        <v>18</v>
      </c>
      <c r="G487" t="s">
        <v>28</v>
      </c>
      <c r="H487" t="s">
        <v>29</v>
      </c>
      <c r="I487">
        <v>150170</v>
      </c>
      <c r="J487">
        <v>2</v>
      </c>
      <c r="K487">
        <v>4</v>
      </c>
      <c r="L487">
        <v>3</v>
      </c>
      <c r="M487" t="s">
        <v>65</v>
      </c>
    </row>
    <row r="488" spans="1:13">
      <c r="A488" t="s">
        <v>844</v>
      </c>
      <c r="B488" t="s">
        <v>595</v>
      </c>
      <c r="C488" t="s">
        <v>129</v>
      </c>
      <c r="D488" t="s">
        <v>90</v>
      </c>
      <c r="E488" t="s">
        <v>42</v>
      </c>
      <c r="F488" t="s">
        <v>27</v>
      </c>
      <c r="G488" t="s">
        <v>54</v>
      </c>
      <c r="H488" t="s">
        <v>29</v>
      </c>
      <c r="I488">
        <v>5580</v>
      </c>
      <c r="J488">
        <v>6</v>
      </c>
      <c r="K488">
        <v>3.3</v>
      </c>
      <c r="L488">
        <v>6</v>
      </c>
      <c r="M488" t="s">
        <v>192</v>
      </c>
    </row>
    <row r="489" spans="1:13">
      <c r="A489" t="s">
        <v>845</v>
      </c>
      <c r="B489" t="s">
        <v>846</v>
      </c>
      <c r="C489" t="s">
        <v>40</v>
      </c>
      <c r="D489" t="s">
        <v>41</v>
      </c>
      <c r="E489" t="s">
        <v>42</v>
      </c>
      <c r="F489" t="s">
        <v>100</v>
      </c>
      <c r="G489" t="s">
        <v>54</v>
      </c>
      <c r="H489" t="s">
        <v>36</v>
      </c>
      <c r="I489">
        <v>6972</v>
      </c>
      <c r="J489">
        <v>6</v>
      </c>
      <c r="K489">
        <v>3.6</v>
      </c>
      <c r="L489">
        <v>4</v>
      </c>
      <c r="M489" t="s">
        <v>47</v>
      </c>
    </row>
    <row r="490" spans="1:13">
      <c r="A490" t="s">
        <v>847</v>
      </c>
      <c r="B490" t="s">
        <v>156</v>
      </c>
      <c r="C490" t="s">
        <v>58</v>
      </c>
      <c r="D490" t="s">
        <v>113</v>
      </c>
      <c r="E490" t="s">
        <v>35</v>
      </c>
      <c r="F490" t="s">
        <v>100</v>
      </c>
      <c r="G490" t="s">
        <v>28</v>
      </c>
      <c r="H490" t="s">
        <v>29</v>
      </c>
      <c r="I490">
        <v>135732</v>
      </c>
      <c r="J490">
        <v>3</v>
      </c>
      <c r="K490">
        <v>4.4000000000000004</v>
      </c>
      <c r="L490">
        <v>7</v>
      </c>
      <c r="M490" t="s">
        <v>126</v>
      </c>
    </row>
    <row r="491" spans="1:13">
      <c r="A491" t="s">
        <v>848</v>
      </c>
      <c r="B491" t="s">
        <v>543</v>
      </c>
      <c r="C491" t="s">
        <v>68</v>
      </c>
      <c r="D491" t="s">
        <v>116</v>
      </c>
      <c r="E491" t="s">
        <v>17</v>
      </c>
      <c r="F491" t="s">
        <v>27</v>
      </c>
      <c r="G491" t="s">
        <v>19</v>
      </c>
      <c r="H491" t="s">
        <v>29</v>
      </c>
      <c r="I491">
        <v>948</v>
      </c>
      <c r="J491">
        <v>1</v>
      </c>
      <c r="K491">
        <v>4.2</v>
      </c>
      <c r="L491">
        <v>8</v>
      </c>
      <c r="M491" t="s">
        <v>30</v>
      </c>
    </row>
    <row r="492" spans="1:13">
      <c r="A492" t="s">
        <v>849</v>
      </c>
      <c r="B492" t="s">
        <v>415</v>
      </c>
      <c r="C492" t="s">
        <v>78</v>
      </c>
      <c r="D492" t="s">
        <v>46</v>
      </c>
      <c r="E492" t="s">
        <v>42</v>
      </c>
      <c r="F492" t="s">
        <v>83</v>
      </c>
      <c r="G492" t="s">
        <v>104</v>
      </c>
      <c r="H492" t="s">
        <v>29</v>
      </c>
      <c r="I492">
        <v>23855</v>
      </c>
      <c r="J492">
        <v>5</v>
      </c>
      <c r="K492">
        <v>4.7</v>
      </c>
      <c r="L492">
        <v>2</v>
      </c>
      <c r="M492" t="s">
        <v>80</v>
      </c>
    </row>
    <row r="493" spans="1:13">
      <c r="A493" t="s">
        <v>850</v>
      </c>
      <c r="B493" t="s">
        <v>252</v>
      </c>
      <c r="C493" t="s">
        <v>58</v>
      </c>
      <c r="D493" t="s">
        <v>218</v>
      </c>
      <c r="E493" t="s">
        <v>17</v>
      </c>
      <c r="F493" t="s">
        <v>100</v>
      </c>
      <c r="G493" t="s">
        <v>28</v>
      </c>
      <c r="H493" t="s">
        <v>64</v>
      </c>
      <c r="I493">
        <v>5334</v>
      </c>
      <c r="J493">
        <v>7</v>
      </c>
      <c r="K493">
        <v>3.8</v>
      </c>
      <c r="L493">
        <v>2</v>
      </c>
      <c r="M493" t="s">
        <v>30</v>
      </c>
    </row>
    <row r="494" spans="1:13">
      <c r="A494" t="s">
        <v>851</v>
      </c>
      <c r="B494" t="s">
        <v>263</v>
      </c>
      <c r="C494" t="s">
        <v>103</v>
      </c>
      <c r="D494" t="s">
        <v>109</v>
      </c>
      <c r="E494" t="s">
        <v>52</v>
      </c>
      <c r="F494" t="s">
        <v>100</v>
      </c>
      <c r="G494" t="s">
        <v>28</v>
      </c>
      <c r="H494" t="s">
        <v>20</v>
      </c>
      <c r="I494">
        <v>7390</v>
      </c>
      <c r="J494">
        <v>5</v>
      </c>
      <c r="K494">
        <v>3.6</v>
      </c>
      <c r="L494">
        <v>7</v>
      </c>
      <c r="M494" t="s">
        <v>87</v>
      </c>
    </row>
    <row r="495" spans="1:13">
      <c r="A495" t="s">
        <v>852</v>
      </c>
      <c r="B495" t="s">
        <v>424</v>
      </c>
      <c r="C495" t="s">
        <v>58</v>
      </c>
      <c r="D495" t="s">
        <v>86</v>
      </c>
      <c r="E495" t="s">
        <v>17</v>
      </c>
      <c r="F495" t="s">
        <v>27</v>
      </c>
      <c r="G495" t="s">
        <v>54</v>
      </c>
      <c r="H495" t="s">
        <v>20</v>
      </c>
      <c r="I495">
        <v>5888</v>
      </c>
      <c r="J495">
        <v>8</v>
      </c>
      <c r="K495">
        <v>4.7</v>
      </c>
      <c r="L495">
        <v>7</v>
      </c>
      <c r="M495" t="s">
        <v>30</v>
      </c>
    </row>
    <row r="496" spans="1:13">
      <c r="A496" t="s">
        <v>853</v>
      </c>
      <c r="B496" t="s">
        <v>837</v>
      </c>
      <c r="C496" t="s">
        <v>179</v>
      </c>
      <c r="D496" t="s">
        <v>97</v>
      </c>
      <c r="E496" t="s">
        <v>35</v>
      </c>
      <c r="F496" t="s">
        <v>60</v>
      </c>
      <c r="G496" t="s">
        <v>104</v>
      </c>
      <c r="H496" t="s">
        <v>29</v>
      </c>
      <c r="I496">
        <v>238268</v>
      </c>
      <c r="J496">
        <v>4</v>
      </c>
      <c r="K496">
        <v>4.7</v>
      </c>
      <c r="L496">
        <v>2</v>
      </c>
      <c r="M496" t="s">
        <v>80</v>
      </c>
    </row>
    <row r="497" spans="1:13">
      <c r="A497" t="s">
        <v>854</v>
      </c>
      <c r="B497" t="s">
        <v>833</v>
      </c>
      <c r="C497" t="s">
        <v>146</v>
      </c>
      <c r="D497" t="s">
        <v>109</v>
      </c>
      <c r="E497" t="s">
        <v>52</v>
      </c>
      <c r="F497" t="s">
        <v>60</v>
      </c>
      <c r="G497" t="s">
        <v>28</v>
      </c>
      <c r="H497" t="s">
        <v>64</v>
      </c>
      <c r="I497">
        <v>4904</v>
      </c>
      <c r="J497">
        <v>4</v>
      </c>
      <c r="K497">
        <v>3.2</v>
      </c>
      <c r="L497">
        <v>5</v>
      </c>
      <c r="M497" t="s">
        <v>119</v>
      </c>
    </row>
    <row r="498" spans="1:13">
      <c r="A498" t="s">
        <v>855</v>
      </c>
      <c r="B498" t="s">
        <v>487</v>
      </c>
      <c r="C498" t="s">
        <v>125</v>
      </c>
      <c r="D498" t="s">
        <v>86</v>
      </c>
      <c r="E498" t="s">
        <v>17</v>
      </c>
      <c r="F498" t="s">
        <v>18</v>
      </c>
      <c r="G498" t="s">
        <v>54</v>
      </c>
      <c r="H498" t="s">
        <v>36</v>
      </c>
      <c r="I498">
        <v>2895</v>
      </c>
      <c r="J498">
        <v>5</v>
      </c>
      <c r="K498">
        <v>4.2</v>
      </c>
      <c r="L498">
        <v>1</v>
      </c>
      <c r="M498" t="s">
        <v>80</v>
      </c>
    </row>
    <row r="499" spans="1:13">
      <c r="A499" t="s">
        <v>856</v>
      </c>
      <c r="B499" t="s">
        <v>187</v>
      </c>
      <c r="C499" t="s">
        <v>112</v>
      </c>
      <c r="D499" t="s">
        <v>165</v>
      </c>
      <c r="E499" t="s">
        <v>35</v>
      </c>
      <c r="F499" t="s">
        <v>27</v>
      </c>
      <c r="G499" t="s">
        <v>104</v>
      </c>
      <c r="H499" t="s">
        <v>64</v>
      </c>
      <c r="I499">
        <v>28672</v>
      </c>
      <c r="J499">
        <v>2</v>
      </c>
      <c r="K499">
        <v>3.6</v>
      </c>
      <c r="L499">
        <v>2</v>
      </c>
      <c r="M499" t="s">
        <v>126</v>
      </c>
    </row>
    <row r="500" spans="1:13">
      <c r="A500" t="s">
        <v>857</v>
      </c>
      <c r="B500" t="s">
        <v>250</v>
      </c>
      <c r="C500" t="s">
        <v>72</v>
      </c>
      <c r="D500" t="s">
        <v>86</v>
      </c>
      <c r="E500" t="s">
        <v>17</v>
      </c>
      <c r="F500" t="s">
        <v>18</v>
      </c>
      <c r="G500" t="s">
        <v>19</v>
      </c>
      <c r="H500" t="s">
        <v>20</v>
      </c>
      <c r="I500">
        <v>1882</v>
      </c>
      <c r="J500">
        <v>2</v>
      </c>
      <c r="K500">
        <v>4.9000000000000004</v>
      </c>
      <c r="L500">
        <v>4</v>
      </c>
      <c r="M500" t="s">
        <v>192</v>
      </c>
    </row>
    <row r="501" spans="1:13">
      <c r="A501" t="s">
        <v>858</v>
      </c>
      <c r="B501" t="s">
        <v>859</v>
      </c>
      <c r="C501" t="s">
        <v>170</v>
      </c>
      <c r="D501" t="s">
        <v>97</v>
      </c>
      <c r="E501" t="s">
        <v>35</v>
      </c>
      <c r="F501" t="s">
        <v>100</v>
      </c>
      <c r="G501" t="s">
        <v>28</v>
      </c>
      <c r="H501" t="s">
        <v>64</v>
      </c>
      <c r="I501">
        <v>333860</v>
      </c>
      <c r="J501">
        <v>5</v>
      </c>
      <c r="K501">
        <v>4.5</v>
      </c>
      <c r="L501">
        <v>2</v>
      </c>
      <c r="M501" t="s">
        <v>55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019AB4-D0CB-4B52-89C6-4C2C0A5AB47A}">
  <dimension ref="A3:AA505"/>
  <sheetViews>
    <sheetView showGridLines="0" topLeftCell="D1" workbookViewId="0">
      <selection activeCell="K5" sqref="K5"/>
    </sheetView>
  </sheetViews>
  <sheetFormatPr defaultRowHeight="14.25"/>
  <cols>
    <col min="1" max="1" width="15.875" bestFit="1" customWidth="1"/>
    <col min="2" max="2" width="8.875" bestFit="1" customWidth="1"/>
    <col min="3" max="3" width="12.375" bestFit="1" customWidth="1"/>
    <col min="4" max="5" width="15" bestFit="1" customWidth="1"/>
    <col min="6" max="6" width="12.375" customWidth="1"/>
    <col min="7" max="7" width="10.125" customWidth="1"/>
    <col min="8" max="8" width="12.25" customWidth="1"/>
    <col min="9" max="9" width="10.875" customWidth="1"/>
    <col min="10" max="10" width="12.625" customWidth="1"/>
    <col min="11" max="11" width="12" customWidth="1"/>
    <col min="17" max="17" width="10" customWidth="1"/>
    <col min="19" max="19" width="9.75" customWidth="1"/>
    <col min="20" max="20" width="10.625" customWidth="1"/>
    <col min="21" max="21" width="13.25" customWidth="1"/>
    <col min="22" max="22" width="10.375" customWidth="1"/>
    <col min="23" max="23" width="11.75" customWidth="1"/>
    <col min="24" max="24" width="8.875" customWidth="1"/>
    <col min="25" max="25" width="11.125" customWidth="1"/>
  </cols>
  <sheetData>
    <row r="3" spans="1:27">
      <c r="A3" s="2" t="s">
        <v>864</v>
      </c>
      <c r="C3" s="2" t="s">
        <v>865</v>
      </c>
      <c r="D3" t="s">
        <v>861</v>
      </c>
      <c r="E3" s="2" t="s">
        <v>865</v>
      </c>
      <c r="F3" t="s">
        <v>861</v>
      </c>
      <c r="G3" s="2" t="s">
        <v>865</v>
      </c>
      <c r="H3" t="s">
        <v>861</v>
      </c>
      <c r="I3" s="2" t="s">
        <v>865</v>
      </c>
      <c r="J3" t="s">
        <v>861</v>
      </c>
      <c r="K3" s="2" t="s">
        <v>861</v>
      </c>
      <c r="Q3" s="9" t="s">
        <v>873</v>
      </c>
      <c r="R3" s="9" t="s">
        <v>868</v>
      </c>
      <c r="S3" s="9" t="s">
        <v>869</v>
      </c>
      <c r="T3" s="9" t="s">
        <v>874</v>
      </c>
      <c r="U3" s="9" t="s">
        <v>875</v>
      </c>
      <c r="V3" s="2" t="s">
        <v>865</v>
      </c>
      <c r="W3" t="s">
        <v>861</v>
      </c>
      <c r="Y3" s="16" t="s">
        <v>876</v>
      </c>
      <c r="Z3" s="16" t="s">
        <v>870</v>
      </c>
      <c r="AA3" s="18" t="s">
        <v>877</v>
      </c>
    </row>
    <row r="4" spans="1:27">
      <c r="A4" s="3" t="s">
        <v>860</v>
      </c>
      <c r="B4" s="1">
        <v>500</v>
      </c>
      <c r="C4" s="3" t="s">
        <v>144</v>
      </c>
      <c r="D4" s="5">
        <v>1480730</v>
      </c>
      <c r="E4" s="3" t="s">
        <v>17</v>
      </c>
      <c r="F4" s="5">
        <v>490618</v>
      </c>
      <c r="G4" s="13" t="s">
        <v>36</v>
      </c>
      <c r="H4" s="20">
        <v>5522910</v>
      </c>
      <c r="I4" s="3" t="s">
        <v>97</v>
      </c>
      <c r="J4" s="5">
        <v>5398413</v>
      </c>
      <c r="K4" s="2" t="s">
        <v>0</v>
      </c>
      <c r="L4" s="2" t="s">
        <v>2</v>
      </c>
      <c r="M4" s="2" t="s">
        <v>3</v>
      </c>
      <c r="N4" s="2" t="s">
        <v>4</v>
      </c>
      <c r="O4" t="s">
        <v>867</v>
      </c>
      <c r="Q4" s="7" t="str">
        <f>K5</f>
        <v>ORD10001</v>
      </c>
      <c r="R4" s="7" t="str">
        <f t="shared" ref="R4:U4" si="0">L5</f>
        <v>Rohit</v>
      </c>
      <c r="S4" s="7" t="str">
        <f t="shared" si="0"/>
        <v>Shampoo</v>
      </c>
      <c r="T4" s="7" t="str">
        <f t="shared" si="0"/>
        <v>Beauty</v>
      </c>
      <c r="U4" s="14">
        <f t="shared" si="0"/>
        <v>3028</v>
      </c>
      <c r="V4" s="3" t="s">
        <v>83</v>
      </c>
      <c r="W4" s="5">
        <v>3353882</v>
      </c>
      <c r="Y4" s="8" t="str">
        <f>V4</f>
        <v>Delhi</v>
      </c>
      <c r="Z4" s="15">
        <f>W4</f>
        <v>3353882</v>
      </c>
      <c r="AA4" s="19">
        <f>Z4/Z10</f>
        <v>0.14578028382255265</v>
      </c>
    </row>
    <row r="5" spans="1:27">
      <c r="A5" s="3" t="s">
        <v>863</v>
      </c>
      <c r="B5" s="4">
        <v>4.1180000000000021</v>
      </c>
      <c r="C5" s="3" t="s">
        <v>87</v>
      </c>
      <c r="D5" s="5">
        <v>1991453</v>
      </c>
      <c r="E5" s="3" t="s">
        <v>52</v>
      </c>
      <c r="F5" s="5">
        <v>570604</v>
      </c>
      <c r="G5" s="3" t="s">
        <v>20</v>
      </c>
      <c r="H5" s="5">
        <v>5037484</v>
      </c>
      <c r="I5" s="3" t="s">
        <v>34</v>
      </c>
      <c r="J5" s="5">
        <v>2352917</v>
      </c>
      <c r="K5" s="12" t="s">
        <v>13</v>
      </c>
      <c r="L5" s="12" t="s">
        <v>15</v>
      </c>
      <c r="M5" s="12" t="s">
        <v>16</v>
      </c>
      <c r="N5" s="12" t="s">
        <v>17</v>
      </c>
      <c r="O5" s="5">
        <v>3028</v>
      </c>
      <c r="Q5" s="7" t="str">
        <f t="shared" ref="Q5:Q10" si="1">K6</f>
        <v>ORD10002</v>
      </c>
      <c r="R5" s="7" t="str">
        <f t="shared" ref="R5:R10" si="2">L6</f>
        <v>Kavya</v>
      </c>
      <c r="S5" s="7" t="str">
        <f t="shared" ref="S5:S10" si="3">M6</f>
        <v>Chair</v>
      </c>
      <c r="T5" s="7" t="str">
        <f t="shared" ref="T5:T10" si="4">N6</f>
        <v>Home</v>
      </c>
      <c r="U5" s="14">
        <f t="shared" ref="U5:U10" si="5">O6</f>
        <v>32636</v>
      </c>
      <c r="V5" s="3" t="s">
        <v>27</v>
      </c>
      <c r="W5" s="5">
        <v>4389497</v>
      </c>
      <c r="Y5" s="8" t="str">
        <f t="shared" ref="Y5:Y9" si="6">V5</f>
        <v>Gujrat</v>
      </c>
      <c r="Z5" s="15">
        <f t="shared" ref="Z5:Z9" si="7">W5</f>
        <v>4389497</v>
      </c>
      <c r="AA5" s="19">
        <f>Z5/Z10</f>
        <v>0.19079446399671882</v>
      </c>
    </row>
    <row r="6" spans="1:27">
      <c r="A6" s="3" t="s">
        <v>861</v>
      </c>
      <c r="B6" s="5">
        <v>23006417</v>
      </c>
      <c r="C6" s="3" t="s">
        <v>80</v>
      </c>
      <c r="D6" s="5">
        <v>2439516</v>
      </c>
      <c r="E6" s="3" t="s">
        <v>42</v>
      </c>
      <c r="F6" s="5">
        <v>1790583</v>
      </c>
      <c r="G6" s="3" t="s">
        <v>29</v>
      </c>
      <c r="H6" s="5">
        <v>6132531</v>
      </c>
      <c r="I6" s="3" t="s">
        <v>113</v>
      </c>
      <c r="J6" s="5">
        <v>2432276</v>
      </c>
      <c r="K6" s="12" t="s">
        <v>22</v>
      </c>
      <c r="L6" s="12" t="s">
        <v>24</v>
      </c>
      <c r="M6" s="12" t="s">
        <v>25</v>
      </c>
      <c r="N6" s="12" t="s">
        <v>26</v>
      </c>
      <c r="O6" s="5">
        <v>32636</v>
      </c>
      <c r="Q6" s="7" t="str">
        <f t="shared" si="1"/>
        <v>ORD10003</v>
      </c>
      <c r="R6" s="7" t="str">
        <f t="shared" si="2"/>
        <v>Neha</v>
      </c>
      <c r="S6" s="7" t="str">
        <f t="shared" si="3"/>
        <v>iPhone 15</v>
      </c>
      <c r="T6" s="7" t="str">
        <f t="shared" si="4"/>
        <v>Electronics</v>
      </c>
      <c r="U6" s="14">
        <f t="shared" si="5"/>
        <v>313782</v>
      </c>
      <c r="V6" s="3" t="s">
        <v>18</v>
      </c>
      <c r="W6" s="5">
        <v>5312858</v>
      </c>
      <c r="Y6" s="8" t="str">
        <f t="shared" si="6"/>
        <v>Karnataka</v>
      </c>
      <c r="Z6" s="15">
        <f t="shared" si="7"/>
        <v>5312858</v>
      </c>
      <c r="AA6" s="19">
        <f>Z6/Z10</f>
        <v>0.23092939678525343</v>
      </c>
    </row>
    <row r="7" spans="1:27">
      <c r="A7" s="3" t="s">
        <v>872</v>
      </c>
      <c r="B7" s="6">
        <v>4.5599999999999996</v>
      </c>
      <c r="C7" s="3" t="s">
        <v>37</v>
      </c>
      <c r="D7" s="5">
        <v>1723736</v>
      </c>
      <c r="E7" s="3" t="s">
        <v>26</v>
      </c>
      <c r="F7" s="5">
        <v>2691079</v>
      </c>
      <c r="G7" s="3" t="s">
        <v>64</v>
      </c>
      <c r="H7" s="5">
        <v>6313492</v>
      </c>
      <c r="I7" s="3" t="s">
        <v>130</v>
      </c>
      <c r="J7" s="5">
        <v>3842259</v>
      </c>
      <c r="K7" s="12" t="s">
        <v>31</v>
      </c>
      <c r="L7" s="12" t="s">
        <v>33</v>
      </c>
      <c r="M7" s="12" t="s">
        <v>34</v>
      </c>
      <c r="N7" s="12" t="s">
        <v>35</v>
      </c>
      <c r="O7" s="5">
        <v>313782</v>
      </c>
      <c r="Q7" s="7" t="str">
        <f t="shared" si="1"/>
        <v>ORD10004</v>
      </c>
      <c r="R7" s="7" t="str">
        <f t="shared" si="2"/>
        <v>Rahul</v>
      </c>
      <c r="S7" s="7" t="str">
        <f t="shared" si="3"/>
        <v>Shoes</v>
      </c>
      <c r="T7" s="7" t="str">
        <f t="shared" si="4"/>
        <v>Fashion</v>
      </c>
      <c r="U7" s="14">
        <f t="shared" si="5"/>
        <v>11375</v>
      </c>
      <c r="V7" s="3" t="s">
        <v>60</v>
      </c>
      <c r="W7" s="5">
        <v>3463152</v>
      </c>
      <c r="Y7" s="8" t="str">
        <f t="shared" si="6"/>
        <v>Maharashtra</v>
      </c>
      <c r="Z7" s="15">
        <f t="shared" si="7"/>
        <v>3463152</v>
      </c>
      <c r="AA7" s="19">
        <f>Z7/Z10</f>
        <v>0.15052982826487063</v>
      </c>
    </row>
    <row r="8" spans="1:27">
      <c r="A8" s="3" t="s">
        <v>862</v>
      </c>
      <c r="B8" s="1">
        <v>2146</v>
      </c>
      <c r="C8" s="3" t="s">
        <v>21</v>
      </c>
      <c r="D8" s="5">
        <v>2226405</v>
      </c>
      <c r="E8" s="3" t="s">
        <v>35</v>
      </c>
      <c r="F8" s="5">
        <v>17463533</v>
      </c>
      <c r="G8" s="3" t="s">
        <v>866</v>
      </c>
      <c r="H8" s="5">
        <v>23006417</v>
      </c>
      <c r="I8" s="3" t="s">
        <v>165</v>
      </c>
      <c r="J8" s="5">
        <v>3437668</v>
      </c>
      <c r="K8" s="12" t="s">
        <v>38</v>
      </c>
      <c r="L8" s="12" t="s">
        <v>40</v>
      </c>
      <c r="M8" s="12" t="s">
        <v>41</v>
      </c>
      <c r="N8" s="12" t="s">
        <v>42</v>
      </c>
      <c r="O8" s="5">
        <v>11375</v>
      </c>
      <c r="Q8" s="7" t="str">
        <f t="shared" si="1"/>
        <v>ORD10005</v>
      </c>
      <c r="R8" s="7" t="str">
        <f t="shared" si="2"/>
        <v>Akash</v>
      </c>
      <c r="S8" s="7" t="str">
        <f t="shared" si="3"/>
        <v>Jeans</v>
      </c>
      <c r="T8" s="7" t="str">
        <f t="shared" si="4"/>
        <v>Fashion</v>
      </c>
      <c r="U8" s="14">
        <f t="shared" si="5"/>
        <v>14496</v>
      </c>
      <c r="V8" s="3" t="s">
        <v>100</v>
      </c>
      <c r="W8" s="5">
        <v>3050638</v>
      </c>
      <c r="Y8" s="8" t="str">
        <f t="shared" si="6"/>
        <v>Tamil Nadu</v>
      </c>
      <c r="Z8" s="15">
        <f t="shared" si="7"/>
        <v>3050638</v>
      </c>
      <c r="AA8" s="19">
        <f>Z8/Z10</f>
        <v>0.13259943953897732</v>
      </c>
    </row>
    <row r="9" spans="1:27">
      <c r="C9" s="3" t="s">
        <v>126</v>
      </c>
      <c r="D9" s="5">
        <v>1483670</v>
      </c>
      <c r="E9" s="3" t="s">
        <v>866</v>
      </c>
      <c r="F9" s="5">
        <v>23006417</v>
      </c>
      <c r="I9" s="3" t="s">
        <v>866</v>
      </c>
      <c r="J9" s="5">
        <v>17463533</v>
      </c>
      <c r="K9" s="12" t="s">
        <v>43</v>
      </c>
      <c r="L9" s="12" t="s">
        <v>45</v>
      </c>
      <c r="M9" s="12" t="s">
        <v>46</v>
      </c>
      <c r="N9" s="12" t="s">
        <v>42</v>
      </c>
      <c r="O9" s="5">
        <v>14496</v>
      </c>
      <c r="Q9" s="7" t="str">
        <f t="shared" si="1"/>
        <v>ORD10006</v>
      </c>
      <c r="R9" s="7" t="str">
        <f t="shared" si="2"/>
        <v>Anjali</v>
      </c>
      <c r="S9" s="7" t="str">
        <f t="shared" si="3"/>
        <v>Business Book</v>
      </c>
      <c r="T9" s="7" t="str">
        <f t="shared" si="4"/>
        <v>Books</v>
      </c>
      <c r="U9" s="14">
        <f t="shared" si="5"/>
        <v>5745</v>
      </c>
      <c r="V9" s="3" t="s">
        <v>53</v>
      </c>
      <c r="W9" s="5">
        <v>3436390</v>
      </c>
      <c r="Y9" s="8" t="str">
        <f t="shared" si="6"/>
        <v>Telangana</v>
      </c>
      <c r="Z9" s="15">
        <f t="shared" si="7"/>
        <v>3436390</v>
      </c>
      <c r="AA9" s="19">
        <f>Z9/Z10</f>
        <v>0.14936658759162716</v>
      </c>
    </row>
    <row r="10" spans="1:27">
      <c r="C10" s="3" t="s">
        <v>55</v>
      </c>
      <c r="D10" s="5">
        <v>2566476</v>
      </c>
      <c r="K10" s="12" t="s">
        <v>48</v>
      </c>
      <c r="L10" s="12" t="s">
        <v>50</v>
      </c>
      <c r="M10" s="12" t="s">
        <v>51</v>
      </c>
      <c r="N10" s="12" t="s">
        <v>52</v>
      </c>
      <c r="O10" s="5">
        <v>5745</v>
      </c>
      <c r="Q10" s="7" t="str">
        <f t="shared" si="1"/>
        <v>ORD10007</v>
      </c>
      <c r="R10" s="7" t="str">
        <f t="shared" si="2"/>
        <v>Divya</v>
      </c>
      <c r="S10" s="7" t="str">
        <f t="shared" si="3"/>
        <v>Bedsheet</v>
      </c>
      <c r="T10" s="7" t="str">
        <f t="shared" si="4"/>
        <v>Home</v>
      </c>
      <c r="U10" s="14">
        <f t="shared" si="5"/>
        <v>24696</v>
      </c>
      <c r="V10" s="3" t="s">
        <v>866</v>
      </c>
      <c r="W10" s="5">
        <v>23006417</v>
      </c>
      <c r="Y10" s="16" t="s">
        <v>871</v>
      </c>
      <c r="Z10" s="17">
        <f>SUM(Z4:Z9)</f>
        <v>23006417</v>
      </c>
      <c r="AA10" s="18">
        <f>Z10/Z10</f>
        <v>1</v>
      </c>
    </row>
    <row r="11" spans="1:27">
      <c r="A11" s="5">
        <f>GETPIVOTDATA("Sum of Sales",$A$3)</f>
        <v>23006417</v>
      </c>
      <c r="C11" s="3" t="s">
        <v>47</v>
      </c>
      <c r="D11" s="5">
        <v>1323566</v>
      </c>
      <c r="K11" s="12" t="s">
        <v>56</v>
      </c>
      <c r="L11" s="12" t="s">
        <v>58</v>
      </c>
      <c r="M11" s="12" t="s">
        <v>59</v>
      </c>
      <c r="N11" s="12" t="s">
        <v>26</v>
      </c>
      <c r="O11" s="5">
        <v>24696</v>
      </c>
      <c r="Q11" s="10" t="s">
        <v>871</v>
      </c>
      <c r="R11" s="10"/>
      <c r="S11" s="10"/>
      <c r="T11" s="10"/>
      <c r="U11" s="11">
        <f>SUM(U4:U10)</f>
        <v>405758</v>
      </c>
    </row>
    <row r="12" spans="1:27">
      <c r="A12">
        <f>GETPIVOTDATA("Count of Order_ID",$A$3)</f>
        <v>500</v>
      </c>
      <c r="C12" s="3" t="s">
        <v>65</v>
      </c>
      <c r="D12" s="5">
        <v>1648464</v>
      </c>
      <c r="K12" s="12" t="s">
        <v>61</v>
      </c>
      <c r="L12" s="12" t="s">
        <v>45</v>
      </c>
      <c r="M12" s="12" t="s">
        <v>63</v>
      </c>
      <c r="N12" s="12" t="s">
        <v>52</v>
      </c>
      <c r="O12" s="5">
        <v>3536</v>
      </c>
    </row>
    <row r="13" spans="1:27">
      <c r="A13" s="6">
        <f>GETPIVOTDATA("Average of Quantity",$A$3)</f>
        <v>4.5599999999999996</v>
      </c>
      <c r="C13" s="3" t="s">
        <v>30</v>
      </c>
      <c r="D13" s="5">
        <v>1876219</v>
      </c>
      <c r="K13" s="12" t="s">
        <v>66</v>
      </c>
      <c r="L13" s="12" t="s">
        <v>68</v>
      </c>
      <c r="M13" s="12" t="s">
        <v>69</v>
      </c>
      <c r="N13" s="12" t="s">
        <v>26</v>
      </c>
      <c r="O13" s="5">
        <v>25855</v>
      </c>
    </row>
    <row r="14" spans="1:27">
      <c r="A14" s="4">
        <f>GETPIVOTDATA("Average of Rating",$A$3)</f>
        <v>4.1180000000000021</v>
      </c>
      <c r="C14" s="3" t="s">
        <v>192</v>
      </c>
      <c r="D14" s="5">
        <v>948995</v>
      </c>
      <c r="K14" s="12" t="s">
        <v>70</v>
      </c>
      <c r="L14" s="12" t="s">
        <v>72</v>
      </c>
      <c r="M14" s="12" t="s">
        <v>41</v>
      </c>
      <c r="N14" s="12" t="s">
        <v>42</v>
      </c>
      <c r="O14" s="5">
        <v>9432</v>
      </c>
    </row>
    <row r="15" spans="1:27">
      <c r="A15">
        <f>GETPIVOTDATA("Sum of Delivery",$A$3)</f>
        <v>2146</v>
      </c>
      <c r="C15" s="3" t="s">
        <v>119</v>
      </c>
      <c r="D15" s="5">
        <v>3297187</v>
      </c>
      <c r="K15" s="12" t="s">
        <v>73</v>
      </c>
      <c r="L15" s="12" t="s">
        <v>75</v>
      </c>
      <c r="M15" s="12" t="s">
        <v>59</v>
      </c>
      <c r="N15" s="12" t="s">
        <v>26</v>
      </c>
      <c r="O15" s="5">
        <v>1749</v>
      </c>
    </row>
    <row r="16" spans="1:27">
      <c r="C16" s="3" t="s">
        <v>866</v>
      </c>
      <c r="D16" s="5">
        <v>23006417</v>
      </c>
      <c r="K16" s="12" t="s">
        <v>76</v>
      </c>
      <c r="L16" s="12" t="s">
        <v>78</v>
      </c>
      <c r="M16" s="12" t="s">
        <v>79</v>
      </c>
      <c r="N16" s="12" t="s">
        <v>26</v>
      </c>
      <c r="O16" s="5">
        <v>85904</v>
      </c>
    </row>
    <row r="17" spans="11:15">
      <c r="K17" s="12" t="s">
        <v>81</v>
      </c>
      <c r="L17" s="12" t="s">
        <v>58</v>
      </c>
      <c r="M17" s="12" t="s">
        <v>46</v>
      </c>
      <c r="N17" s="12" t="s">
        <v>42</v>
      </c>
      <c r="O17" s="5">
        <v>9792</v>
      </c>
    </row>
    <row r="18" spans="11:15">
      <c r="K18" s="12" t="s">
        <v>84</v>
      </c>
      <c r="L18" s="12" t="s">
        <v>78</v>
      </c>
      <c r="M18" s="12" t="s">
        <v>86</v>
      </c>
      <c r="N18" s="12" t="s">
        <v>17</v>
      </c>
      <c r="O18" s="5">
        <v>976</v>
      </c>
    </row>
    <row r="19" spans="11:15">
      <c r="K19" s="12" t="s">
        <v>88</v>
      </c>
      <c r="L19" s="12" t="s">
        <v>68</v>
      </c>
      <c r="M19" s="12" t="s">
        <v>90</v>
      </c>
      <c r="N19" s="12" t="s">
        <v>42</v>
      </c>
      <c r="O19" s="5">
        <v>8338</v>
      </c>
    </row>
    <row r="20" spans="11:15">
      <c r="K20" s="12" t="s">
        <v>91</v>
      </c>
      <c r="L20" s="12" t="s">
        <v>75</v>
      </c>
      <c r="M20" s="12" t="s">
        <v>86</v>
      </c>
      <c r="N20" s="12" t="s">
        <v>17</v>
      </c>
      <c r="O20" s="5">
        <v>5592</v>
      </c>
    </row>
    <row r="21" spans="11:15">
      <c r="K21" s="12" t="s">
        <v>93</v>
      </c>
      <c r="L21" s="12" t="s">
        <v>24</v>
      </c>
      <c r="M21" s="12" t="s">
        <v>25</v>
      </c>
      <c r="N21" s="12" t="s">
        <v>26</v>
      </c>
      <c r="O21" s="5">
        <v>17208</v>
      </c>
    </row>
    <row r="22" spans="11:15">
      <c r="K22" s="12" t="s">
        <v>95</v>
      </c>
      <c r="L22" s="12" t="s">
        <v>58</v>
      </c>
      <c r="M22" s="12" t="s">
        <v>97</v>
      </c>
      <c r="N22" s="12" t="s">
        <v>35</v>
      </c>
      <c r="O22" s="5">
        <v>159523</v>
      </c>
    </row>
    <row r="23" spans="11:15">
      <c r="K23" s="12" t="s">
        <v>98</v>
      </c>
      <c r="L23" s="12" t="s">
        <v>75</v>
      </c>
      <c r="M23" s="12" t="s">
        <v>16</v>
      </c>
      <c r="N23" s="12" t="s">
        <v>17</v>
      </c>
      <c r="O23" s="5">
        <v>10632</v>
      </c>
    </row>
    <row r="24" spans="11:15">
      <c r="K24" s="12" t="s">
        <v>101</v>
      </c>
      <c r="L24" s="12" t="s">
        <v>103</v>
      </c>
      <c r="M24" s="12" t="s">
        <v>41</v>
      </c>
      <c r="N24" s="12" t="s">
        <v>42</v>
      </c>
      <c r="O24" s="5">
        <v>5484</v>
      </c>
    </row>
    <row r="25" spans="11:15">
      <c r="K25" s="12" t="s">
        <v>105</v>
      </c>
      <c r="L25" s="12" t="s">
        <v>75</v>
      </c>
      <c r="M25" s="12" t="s">
        <v>97</v>
      </c>
      <c r="N25" s="12" t="s">
        <v>35</v>
      </c>
      <c r="O25" s="5">
        <v>60040</v>
      </c>
    </row>
    <row r="26" spans="11:15">
      <c r="K26" s="12" t="s">
        <v>107</v>
      </c>
      <c r="L26" s="12" t="s">
        <v>78</v>
      </c>
      <c r="M26" s="12" t="s">
        <v>109</v>
      </c>
      <c r="N26" s="12" t="s">
        <v>52</v>
      </c>
      <c r="O26" s="5">
        <v>5668</v>
      </c>
    </row>
    <row r="27" spans="11:15">
      <c r="K27" s="12" t="s">
        <v>110</v>
      </c>
      <c r="L27" s="12" t="s">
        <v>112</v>
      </c>
      <c r="M27" s="12" t="s">
        <v>113</v>
      </c>
      <c r="N27" s="12" t="s">
        <v>35</v>
      </c>
      <c r="O27" s="5">
        <v>245328</v>
      </c>
    </row>
    <row r="28" spans="11:15">
      <c r="K28" s="12" t="s">
        <v>114</v>
      </c>
      <c r="L28" s="12" t="s">
        <v>78</v>
      </c>
      <c r="M28" s="12" t="s">
        <v>116</v>
      </c>
      <c r="N28" s="12" t="s">
        <v>17</v>
      </c>
      <c r="O28" s="5">
        <v>307</v>
      </c>
    </row>
    <row r="29" spans="11:15">
      <c r="K29" s="12" t="s">
        <v>117</v>
      </c>
      <c r="L29" s="12" t="s">
        <v>33</v>
      </c>
      <c r="M29" s="12" t="s">
        <v>16</v>
      </c>
      <c r="N29" s="12" t="s">
        <v>17</v>
      </c>
      <c r="O29" s="5">
        <v>4251</v>
      </c>
    </row>
    <row r="30" spans="11:15">
      <c r="K30" s="12" t="s">
        <v>120</v>
      </c>
      <c r="L30" s="12" t="s">
        <v>122</v>
      </c>
      <c r="M30" s="12" t="s">
        <v>34</v>
      </c>
      <c r="N30" s="12" t="s">
        <v>35</v>
      </c>
      <c r="O30" s="5">
        <v>195428</v>
      </c>
    </row>
    <row r="31" spans="11:15">
      <c r="K31" s="12" t="s">
        <v>123</v>
      </c>
      <c r="L31" s="12" t="s">
        <v>125</v>
      </c>
      <c r="M31" s="12" t="s">
        <v>86</v>
      </c>
      <c r="N31" s="12" t="s">
        <v>17</v>
      </c>
      <c r="O31" s="5">
        <v>11697</v>
      </c>
    </row>
    <row r="32" spans="11:15">
      <c r="K32" s="12" t="s">
        <v>127</v>
      </c>
      <c r="L32" s="12" t="s">
        <v>129</v>
      </c>
      <c r="M32" s="12" t="s">
        <v>130</v>
      </c>
      <c r="N32" s="12" t="s">
        <v>35</v>
      </c>
      <c r="O32" s="5">
        <v>218908</v>
      </c>
    </row>
    <row r="33" spans="11:15">
      <c r="K33" s="12" t="s">
        <v>131</v>
      </c>
      <c r="L33" s="12" t="s">
        <v>133</v>
      </c>
      <c r="M33" s="12" t="s">
        <v>16</v>
      </c>
      <c r="N33" s="12" t="s">
        <v>17</v>
      </c>
      <c r="O33" s="5">
        <v>4467</v>
      </c>
    </row>
    <row r="34" spans="11:15">
      <c r="K34" s="12" t="s">
        <v>134</v>
      </c>
      <c r="L34" s="12" t="s">
        <v>129</v>
      </c>
      <c r="M34" s="12" t="s">
        <v>79</v>
      </c>
      <c r="N34" s="12" t="s">
        <v>26</v>
      </c>
      <c r="O34" s="5">
        <v>9621</v>
      </c>
    </row>
    <row r="35" spans="11:15">
      <c r="K35" s="12" t="s">
        <v>136</v>
      </c>
      <c r="L35" s="12" t="s">
        <v>40</v>
      </c>
      <c r="M35" s="12" t="s">
        <v>59</v>
      </c>
      <c r="N35" s="12" t="s">
        <v>26</v>
      </c>
      <c r="O35" s="5">
        <v>23452</v>
      </c>
    </row>
    <row r="36" spans="11:15">
      <c r="K36" s="12" t="s">
        <v>138</v>
      </c>
      <c r="L36" s="12" t="s">
        <v>133</v>
      </c>
      <c r="M36" s="12" t="s">
        <v>90</v>
      </c>
      <c r="N36" s="12" t="s">
        <v>42</v>
      </c>
      <c r="O36" s="5">
        <v>15564</v>
      </c>
    </row>
    <row r="37" spans="11:15">
      <c r="K37" s="12" t="s">
        <v>140</v>
      </c>
      <c r="L37" s="12" t="s">
        <v>75</v>
      </c>
      <c r="M37" s="12" t="s">
        <v>90</v>
      </c>
      <c r="N37" s="12" t="s">
        <v>42</v>
      </c>
      <c r="O37" s="5">
        <v>5576</v>
      </c>
    </row>
    <row r="38" spans="11:15">
      <c r="K38" s="12" t="s">
        <v>142</v>
      </c>
      <c r="L38" s="12" t="s">
        <v>50</v>
      </c>
      <c r="M38" s="12" t="s">
        <v>63</v>
      </c>
      <c r="N38" s="12" t="s">
        <v>52</v>
      </c>
      <c r="O38" s="5">
        <v>2196</v>
      </c>
    </row>
    <row r="39" spans="11:15">
      <c r="K39" s="12" t="s">
        <v>145</v>
      </c>
      <c r="L39" s="12" t="s">
        <v>146</v>
      </c>
      <c r="M39" s="12" t="s">
        <v>147</v>
      </c>
      <c r="N39" s="12" t="s">
        <v>52</v>
      </c>
      <c r="O39" s="5">
        <v>6790</v>
      </c>
    </row>
    <row r="40" spans="11:15">
      <c r="K40" s="12" t="s">
        <v>148</v>
      </c>
      <c r="L40" s="12" t="s">
        <v>112</v>
      </c>
      <c r="M40" s="12" t="s">
        <v>90</v>
      </c>
      <c r="N40" s="12" t="s">
        <v>42</v>
      </c>
      <c r="O40" s="5">
        <v>22584</v>
      </c>
    </row>
    <row r="41" spans="11:15">
      <c r="K41" s="12" t="s">
        <v>150</v>
      </c>
      <c r="L41" s="12" t="s">
        <v>50</v>
      </c>
      <c r="M41" s="12" t="s">
        <v>41</v>
      </c>
      <c r="N41" s="12" t="s">
        <v>42</v>
      </c>
      <c r="O41" s="5">
        <v>20496</v>
      </c>
    </row>
    <row r="42" spans="11:15">
      <c r="K42" s="12" t="s">
        <v>151</v>
      </c>
      <c r="L42" s="12" t="s">
        <v>58</v>
      </c>
      <c r="M42" s="12" t="s">
        <v>116</v>
      </c>
      <c r="N42" s="12" t="s">
        <v>17</v>
      </c>
      <c r="O42" s="5">
        <v>8466</v>
      </c>
    </row>
    <row r="43" spans="11:15">
      <c r="K43" s="12" t="s">
        <v>153</v>
      </c>
      <c r="L43" s="12" t="s">
        <v>122</v>
      </c>
      <c r="M43" s="12" t="s">
        <v>41</v>
      </c>
      <c r="N43" s="12" t="s">
        <v>42</v>
      </c>
      <c r="O43" s="5">
        <v>25865</v>
      </c>
    </row>
    <row r="44" spans="11:15">
      <c r="K44" s="12" t="s">
        <v>155</v>
      </c>
      <c r="L44" s="12" t="s">
        <v>58</v>
      </c>
      <c r="M44" s="12" t="s">
        <v>116</v>
      </c>
      <c r="N44" s="12" t="s">
        <v>17</v>
      </c>
      <c r="O44" s="5">
        <v>12481</v>
      </c>
    </row>
    <row r="45" spans="11:15">
      <c r="K45" s="12" t="s">
        <v>157</v>
      </c>
      <c r="L45" s="12" t="s">
        <v>50</v>
      </c>
      <c r="M45" s="12" t="s">
        <v>159</v>
      </c>
      <c r="N45" s="12" t="s">
        <v>42</v>
      </c>
      <c r="O45" s="5">
        <v>10143</v>
      </c>
    </row>
    <row r="46" spans="11:15">
      <c r="K46" s="12" t="s">
        <v>160</v>
      </c>
      <c r="L46" s="12" t="s">
        <v>15</v>
      </c>
      <c r="M46" s="12" t="s">
        <v>116</v>
      </c>
      <c r="N46" s="12" t="s">
        <v>17</v>
      </c>
      <c r="O46" s="5">
        <v>1016</v>
      </c>
    </row>
    <row r="47" spans="11:15">
      <c r="K47" s="12" t="s">
        <v>162</v>
      </c>
      <c r="L47" s="12" t="s">
        <v>24</v>
      </c>
      <c r="M47" s="12" t="s">
        <v>51</v>
      </c>
      <c r="N47" s="12" t="s">
        <v>52</v>
      </c>
      <c r="O47" s="5">
        <v>2284</v>
      </c>
    </row>
    <row r="48" spans="11:15">
      <c r="K48" s="12" t="s">
        <v>164</v>
      </c>
      <c r="L48" s="12" t="s">
        <v>45</v>
      </c>
      <c r="M48" s="12" t="s">
        <v>165</v>
      </c>
      <c r="N48" s="12" t="s">
        <v>35</v>
      </c>
      <c r="O48" s="5">
        <v>87227</v>
      </c>
    </row>
    <row r="49" spans="11:15">
      <c r="K49" s="12" t="s">
        <v>166</v>
      </c>
      <c r="L49" s="12" t="s">
        <v>133</v>
      </c>
      <c r="M49" s="12" t="s">
        <v>69</v>
      </c>
      <c r="N49" s="12" t="s">
        <v>26</v>
      </c>
      <c r="O49" s="5">
        <v>46092</v>
      </c>
    </row>
    <row r="50" spans="11:15">
      <c r="K50" s="12" t="s">
        <v>168</v>
      </c>
      <c r="L50" s="12" t="s">
        <v>170</v>
      </c>
      <c r="M50" s="12" t="s">
        <v>159</v>
      </c>
      <c r="N50" s="12" t="s">
        <v>42</v>
      </c>
      <c r="O50" s="5">
        <v>22540</v>
      </c>
    </row>
    <row r="51" spans="11:15">
      <c r="K51" s="12" t="s">
        <v>171</v>
      </c>
      <c r="L51" s="12" t="s">
        <v>103</v>
      </c>
      <c r="M51" s="12" t="s">
        <v>159</v>
      </c>
      <c r="N51" s="12" t="s">
        <v>42</v>
      </c>
      <c r="O51" s="5">
        <v>23534</v>
      </c>
    </row>
    <row r="52" spans="11:15">
      <c r="K52" s="12" t="s">
        <v>173</v>
      </c>
      <c r="L52" s="12" t="s">
        <v>125</v>
      </c>
      <c r="M52" s="12" t="s">
        <v>25</v>
      </c>
      <c r="N52" s="12" t="s">
        <v>26</v>
      </c>
      <c r="O52" s="5">
        <v>39584</v>
      </c>
    </row>
    <row r="53" spans="11:15">
      <c r="K53" s="12" t="s">
        <v>175</v>
      </c>
      <c r="L53" s="12" t="s">
        <v>129</v>
      </c>
      <c r="M53" s="12" t="s">
        <v>34</v>
      </c>
      <c r="N53" s="12" t="s">
        <v>35</v>
      </c>
      <c r="O53" s="5">
        <v>258124</v>
      </c>
    </row>
    <row r="54" spans="11:15">
      <c r="K54" s="12" t="s">
        <v>177</v>
      </c>
      <c r="L54" s="12" t="s">
        <v>179</v>
      </c>
      <c r="M54" s="12" t="s">
        <v>130</v>
      </c>
      <c r="N54" s="12" t="s">
        <v>35</v>
      </c>
      <c r="O54" s="5">
        <v>87718</v>
      </c>
    </row>
    <row r="55" spans="11:15">
      <c r="K55" s="12" t="s">
        <v>180</v>
      </c>
      <c r="L55" s="12" t="s">
        <v>103</v>
      </c>
      <c r="M55" s="12" t="s">
        <v>59</v>
      </c>
      <c r="N55" s="12" t="s">
        <v>26</v>
      </c>
      <c r="O55" s="5">
        <v>23008</v>
      </c>
    </row>
    <row r="56" spans="11:15">
      <c r="K56" s="12" t="s">
        <v>182</v>
      </c>
      <c r="L56" s="12" t="s">
        <v>103</v>
      </c>
      <c r="M56" s="12" t="s">
        <v>51</v>
      </c>
      <c r="N56" s="12" t="s">
        <v>52</v>
      </c>
      <c r="O56" s="5">
        <v>1414</v>
      </c>
    </row>
    <row r="57" spans="11:15">
      <c r="K57" s="12" t="s">
        <v>184</v>
      </c>
      <c r="L57" s="12" t="s">
        <v>78</v>
      </c>
      <c r="M57" s="12" t="s">
        <v>90</v>
      </c>
      <c r="N57" s="12" t="s">
        <v>42</v>
      </c>
      <c r="O57" s="5">
        <v>3189</v>
      </c>
    </row>
    <row r="58" spans="11:15">
      <c r="K58" s="12" t="s">
        <v>186</v>
      </c>
      <c r="L58" s="12" t="s">
        <v>75</v>
      </c>
      <c r="M58" s="12" t="s">
        <v>90</v>
      </c>
      <c r="N58" s="12" t="s">
        <v>42</v>
      </c>
      <c r="O58" s="5">
        <v>10584</v>
      </c>
    </row>
    <row r="59" spans="11:15">
      <c r="K59" s="12" t="s">
        <v>188</v>
      </c>
      <c r="L59" s="12" t="s">
        <v>40</v>
      </c>
      <c r="M59" s="12" t="s">
        <v>25</v>
      </c>
      <c r="N59" s="12" t="s">
        <v>26</v>
      </c>
      <c r="O59" s="5">
        <v>5571</v>
      </c>
    </row>
    <row r="60" spans="11:15">
      <c r="K60" s="12" t="s">
        <v>190</v>
      </c>
      <c r="L60" s="12" t="s">
        <v>72</v>
      </c>
      <c r="M60" s="12" t="s">
        <v>109</v>
      </c>
      <c r="N60" s="12" t="s">
        <v>52</v>
      </c>
      <c r="O60" s="5">
        <v>2880</v>
      </c>
    </row>
    <row r="61" spans="11:15">
      <c r="K61" s="12" t="s">
        <v>193</v>
      </c>
      <c r="L61" s="12" t="s">
        <v>146</v>
      </c>
      <c r="M61" s="12" t="s">
        <v>165</v>
      </c>
      <c r="N61" s="12" t="s">
        <v>35</v>
      </c>
      <c r="O61" s="5">
        <v>319665</v>
      </c>
    </row>
    <row r="62" spans="11:15">
      <c r="K62" s="12" t="s">
        <v>194</v>
      </c>
      <c r="L62" s="12" t="s">
        <v>58</v>
      </c>
      <c r="M62" s="12" t="s">
        <v>165</v>
      </c>
      <c r="N62" s="12" t="s">
        <v>35</v>
      </c>
      <c r="O62" s="5">
        <v>77892</v>
      </c>
    </row>
    <row r="63" spans="11:15">
      <c r="K63" s="12" t="s">
        <v>196</v>
      </c>
      <c r="L63" s="12" t="s">
        <v>170</v>
      </c>
      <c r="M63" s="12" t="s">
        <v>69</v>
      </c>
      <c r="N63" s="12" t="s">
        <v>26</v>
      </c>
      <c r="O63" s="5">
        <v>25500</v>
      </c>
    </row>
    <row r="64" spans="11:15">
      <c r="K64" s="12" t="s">
        <v>198</v>
      </c>
      <c r="L64" s="12" t="s">
        <v>170</v>
      </c>
      <c r="M64" s="12" t="s">
        <v>97</v>
      </c>
      <c r="N64" s="12" t="s">
        <v>35</v>
      </c>
      <c r="O64" s="5">
        <v>596816</v>
      </c>
    </row>
    <row r="65" spans="11:15">
      <c r="K65" s="12" t="s">
        <v>200</v>
      </c>
      <c r="L65" s="12" t="s">
        <v>179</v>
      </c>
      <c r="M65" s="12" t="s">
        <v>69</v>
      </c>
      <c r="N65" s="12" t="s">
        <v>26</v>
      </c>
      <c r="O65" s="5">
        <v>8967</v>
      </c>
    </row>
    <row r="66" spans="11:15">
      <c r="K66" s="12" t="s">
        <v>202</v>
      </c>
      <c r="L66" s="12" t="s">
        <v>75</v>
      </c>
      <c r="M66" s="12" t="s">
        <v>90</v>
      </c>
      <c r="N66" s="12" t="s">
        <v>42</v>
      </c>
      <c r="O66" s="5">
        <v>3245</v>
      </c>
    </row>
    <row r="67" spans="11:15">
      <c r="K67" s="12" t="s">
        <v>204</v>
      </c>
      <c r="L67" s="12" t="s">
        <v>50</v>
      </c>
      <c r="M67" s="12" t="s">
        <v>86</v>
      </c>
      <c r="N67" s="12" t="s">
        <v>17</v>
      </c>
      <c r="O67" s="5">
        <v>6710</v>
      </c>
    </row>
    <row r="68" spans="11:15">
      <c r="K68" s="12" t="s">
        <v>206</v>
      </c>
      <c r="L68" s="12" t="s">
        <v>72</v>
      </c>
      <c r="M68" s="12" t="s">
        <v>97</v>
      </c>
      <c r="N68" s="12" t="s">
        <v>35</v>
      </c>
      <c r="O68" s="5">
        <v>208160</v>
      </c>
    </row>
    <row r="69" spans="11:15">
      <c r="K69" s="12" t="s">
        <v>208</v>
      </c>
      <c r="L69" s="12" t="s">
        <v>33</v>
      </c>
      <c r="M69" s="12" t="s">
        <v>165</v>
      </c>
      <c r="N69" s="12" t="s">
        <v>35</v>
      </c>
      <c r="O69" s="5">
        <v>190589</v>
      </c>
    </row>
    <row r="70" spans="11:15">
      <c r="K70" s="12" t="s">
        <v>210</v>
      </c>
      <c r="L70" s="12" t="s">
        <v>68</v>
      </c>
      <c r="M70" s="12" t="s">
        <v>159</v>
      </c>
      <c r="N70" s="12" t="s">
        <v>42</v>
      </c>
      <c r="O70" s="5">
        <v>3419</v>
      </c>
    </row>
    <row r="71" spans="11:15">
      <c r="K71" s="12" t="s">
        <v>212</v>
      </c>
      <c r="L71" s="12" t="s">
        <v>170</v>
      </c>
      <c r="M71" s="12" t="s">
        <v>51</v>
      </c>
      <c r="N71" s="12" t="s">
        <v>52</v>
      </c>
      <c r="O71" s="5">
        <v>6519</v>
      </c>
    </row>
    <row r="72" spans="11:15">
      <c r="K72" s="12" t="s">
        <v>214</v>
      </c>
      <c r="L72" s="12" t="s">
        <v>146</v>
      </c>
      <c r="M72" s="12" t="s">
        <v>41</v>
      </c>
      <c r="N72" s="12" t="s">
        <v>42</v>
      </c>
      <c r="O72" s="5">
        <v>2880</v>
      </c>
    </row>
    <row r="73" spans="11:15">
      <c r="K73" s="12" t="s">
        <v>216</v>
      </c>
      <c r="L73" s="12" t="s">
        <v>24</v>
      </c>
      <c r="M73" s="12" t="s">
        <v>218</v>
      </c>
      <c r="N73" s="12" t="s">
        <v>17</v>
      </c>
      <c r="O73" s="5">
        <v>5170</v>
      </c>
    </row>
    <row r="74" spans="11:15">
      <c r="K74" s="12" t="s">
        <v>219</v>
      </c>
      <c r="L74" s="12" t="s">
        <v>40</v>
      </c>
      <c r="M74" s="12" t="s">
        <v>79</v>
      </c>
      <c r="N74" s="12" t="s">
        <v>26</v>
      </c>
      <c r="O74" s="5">
        <v>14949</v>
      </c>
    </row>
    <row r="75" spans="11:15">
      <c r="K75" s="12" t="s">
        <v>221</v>
      </c>
      <c r="L75" s="12" t="s">
        <v>125</v>
      </c>
      <c r="M75" s="12" t="s">
        <v>46</v>
      </c>
      <c r="N75" s="12" t="s">
        <v>42</v>
      </c>
      <c r="O75" s="5">
        <v>22210</v>
      </c>
    </row>
    <row r="76" spans="11:15">
      <c r="K76" s="12" t="s">
        <v>223</v>
      </c>
      <c r="L76" s="12" t="s">
        <v>45</v>
      </c>
      <c r="M76" s="12" t="s">
        <v>59</v>
      </c>
      <c r="N76" s="12" t="s">
        <v>26</v>
      </c>
      <c r="O76" s="5">
        <v>26485</v>
      </c>
    </row>
    <row r="77" spans="11:15">
      <c r="K77" s="12" t="s">
        <v>225</v>
      </c>
      <c r="L77" s="12" t="s">
        <v>40</v>
      </c>
      <c r="M77" s="12" t="s">
        <v>109</v>
      </c>
      <c r="N77" s="12" t="s">
        <v>52</v>
      </c>
      <c r="O77" s="5">
        <v>5104</v>
      </c>
    </row>
    <row r="78" spans="11:15">
      <c r="K78" s="12" t="s">
        <v>227</v>
      </c>
      <c r="L78" s="12" t="s">
        <v>112</v>
      </c>
      <c r="M78" s="12" t="s">
        <v>147</v>
      </c>
      <c r="N78" s="12" t="s">
        <v>52</v>
      </c>
      <c r="O78" s="5">
        <v>5814</v>
      </c>
    </row>
    <row r="79" spans="11:15">
      <c r="K79" s="12" t="s">
        <v>229</v>
      </c>
      <c r="L79" s="12" t="s">
        <v>78</v>
      </c>
      <c r="M79" s="12" t="s">
        <v>97</v>
      </c>
      <c r="N79" s="12" t="s">
        <v>35</v>
      </c>
      <c r="O79" s="5">
        <v>74214</v>
      </c>
    </row>
    <row r="80" spans="11:15">
      <c r="K80" s="12" t="s">
        <v>230</v>
      </c>
      <c r="L80" s="12" t="s">
        <v>68</v>
      </c>
      <c r="M80" s="12" t="s">
        <v>218</v>
      </c>
      <c r="N80" s="12" t="s">
        <v>17</v>
      </c>
      <c r="O80" s="5">
        <v>2462</v>
      </c>
    </row>
    <row r="81" spans="11:15">
      <c r="K81" s="12" t="s">
        <v>232</v>
      </c>
      <c r="L81" s="12" t="s">
        <v>33</v>
      </c>
      <c r="M81" s="12" t="s">
        <v>218</v>
      </c>
      <c r="N81" s="12" t="s">
        <v>17</v>
      </c>
      <c r="O81" s="5">
        <v>6504</v>
      </c>
    </row>
    <row r="82" spans="11:15">
      <c r="K82" s="12" t="s">
        <v>234</v>
      </c>
      <c r="L82" s="12" t="s">
        <v>133</v>
      </c>
      <c r="M82" s="12" t="s">
        <v>16</v>
      </c>
      <c r="N82" s="12" t="s">
        <v>17</v>
      </c>
      <c r="O82" s="5">
        <v>3285</v>
      </c>
    </row>
    <row r="83" spans="11:15">
      <c r="K83" s="12" t="s">
        <v>236</v>
      </c>
      <c r="L83" s="12" t="s">
        <v>68</v>
      </c>
      <c r="M83" s="12" t="s">
        <v>69</v>
      </c>
      <c r="N83" s="12" t="s">
        <v>26</v>
      </c>
      <c r="O83" s="5">
        <v>8085</v>
      </c>
    </row>
    <row r="84" spans="11:15">
      <c r="K84" s="12" t="s">
        <v>238</v>
      </c>
      <c r="L84" s="12" t="s">
        <v>33</v>
      </c>
      <c r="M84" s="12" t="s">
        <v>116</v>
      </c>
      <c r="N84" s="12" t="s">
        <v>17</v>
      </c>
      <c r="O84" s="5">
        <v>2200</v>
      </c>
    </row>
    <row r="85" spans="11:15">
      <c r="K85" s="12" t="s">
        <v>239</v>
      </c>
      <c r="L85" s="12" t="s">
        <v>103</v>
      </c>
      <c r="M85" s="12" t="s">
        <v>79</v>
      </c>
      <c r="N85" s="12" t="s">
        <v>26</v>
      </c>
      <c r="O85" s="5">
        <v>12868</v>
      </c>
    </row>
    <row r="86" spans="11:15">
      <c r="K86" s="12" t="s">
        <v>240</v>
      </c>
      <c r="L86" s="12" t="s">
        <v>103</v>
      </c>
      <c r="M86" s="12" t="s">
        <v>147</v>
      </c>
      <c r="N86" s="12" t="s">
        <v>52</v>
      </c>
      <c r="O86" s="5">
        <v>310</v>
      </c>
    </row>
    <row r="87" spans="11:15">
      <c r="K87" s="12" t="s">
        <v>241</v>
      </c>
      <c r="L87" s="12" t="s">
        <v>45</v>
      </c>
      <c r="M87" s="12" t="s">
        <v>25</v>
      </c>
      <c r="N87" s="12" t="s">
        <v>26</v>
      </c>
      <c r="O87" s="5">
        <v>20688</v>
      </c>
    </row>
    <row r="88" spans="11:15">
      <c r="K88" s="12" t="s">
        <v>243</v>
      </c>
      <c r="L88" s="12" t="s">
        <v>45</v>
      </c>
      <c r="M88" s="12" t="s">
        <v>16</v>
      </c>
      <c r="N88" s="12" t="s">
        <v>17</v>
      </c>
      <c r="O88" s="5">
        <v>8211</v>
      </c>
    </row>
    <row r="89" spans="11:15">
      <c r="K89" s="12" t="s">
        <v>245</v>
      </c>
      <c r="L89" s="12" t="s">
        <v>68</v>
      </c>
      <c r="M89" s="12" t="s">
        <v>165</v>
      </c>
      <c r="N89" s="12" t="s">
        <v>35</v>
      </c>
      <c r="O89" s="5">
        <v>246912</v>
      </c>
    </row>
    <row r="90" spans="11:15">
      <c r="K90" s="12" t="s">
        <v>247</v>
      </c>
      <c r="L90" s="12" t="s">
        <v>129</v>
      </c>
      <c r="M90" s="12" t="s">
        <v>159</v>
      </c>
      <c r="N90" s="12" t="s">
        <v>42</v>
      </c>
      <c r="O90" s="5">
        <v>8868</v>
      </c>
    </row>
    <row r="91" spans="11:15">
      <c r="K91" s="12" t="s">
        <v>248</v>
      </c>
      <c r="L91" s="12" t="s">
        <v>68</v>
      </c>
      <c r="M91" s="12" t="s">
        <v>16</v>
      </c>
      <c r="N91" s="12" t="s">
        <v>17</v>
      </c>
      <c r="O91" s="5">
        <v>3479</v>
      </c>
    </row>
    <row r="92" spans="11:15">
      <c r="K92" s="12" t="s">
        <v>249</v>
      </c>
      <c r="L92" s="12" t="s">
        <v>122</v>
      </c>
      <c r="M92" s="12" t="s">
        <v>218</v>
      </c>
      <c r="N92" s="12" t="s">
        <v>17</v>
      </c>
      <c r="O92" s="5">
        <v>5100</v>
      </c>
    </row>
    <row r="93" spans="11:15">
      <c r="K93" s="12" t="s">
        <v>251</v>
      </c>
      <c r="L93" s="12" t="s">
        <v>170</v>
      </c>
      <c r="M93" s="12" t="s">
        <v>218</v>
      </c>
      <c r="N93" s="12" t="s">
        <v>17</v>
      </c>
      <c r="O93" s="5">
        <v>4712</v>
      </c>
    </row>
    <row r="94" spans="11:15">
      <c r="K94" s="12" t="s">
        <v>253</v>
      </c>
      <c r="L94" s="12" t="s">
        <v>170</v>
      </c>
      <c r="M94" s="12" t="s">
        <v>51</v>
      </c>
      <c r="N94" s="12" t="s">
        <v>52</v>
      </c>
      <c r="O94" s="5">
        <v>1125</v>
      </c>
    </row>
    <row r="95" spans="11:15">
      <c r="K95" s="12" t="s">
        <v>254</v>
      </c>
      <c r="L95" s="12" t="s">
        <v>146</v>
      </c>
      <c r="M95" s="12" t="s">
        <v>165</v>
      </c>
      <c r="N95" s="12" t="s">
        <v>35</v>
      </c>
      <c r="O95" s="5">
        <v>46264</v>
      </c>
    </row>
    <row r="96" spans="11:15">
      <c r="K96" s="12" t="s">
        <v>256</v>
      </c>
      <c r="L96" s="12" t="s">
        <v>112</v>
      </c>
      <c r="M96" s="12" t="s">
        <v>69</v>
      </c>
      <c r="N96" s="12" t="s">
        <v>26</v>
      </c>
      <c r="O96" s="5">
        <v>39215</v>
      </c>
    </row>
    <row r="97" spans="11:15">
      <c r="K97" s="12" t="s">
        <v>258</v>
      </c>
      <c r="L97" s="12" t="s">
        <v>170</v>
      </c>
      <c r="M97" s="12" t="s">
        <v>51</v>
      </c>
      <c r="N97" s="12" t="s">
        <v>52</v>
      </c>
      <c r="O97" s="5">
        <v>1087</v>
      </c>
    </row>
    <row r="98" spans="11:15">
      <c r="K98" s="12" t="s">
        <v>260</v>
      </c>
      <c r="L98" s="12" t="s">
        <v>50</v>
      </c>
      <c r="M98" s="12" t="s">
        <v>159</v>
      </c>
      <c r="N98" s="12" t="s">
        <v>42</v>
      </c>
      <c r="O98" s="5">
        <v>36939</v>
      </c>
    </row>
    <row r="99" spans="11:15">
      <c r="K99" s="12" t="s">
        <v>262</v>
      </c>
      <c r="L99" s="12" t="s">
        <v>50</v>
      </c>
      <c r="M99" s="12" t="s">
        <v>116</v>
      </c>
      <c r="N99" s="12" t="s">
        <v>17</v>
      </c>
      <c r="O99" s="5">
        <v>8874</v>
      </c>
    </row>
    <row r="100" spans="11:15">
      <c r="K100" s="12" t="s">
        <v>264</v>
      </c>
      <c r="L100" s="12" t="s">
        <v>50</v>
      </c>
      <c r="M100" s="12" t="s">
        <v>69</v>
      </c>
      <c r="N100" s="12" t="s">
        <v>26</v>
      </c>
      <c r="O100" s="5">
        <v>47628</v>
      </c>
    </row>
    <row r="101" spans="11:15">
      <c r="K101" s="12" t="s">
        <v>265</v>
      </c>
      <c r="L101" s="12" t="s">
        <v>122</v>
      </c>
      <c r="M101" s="12" t="s">
        <v>34</v>
      </c>
      <c r="N101" s="12" t="s">
        <v>35</v>
      </c>
      <c r="O101" s="5">
        <v>55830</v>
      </c>
    </row>
    <row r="102" spans="11:15">
      <c r="K102" s="12" t="s">
        <v>266</v>
      </c>
      <c r="L102" s="12" t="s">
        <v>58</v>
      </c>
      <c r="M102" s="12" t="s">
        <v>63</v>
      </c>
      <c r="N102" s="12" t="s">
        <v>52</v>
      </c>
      <c r="O102" s="5">
        <v>1674</v>
      </c>
    </row>
    <row r="103" spans="11:15">
      <c r="K103" s="12" t="s">
        <v>268</v>
      </c>
      <c r="L103" s="12" t="s">
        <v>40</v>
      </c>
      <c r="M103" s="12" t="s">
        <v>51</v>
      </c>
      <c r="N103" s="12" t="s">
        <v>52</v>
      </c>
      <c r="O103" s="5">
        <v>11920</v>
      </c>
    </row>
    <row r="104" spans="11:15">
      <c r="K104" s="12" t="s">
        <v>269</v>
      </c>
      <c r="L104" s="12" t="s">
        <v>146</v>
      </c>
      <c r="M104" s="12" t="s">
        <v>218</v>
      </c>
      <c r="N104" s="12" t="s">
        <v>17</v>
      </c>
      <c r="O104" s="5">
        <v>3240</v>
      </c>
    </row>
    <row r="105" spans="11:15">
      <c r="K105" s="12" t="s">
        <v>270</v>
      </c>
      <c r="L105" s="12" t="s">
        <v>33</v>
      </c>
      <c r="M105" s="12" t="s">
        <v>69</v>
      </c>
      <c r="N105" s="12" t="s">
        <v>26</v>
      </c>
      <c r="O105" s="5">
        <v>6543</v>
      </c>
    </row>
    <row r="106" spans="11:15">
      <c r="K106" s="12" t="s">
        <v>272</v>
      </c>
      <c r="L106" s="12" t="s">
        <v>75</v>
      </c>
      <c r="M106" s="12" t="s">
        <v>79</v>
      </c>
      <c r="N106" s="12" t="s">
        <v>26</v>
      </c>
      <c r="O106" s="5">
        <v>71538</v>
      </c>
    </row>
    <row r="107" spans="11:15">
      <c r="K107" s="12" t="s">
        <v>274</v>
      </c>
      <c r="L107" s="12" t="s">
        <v>72</v>
      </c>
      <c r="M107" s="12" t="s">
        <v>130</v>
      </c>
      <c r="N107" s="12" t="s">
        <v>35</v>
      </c>
      <c r="O107" s="5">
        <v>236640</v>
      </c>
    </row>
    <row r="108" spans="11:15">
      <c r="K108" s="12" t="s">
        <v>276</v>
      </c>
      <c r="L108" s="12" t="s">
        <v>15</v>
      </c>
      <c r="M108" s="12" t="s">
        <v>69</v>
      </c>
      <c r="N108" s="12" t="s">
        <v>26</v>
      </c>
      <c r="O108" s="5">
        <v>70704</v>
      </c>
    </row>
    <row r="109" spans="11:15">
      <c r="K109" s="12" t="s">
        <v>278</v>
      </c>
      <c r="L109" s="12" t="s">
        <v>112</v>
      </c>
      <c r="M109" s="12" t="s">
        <v>109</v>
      </c>
      <c r="N109" s="12" t="s">
        <v>52</v>
      </c>
      <c r="O109" s="5">
        <v>3252</v>
      </c>
    </row>
    <row r="110" spans="11:15">
      <c r="K110" s="12" t="s">
        <v>280</v>
      </c>
      <c r="L110" s="12" t="s">
        <v>133</v>
      </c>
      <c r="M110" s="12" t="s">
        <v>79</v>
      </c>
      <c r="N110" s="12" t="s">
        <v>26</v>
      </c>
      <c r="O110" s="5">
        <v>24584</v>
      </c>
    </row>
    <row r="111" spans="11:15">
      <c r="K111" s="12" t="s">
        <v>281</v>
      </c>
      <c r="L111" s="12" t="s">
        <v>146</v>
      </c>
      <c r="M111" s="12" t="s">
        <v>59</v>
      </c>
      <c r="N111" s="12" t="s">
        <v>26</v>
      </c>
      <c r="O111" s="5">
        <v>15912</v>
      </c>
    </row>
    <row r="112" spans="11:15">
      <c r="K112" s="12" t="s">
        <v>283</v>
      </c>
      <c r="L112" s="12" t="s">
        <v>40</v>
      </c>
      <c r="M112" s="12" t="s">
        <v>63</v>
      </c>
      <c r="N112" s="12" t="s">
        <v>52</v>
      </c>
      <c r="O112" s="5">
        <v>1389</v>
      </c>
    </row>
    <row r="113" spans="11:15">
      <c r="K113" s="12" t="s">
        <v>285</v>
      </c>
      <c r="L113" s="12" t="s">
        <v>122</v>
      </c>
      <c r="M113" s="12" t="s">
        <v>159</v>
      </c>
      <c r="N113" s="12" t="s">
        <v>42</v>
      </c>
      <c r="O113" s="5">
        <v>1836</v>
      </c>
    </row>
    <row r="114" spans="11:15">
      <c r="K114" s="12" t="s">
        <v>287</v>
      </c>
      <c r="L114" s="12" t="s">
        <v>72</v>
      </c>
      <c r="M114" s="12" t="s">
        <v>147</v>
      </c>
      <c r="N114" s="12" t="s">
        <v>52</v>
      </c>
      <c r="O114" s="5">
        <v>3246</v>
      </c>
    </row>
    <row r="115" spans="11:15">
      <c r="K115" s="12" t="s">
        <v>289</v>
      </c>
      <c r="L115" s="12" t="s">
        <v>40</v>
      </c>
      <c r="M115" s="12" t="s">
        <v>25</v>
      </c>
      <c r="N115" s="12" t="s">
        <v>26</v>
      </c>
      <c r="O115" s="5">
        <v>10775</v>
      </c>
    </row>
    <row r="116" spans="11:15">
      <c r="K116" s="12" t="s">
        <v>291</v>
      </c>
      <c r="L116" s="12" t="s">
        <v>72</v>
      </c>
      <c r="M116" s="12" t="s">
        <v>86</v>
      </c>
      <c r="N116" s="12" t="s">
        <v>17</v>
      </c>
      <c r="O116" s="5">
        <v>3424</v>
      </c>
    </row>
    <row r="117" spans="11:15">
      <c r="K117" s="12" t="s">
        <v>293</v>
      </c>
      <c r="L117" s="12" t="s">
        <v>50</v>
      </c>
      <c r="M117" s="12" t="s">
        <v>59</v>
      </c>
      <c r="N117" s="12" t="s">
        <v>26</v>
      </c>
      <c r="O117" s="5">
        <v>13356</v>
      </c>
    </row>
    <row r="118" spans="11:15">
      <c r="K118" s="12" t="s">
        <v>295</v>
      </c>
      <c r="L118" s="12" t="s">
        <v>72</v>
      </c>
      <c r="M118" s="12" t="s">
        <v>130</v>
      </c>
      <c r="N118" s="12" t="s">
        <v>35</v>
      </c>
      <c r="O118" s="5">
        <v>204624</v>
      </c>
    </row>
    <row r="119" spans="11:15">
      <c r="K119" s="12" t="s">
        <v>297</v>
      </c>
      <c r="L119" s="12" t="s">
        <v>33</v>
      </c>
      <c r="M119" s="12" t="s">
        <v>51</v>
      </c>
      <c r="N119" s="12" t="s">
        <v>52</v>
      </c>
      <c r="O119" s="5">
        <v>7968</v>
      </c>
    </row>
    <row r="120" spans="11:15">
      <c r="K120" s="12" t="s">
        <v>299</v>
      </c>
      <c r="L120" s="12" t="s">
        <v>170</v>
      </c>
      <c r="M120" s="12" t="s">
        <v>165</v>
      </c>
      <c r="N120" s="12" t="s">
        <v>35</v>
      </c>
      <c r="O120" s="5">
        <v>220384</v>
      </c>
    </row>
    <row r="121" spans="11:15">
      <c r="K121" s="12" t="s">
        <v>301</v>
      </c>
      <c r="L121" s="12" t="s">
        <v>75</v>
      </c>
      <c r="M121" s="12" t="s">
        <v>90</v>
      </c>
      <c r="N121" s="12" t="s">
        <v>42</v>
      </c>
      <c r="O121" s="5">
        <v>33425</v>
      </c>
    </row>
    <row r="122" spans="11:15">
      <c r="K122" s="12" t="s">
        <v>303</v>
      </c>
      <c r="L122" s="12" t="s">
        <v>45</v>
      </c>
      <c r="M122" s="12" t="s">
        <v>159</v>
      </c>
      <c r="N122" s="12" t="s">
        <v>42</v>
      </c>
      <c r="O122" s="5">
        <v>16930</v>
      </c>
    </row>
    <row r="123" spans="11:15">
      <c r="K123" s="12" t="s">
        <v>305</v>
      </c>
      <c r="L123" s="12" t="s">
        <v>75</v>
      </c>
      <c r="M123" s="12" t="s">
        <v>46</v>
      </c>
      <c r="N123" s="12" t="s">
        <v>42</v>
      </c>
      <c r="O123" s="5">
        <v>4263</v>
      </c>
    </row>
    <row r="124" spans="11:15">
      <c r="K124" s="12" t="s">
        <v>307</v>
      </c>
      <c r="L124" s="12" t="s">
        <v>129</v>
      </c>
      <c r="M124" s="12" t="s">
        <v>79</v>
      </c>
      <c r="N124" s="12" t="s">
        <v>26</v>
      </c>
      <c r="O124" s="5">
        <v>5703</v>
      </c>
    </row>
    <row r="125" spans="11:15">
      <c r="K125" s="12" t="s">
        <v>309</v>
      </c>
      <c r="L125" s="12" t="s">
        <v>122</v>
      </c>
      <c r="M125" s="12" t="s">
        <v>46</v>
      </c>
      <c r="N125" s="12" t="s">
        <v>42</v>
      </c>
      <c r="O125" s="5">
        <v>29648</v>
      </c>
    </row>
    <row r="126" spans="11:15">
      <c r="K126" s="12" t="s">
        <v>311</v>
      </c>
      <c r="L126" s="12" t="s">
        <v>179</v>
      </c>
      <c r="M126" s="12" t="s">
        <v>90</v>
      </c>
      <c r="N126" s="12" t="s">
        <v>42</v>
      </c>
      <c r="O126" s="5">
        <v>4914</v>
      </c>
    </row>
    <row r="127" spans="11:15">
      <c r="K127" s="12" t="s">
        <v>312</v>
      </c>
      <c r="L127" s="12" t="s">
        <v>24</v>
      </c>
      <c r="M127" s="12" t="s">
        <v>159</v>
      </c>
      <c r="N127" s="12" t="s">
        <v>42</v>
      </c>
      <c r="O127" s="5">
        <v>2462</v>
      </c>
    </row>
    <row r="128" spans="11:15">
      <c r="K128" s="12" t="s">
        <v>314</v>
      </c>
      <c r="L128" s="12" t="s">
        <v>146</v>
      </c>
      <c r="M128" s="12" t="s">
        <v>79</v>
      </c>
      <c r="N128" s="12" t="s">
        <v>26</v>
      </c>
      <c r="O128" s="5">
        <v>26848</v>
      </c>
    </row>
    <row r="129" spans="11:15">
      <c r="K129" s="12" t="s">
        <v>315</v>
      </c>
      <c r="L129" s="12" t="s">
        <v>75</v>
      </c>
      <c r="M129" s="12" t="s">
        <v>218</v>
      </c>
      <c r="N129" s="12" t="s">
        <v>17</v>
      </c>
      <c r="O129" s="5">
        <v>11008</v>
      </c>
    </row>
    <row r="130" spans="11:15">
      <c r="K130" s="12" t="s">
        <v>316</v>
      </c>
      <c r="L130" s="12" t="s">
        <v>170</v>
      </c>
      <c r="M130" s="12" t="s">
        <v>63</v>
      </c>
      <c r="N130" s="12" t="s">
        <v>52</v>
      </c>
      <c r="O130" s="5">
        <v>3332</v>
      </c>
    </row>
    <row r="131" spans="11:15">
      <c r="K131" s="12" t="s">
        <v>317</v>
      </c>
      <c r="L131" s="12" t="s">
        <v>112</v>
      </c>
      <c r="M131" s="12" t="s">
        <v>59</v>
      </c>
      <c r="N131" s="12" t="s">
        <v>26</v>
      </c>
      <c r="O131" s="5">
        <v>28805</v>
      </c>
    </row>
    <row r="132" spans="11:15">
      <c r="K132" s="12" t="s">
        <v>318</v>
      </c>
      <c r="L132" s="12" t="s">
        <v>58</v>
      </c>
      <c r="M132" s="12" t="s">
        <v>109</v>
      </c>
      <c r="N132" s="12" t="s">
        <v>52</v>
      </c>
      <c r="O132" s="5">
        <v>582</v>
      </c>
    </row>
    <row r="133" spans="11:15">
      <c r="K133" s="12" t="s">
        <v>320</v>
      </c>
      <c r="L133" s="12" t="s">
        <v>24</v>
      </c>
      <c r="M133" s="12" t="s">
        <v>59</v>
      </c>
      <c r="N133" s="12" t="s">
        <v>26</v>
      </c>
      <c r="O133" s="5">
        <v>41150</v>
      </c>
    </row>
    <row r="134" spans="11:15">
      <c r="K134" s="12" t="s">
        <v>322</v>
      </c>
      <c r="L134" s="12" t="s">
        <v>170</v>
      </c>
      <c r="M134" s="12" t="s">
        <v>159</v>
      </c>
      <c r="N134" s="12" t="s">
        <v>42</v>
      </c>
      <c r="O134" s="5">
        <v>11898</v>
      </c>
    </row>
    <row r="135" spans="11:15">
      <c r="K135" s="12" t="s">
        <v>323</v>
      </c>
      <c r="L135" s="12" t="s">
        <v>170</v>
      </c>
      <c r="M135" s="12" t="s">
        <v>97</v>
      </c>
      <c r="N135" s="12" t="s">
        <v>35</v>
      </c>
      <c r="O135" s="5">
        <v>121614</v>
      </c>
    </row>
    <row r="136" spans="11:15">
      <c r="K136" s="12" t="s">
        <v>325</v>
      </c>
      <c r="L136" s="12" t="s">
        <v>122</v>
      </c>
      <c r="M136" s="12" t="s">
        <v>51</v>
      </c>
      <c r="N136" s="12" t="s">
        <v>52</v>
      </c>
      <c r="O136" s="5">
        <v>12104</v>
      </c>
    </row>
    <row r="137" spans="11:15">
      <c r="K137" s="12" t="s">
        <v>327</v>
      </c>
      <c r="L137" s="12" t="s">
        <v>129</v>
      </c>
      <c r="M137" s="12" t="s">
        <v>218</v>
      </c>
      <c r="N137" s="12" t="s">
        <v>17</v>
      </c>
      <c r="O137" s="5">
        <v>7080</v>
      </c>
    </row>
    <row r="138" spans="11:15">
      <c r="K138" s="12" t="s">
        <v>328</v>
      </c>
      <c r="L138" s="12" t="s">
        <v>45</v>
      </c>
      <c r="M138" s="12" t="s">
        <v>41</v>
      </c>
      <c r="N138" s="12" t="s">
        <v>42</v>
      </c>
      <c r="O138" s="5">
        <v>15456</v>
      </c>
    </row>
    <row r="139" spans="11:15">
      <c r="K139" s="12" t="s">
        <v>329</v>
      </c>
      <c r="L139" s="12" t="s">
        <v>33</v>
      </c>
      <c r="M139" s="12" t="s">
        <v>116</v>
      </c>
      <c r="N139" s="12" t="s">
        <v>17</v>
      </c>
      <c r="O139" s="5">
        <v>8652</v>
      </c>
    </row>
    <row r="140" spans="11:15">
      <c r="K140" s="12" t="s">
        <v>331</v>
      </c>
      <c r="L140" s="12" t="s">
        <v>58</v>
      </c>
      <c r="M140" s="12" t="s">
        <v>90</v>
      </c>
      <c r="N140" s="12" t="s">
        <v>42</v>
      </c>
      <c r="O140" s="5">
        <v>11757</v>
      </c>
    </row>
    <row r="141" spans="11:15">
      <c r="K141" s="12" t="s">
        <v>333</v>
      </c>
      <c r="L141" s="12" t="s">
        <v>45</v>
      </c>
      <c r="M141" s="12" t="s">
        <v>41</v>
      </c>
      <c r="N141" s="12" t="s">
        <v>42</v>
      </c>
      <c r="O141" s="5">
        <v>32886</v>
      </c>
    </row>
    <row r="142" spans="11:15">
      <c r="K142" s="12" t="s">
        <v>335</v>
      </c>
      <c r="L142" s="12" t="s">
        <v>170</v>
      </c>
      <c r="M142" s="12" t="s">
        <v>116</v>
      </c>
      <c r="N142" s="12" t="s">
        <v>17</v>
      </c>
      <c r="O142" s="5">
        <v>4214</v>
      </c>
    </row>
    <row r="143" spans="11:15">
      <c r="K143" s="12" t="s">
        <v>337</v>
      </c>
      <c r="L143" s="12" t="s">
        <v>112</v>
      </c>
      <c r="M143" s="12" t="s">
        <v>51</v>
      </c>
      <c r="N143" s="12" t="s">
        <v>52</v>
      </c>
      <c r="O143" s="5">
        <v>4040</v>
      </c>
    </row>
    <row r="144" spans="11:15">
      <c r="K144" s="12" t="s">
        <v>338</v>
      </c>
      <c r="L144" s="12" t="s">
        <v>78</v>
      </c>
      <c r="M144" s="12" t="s">
        <v>46</v>
      </c>
      <c r="N144" s="12" t="s">
        <v>42</v>
      </c>
      <c r="O144" s="5">
        <v>27996</v>
      </c>
    </row>
    <row r="145" spans="11:15">
      <c r="K145" s="12" t="s">
        <v>339</v>
      </c>
      <c r="L145" s="12" t="s">
        <v>50</v>
      </c>
      <c r="M145" s="12" t="s">
        <v>34</v>
      </c>
      <c r="N145" s="12" t="s">
        <v>35</v>
      </c>
      <c r="O145" s="5">
        <v>385744</v>
      </c>
    </row>
    <row r="146" spans="11:15">
      <c r="K146" s="12" t="s">
        <v>340</v>
      </c>
      <c r="L146" s="12" t="s">
        <v>78</v>
      </c>
      <c r="M146" s="12" t="s">
        <v>218</v>
      </c>
      <c r="N146" s="12" t="s">
        <v>17</v>
      </c>
      <c r="O146" s="5">
        <v>7230</v>
      </c>
    </row>
    <row r="147" spans="11:15">
      <c r="K147" s="12" t="s">
        <v>341</v>
      </c>
      <c r="L147" s="12" t="s">
        <v>170</v>
      </c>
      <c r="M147" s="12" t="s">
        <v>86</v>
      </c>
      <c r="N147" s="12" t="s">
        <v>17</v>
      </c>
      <c r="O147" s="5">
        <v>1671</v>
      </c>
    </row>
    <row r="148" spans="11:15">
      <c r="K148" s="12" t="s">
        <v>343</v>
      </c>
      <c r="L148" s="12" t="s">
        <v>75</v>
      </c>
      <c r="M148" s="12" t="s">
        <v>147</v>
      </c>
      <c r="N148" s="12" t="s">
        <v>52</v>
      </c>
      <c r="O148" s="5">
        <v>6594</v>
      </c>
    </row>
    <row r="149" spans="11:15">
      <c r="K149" s="12" t="s">
        <v>345</v>
      </c>
      <c r="L149" s="12" t="s">
        <v>170</v>
      </c>
      <c r="M149" s="12" t="s">
        <v>51</v>
      </c>
      <c r="N149" s="12" t="s">
        <v>52</v>
      </c>
      <c r="O149" s="5">
        <v>2279</v>
      </c>
    </row>
    <row r="150" spans="11:15">
      <c r="K150" s="12" t="s">
        <v>347</v>
      </c>
      <c r="L150" s="12" t="s">
        <v>15</v>
      </c>
      <c r="M150" s="12" t="s">
        <v>51</v>
      </c>
      <c r="N150" s="12" t="s">
        <v>52</v>
      </c>
      <c r="O150" s="5">
        <v>6416</v>
      </c>
    </row>
    <row r="151" spans="11:15">
      <c r="K151" s="12" t="s">
        <v>349</v>
      </c>
      <c r="L151" s="12" t="s">
        <v>72</v>
      </c>
      <c r="M151" s="12" t="s">
        <v>79</v>
      </c>
      <c r="N151" s="12" t="s">
        <v>26</v>
      </c>
      <c r="O151" s="5">
        <v>51569</v>
      </c>
    </row>
    <row r="152" spans="11:15">
      <c r="K152" s="12" t="s">
        <v>351</v>
      </c>
      <c r="L152" s="12" t="s">
        <v>103</v>
      </c>
      <c r="M152" s="12" t="s">
        <v>218</v>
      </c>
      <c r="N152" s="12" t="s">
        <v>17</v>
      </c>
      <c r="O152" s="5">
        <v>4856</v>
      </c>
    </row>
    <row r="153" spans="11:15">
      <c r="K153" s="12" t="s">
        <v>353</v>
      </c>
      <c r="L153" s="12" t="s">
        <v>129</v>
      </c>
      <c r="M153" s="12" t="s">
        <v>16</v>
      </c>
      <c r="N153" s="12" t="s">
        <v>17</v>
      </c>
      <c r="O153" s="5">
        <v>3135</v>
      </c>
    </row>
    <row r="154" spans="11:15">
      <c r="K154" s="12" t="s">
        <v>355</v>
      </c>
      <c r="L154" s="12" t="s">
        <v>122</v>
      </c>
      <c r="M154" s="12" t="s">
        <v>51</v>
      </c>
      <c r="N154" s="12" t="s">
        <v>52</v>
      </c>
      <c r="O154" s="5">
        <v>14240</v>
      </c>
    </row>
    <row r="155" spans="11:15">
      <c r="K155" s="12" t="s">
        <v>357</v>
      </c>
      <c r="L155" s="12" t="s">
        <v>170</v>
      </c>
      <c r="M155" s="12" t="s">
        <v>59</v>
      </c>
      <c r="N155" s="12" t="s">
        <v>26</v>
      </c>
      <c r="O155" s="5">
        <v>20366</v>
      </c>
    </row>
    <row r="156" spans="11:15">
      <c r="K156" s="12" t="s">
        <v>358</v>
      </c>
      <c r="L156" s="12" t="s">
        <v>78</v>
      </c>
      <c r="M156" s="12" t="s">
        <v>51</v>
      </c>
      <c r="N156" s="12" t="s">
        <v>52</v>
      </c>
      <c r="O156" s="5">
        <v>16856</v>
      </c>
    </row>
    <row r="157" spans="11:15">
      <c r="K157" s="12" t="s">
        <v>360</v>
      </c>
      <c r="L157" s="12" t="s">
        <v>75</v>
      </c>
      <c r="M157" s="12" t="s">
        <v>46</v>
      </c>
      <c r="N157" s="12" t="s">
        <v>42</v>
      </c>
      <c r="O157" s="5">
        <v>16680</v>
      </c>
    </row>
    <row r="158" spans="11:15">
      <c r="K158" s="12" t="s">
        <v>362</v>
      </c>
      <c r="L158" s="12" t="s">
        <v>129</v>
      </c>
      <c r="M158" s="12" t="s">
        <v>159</v>
      </c>
      <c r="N158" s="12" t="s">
        <v>42</v>
      </c>
      <c r="O158" s="5">
        <v>26544</v>
      </c>
    </row>
    <row r="159" spans="11:15">
      <c r="K159" s="12" t="s">
        <v>364</v>
      </c>
      <c r="L159" s="12" t="s">
        <v>122</v>
      </c>
      <c r="M159" s="12" t="s">
        <v>79</v>
      </c>
      <c r="N159" s="12" t="s">
        <v>26</v>
      </c>
      <c r="O159" s="5">
        <v>7748</v>
      </c>
    </row>
    <row r="160" spans="11:15">
      <c r="K160" s="12" t="s">
        <v>366</v>
      </c>
      <c r="L160" s="12" t="s">
        <v>45</v>
      </c>
      <c r="M160" s="12" t="s">
        <v>34</v>
      </c>
      <c r="N160" s="12" t="s">
        <v>35</v>
      </c>
      <c r="O160" s="5">
        <v>83099</v>
      </c>
    </row>
    <row r="161" spans="11:15">
      <c r="K161" s="12" t="s">
        <v>368</v>
      </c>
      <c r="L161" s="12" t="s">
        <v>122</v>
      </c>
      <c r="M161" s="12" t="s">
        <v>147</v>
      </c>
      <c r="N161" s="12" t="s">
        <v>52</v>
      </c>
      <c r="O161" s="5">
        <v>19680</v>
      </c>
    </row>
    <row r="162" spans="11:15">
      <c r="K162" s="12" t="s">
        <v>370</v>
      </c>
      <c r="L162" s="12" t="s">
        <v>133</v>
      </c>
      <c r="M162" s="12" t="s">
        <v>109</v>
      </c>
      <c r="N162" s="12" t="s">
        <v>52</v>
      </c>
      <c r="O162" s="5">
        <v>5920</v>
      </c>
    </row>
    <row r="163" spans="11:15">
      <c r="K163" s="12" t="s">
        <v>372</v>
      </c>
      <c r="L163" s="12" t="s">
        <v>122</v>
      </c>
      <c r="M163" s="12" t="s">
        <v>97</v>
      </c>
      <c r="N163" s="12" t="s">
        <v>35</v>
      </c>
      <c r="O163" s="5">
        <v>336066</v>
      </c>
    </row>
    <row r="164" spans="11:15">
      <c r="K164" s="12" t="s">
        <v>374</v>
      </c>
      <c r="L164" s="12" t="s">
        <v>75</v>
      </c>
      <c r="M164" s="12" t="s">
        <v>41</v>
      </c>
      <c r="N164" s="12" t="s">
        <v>42</v>
      </c>
      <c r="O164" s="5">
        <v>27167</v>
      </c>
    </row>
    <row r="165" spans="11:15">
      <c r="K165" s="12" t="s">
        <v>375</v>
      </c>
      <c r="L165" s="12" t="s">
        <v>125</v>
      </c>
      <c r="M165" s="12" t="s">
        <v>79</v>
      </c>
      <c r="N165" s="12" t="s">
        <v>26</v>
      </c>
      <c r="O165" s="5">
        <v>52130</v>
      </c>
    </row>
    <row r="166" spans="11:15">
      <c r="K166" s="12" t="s">
        <v>377</v>
      </c>
      <c r="L166" s="12" t="s">
        <v>40</v>
      </c>
      <c r="M166" s="12" t="s">
        <v>86</v>
      </c>
      <c r="N166" s="12" t="s">
        <v>17</v>
      </c>
      <c r="O166" s="5">
        <v>2560</v>
      </c>
    </row>
    <row r="167" spans="11:15">
      <c r="K167" s="12" t="s">
        <v>378</v>
      </c>
      <c r="L167" s="12" t="s">
        <v>33</v>
      </c>
      <c r="M167" s="12" t="s">
        <v>130</v>
      </c>
      <c r="N167" s="12" t="s">
        <v>35</v>
      </c>
      <c r="O167" s="5">
        <v>512296</v>
      </c>
    </row>
    <row r="168" spans="11:15">
      <c r="K168" s="12" t="s">
        <v>380</v>
      </c>
      <c r="L168" s="12" t="s">
        <v>125</v>
      </c>
      <c r="M168" s="12" t="s">
        <v>218</v>
      </c>
      <c r="N168" s="12" t="s">
        <v>17</v>
      </c>
      <c r="O168" s="5">
        <v>6328</v>
      </c>
    </row>
    <row r="169" spans="11:15">
      <c r="K169" s="12" t="s">
        <v>382</v>
      </c>
      <c r="L169" s="12" t="s">
        <v>112</v>
      </c>
      <c r="M169" s="12" t="s">
        <v>90</v>
      </c>
      <c r="N169" s="12" t="s">
        <v>42</v>
      </c>
      <c r="O169" s="5">
        <v>5538</v>
      </c>
    </row>
    <row r="170" spans="11:15">
      <c r="K170" s="12" t="s">
        <v>384</v>
      </c>
      <c r="L170" s="12" t="s">
        <v>45</v>
      </c>
      <c r="M170" s="12" t="s">
        <v>116</v>
      </c>
      <c r="N170" s="12" t="s">
        <v>17</v>
      </c>
      <c r="O170" s="5">
        <v>1756</v>
      </c>
    </row>
    <row r="171" spans="11:15">
      <c r="K171" s="12" t="s">
        <v>386</v>
      </c>
      <c r="L171" s="12" t="s">
        <v>112</v>
      </c>
      <c r="M171" s="12" t="s">
        <v>16</v>
      </c>
      <c r="N171" s="12" t="s">
        <v>17</v>
      </c>
      <c r="O171" s="5">
        <v>2268</v>
      </c>
    </row>
    <row r="172" spans="11:15">
      <c r="K172" s="12" t="s">
        <v>388</v>
      </c>
      <c r="L172" s="12" t="s">
        <v>50</v>
      </c>
      <c r="M172" s="12" t="s">
        <v>16</v>
      </c>
      <c r="N172" s="12" t="s">
        <v>17</v>
      </c>
      <c r="O172" s="5">
        <v>2379</v>
      </c>
    </row>
    <row r="173" spans="11:15">
      <c r="K173" s="12" t="s">
        <v>389</v>
      </c>
      <c r="L173" s="12" t="s">
        <v>33</v>
      </c>
      <c r="M173" s="12" t="s">
        <v>159</v>
      </c>
      <c r="N173" s="12" t="s">
        <v>42</v>
      </c>
      <c r="O173" s="5">
        <v>5860</v>
      </c>
    </row>
    <row r="174" spans="11:15">
      <c r="K174" s="12" t="s">
        <v>390</v>
      </c>
      <c r="L174" s="12" t="s">
        <v>103</v>
      </c>
      <c r="M174" s="12" t="s">
        <v>116</v>
      </c>
      <c r="N174" s="12" t="s">
        <v>17</v>
      </c>
      <c r="O174" s="5">
        <v>8748</v>
      </c>
    </row>
    <row r="175" spans="11:15">
      <c r="K175" s="12" t="s">
        <v>392</v>
      </c>
      <c r="L175" s="12" t="s">
        <v>24</v>
      </c>
      <c r="M175" s="12" t="s">
        <v>25</v>
      </c>
      <c r="N175" s="12" t="s">
        <v>26</v>
      </c>
      <c r="O175" s="5">
        <v>43950</v>
      </c>
    </row>
    <row r="176" spans="11:15">
      <c r="K176" s="12" t="s">
        <v>394</v>
      </c>
      <c r="L176" s="12" t="s">
        <v>75</v>
      </c>
      <c r="M176" s="12" t="s">
        <v>59</v>
      </c>
      <c r="N176" s="12" t="s">
        <v>26</v>
      </c>
      <c r="O176" s="5">
        <v>5037</v>
      </c>
    </row>
    <row r="177" spans="11:15">
      <c r="K177" s="12" t="s">
        <v>395</v>
      </c>
      <c r="L177" s="12" t="s">
        <v>75</v>
      </c>
      <c r="M177" s="12" t="s">
        <v>218</v>
      </c>
      <c r="N177" s="12" t="s">
        <v>17</v>
      </c>
      <c r="O177" s="5">
        <v>6136</v>
      </c>
    </row>
    <row r="178" spans="11:15">
      <c r="K178" s="12" t="s">
        <v>397</v>
      </c>
      <c r="L178" s="12" t="s">
        <v>40</v>
      </c>
      <c r="M178" s="12" t="s">
        <v>16</v>
      </c>
      <c r="N178" s="12" t="s">
        <v>17</v>
      </c>
      <c r="O178" s="5">
        <v>3234</v>
      </c>
    </row>
    <row r="179" spans="11:15">
      <c r="K179" s="12" t="s">
        <v>399</v>
      </c>
      <c r="L179" s="12" t="s">
        <v>75</v>
      </c>
      <c r="M179" s="12" t="s">
        <v>86</v>
      </c>
      <c r="N179" s="12" t="s">
        <v>17</v>
      </c>
      <c r="O179" s="5">
        <v>3546</v>
      </c>
    </row>
    <row r="180" spans="11:15">
      <c r="K180" s="12" t="s">
        <v>401</v>
      </c>
      <c r="L180" s="12" t="s">
        <v>24</v>
      </c>
      <c r="M180" s="12" t="s">
        <v>41</v>
      </c>
      <c r="N180" s="12" t="s">
        <v>42</v>
      </c>
      <c r="O180" s="5">
        <v>18816</v>
      </c>
    </row>
    <row r="181" spans="11:15">
      <c r="K181" s="12" t="s">
        <v>403</v>
      </c>
      <c r="L181" s="12" t="s">
        <v>129</v>
      </c>
      <c r="M181" s="12" t="s">
        <v>97</v>
      </c>
      <c r="N181" s="12" t="s">
        <v>35</v>
      </c>
      <c r="O181" s="5">
        <v>77340</v>
      </c>
    </row>
    <row r="182" spans="11:15">
      <c r="K182" s="12" t="s">
        <v>405</v>
      </c>
      <c r="L182" s="12" t="s">
        <v>170</v>
      </c>
      <c r="M182" s="12" t="s">
        <v>79</v>
      </c>
      <c r="N182" s="12" t="s">
        <v>26</v>
      </c>
      <c r="O182" s="5">
        <v>12486</v>
      </c>
    </row>
    <row r="183" spans="11:15">
      <c r="K183" s="12" t="s">
        <v>407</v>
      </c>
      <c r="L183" s="12" t="s">
        <v>40</v>
      </c>
      <c r="M183" s="12" t="s">
        <v>79</v>
      </c>
      <c r="N183" s="12" t="s">
        <v>26</v>
      </c>
      <c r="O183" s="5">
        <v>22260</v>
      </c>
    </row>
    <row r="184" spans="11:15">
      <c r="K184" s="12" t="s">
        <v>409</v>
      </c>
      <c r="L184" s="12" t="s">
        <v>78</v>
      </c>
      <c r="M184" s="12" t="s">
        <v>97</v>
      </c>
      <c r="N184" s="12" t="s">
        <v>35</v>
      </c>
      <c r="O184" s="5">
        <v>534835</v>
      </c>
    </row>
    <row r="185" spans="11:15">
      <c r="K185" s="12" t="s">
        <v>410</v>
      </c>
      <c r="L185" s="12" t="s">
        <v>133</v>
      </c>
      <c r="M185" s="12" t="s">
        <v>46</v>
      </c>
      <c r="N185" s="12" t="s">
        <v>42</v>
      </c>
      <c r="O185" s="5">
        <v>11776</v>
      </c>
    </row>
    <row r="186" spans="11:15">
      <c r="K186" s="12" t="s">
        <v>412</v>
      </c>
      <c r="L186" s="12" t="s">
        <v>78</v>
      </c>
      <c r="M186" s="12" t="s">
        <v>69</v>
      </c>
      <c r="N186" s="12" t="s">
        <v>26</v>
      </c>
      <c r="O186" s="5">
        <v>9814</v>
      </c>
    </row>
    <row r="187" spans="11:15">
      <c r="K187" s="12" t="s">
        <v>414</v>
      </c>
      <c r="L187" s="12" t="s">
        <v>122</v>
      </c>
      <c r="M187" s="12" t="s">
        <v>109</v>
      </c>
      <c r="N187" s="12" t="s">
        <v>52</v>
      </c>
      <c r="O187" s="5">
        <v>1886</v>
      </c>
    </row>
    <row r="188" spans="11:15">
      <c r="K188" s="12" t="s">
        <v>416</v>
      </c>
      <c r="L188" s="12" t="s">
        <v>68</v>
      </c>
      <c r="M188" s="12" t="s">
        <v>97</v>
      </c>
      <c r="N188" s="12" t="s">
        <v>35</v>
      </c>
      <c r="O188" s="5">
        <v>197331</v>
      </c>
    </row>
    <row r="189" spans="11:15">
      <c r="K189" s="12" t="s">
        <v>417</v>
      </c>
      <c r="L189" s="12" t="s">
        <v>170</v>
      </c>
      <c r="M189" s="12" t="s">
        <v>130</v>
      </c>
      <c r="N189" s="12" t="s">
        <v>35</v>
      </c>
      <c r="O189" s="5">
        <v>192608</v>
      </c>
    </row>
    <row r="190" spans="11:15">
      <c r="K190" s="12" t="s">
        <v>419</v>
      </c>
      <c r="L190" s="12" t="s">
        <v>78</v>
      </c>
      <c r="M190" s="12" t="s">
        <v>16</v>
      </c>
      <c r="N190" s="12" t="s">
        <v>17</v>
      </c>
      <c r="O190" s="5">
        <v>3372</v>
      </c>
    </row>
    <row r="191" spans="11:15">
      <c r="K191" s="12" t="s">
        <v>421</v>
      </c>
      <c r="L191" s="12" t="s">
        <v>15</v>
      </c>
      <c r="M191" s="12" t="s">
        <v>159</v>
      </c>
      <c r="N191" s="12" t="s">
        <v>42</v>
      </c>
      <c r="O191" s="5">
        <v>16212</v>
      </c>
    </row>
    <row r="192" spans="11:15">
      <c r="K192" s="12" t="s">
        <v>423</v>
      </c>
      <c r="L192" s="12" t="s">
        <v>125</v>
      </c>
      <c r="M192" s="12" t="s">
        <v>113</v>
      </c>
      <c r="N192" s="12" t="s">
        <v>35</v>
      </c>
      <c r="O192" s="5">
        <v>100890</v>
      </c>
    </row>
    <row r="193" spans="11:15">
      <c r="K193" s="12" t="s">
        <v>425</v>
      </c>
      <c r="L193" s="12" t="s">
        <v>45</v>
      </c>
      <c r="M193" s="12" t="s">
        <v>69</v>
      </c>
      <c r="N193" s="12" t="s">
        <v>26</v>
      </c>
      <c r="O193" s="5">
        <v>7252</v>
      </c>
    </row>
    <row r="194" spans="11:15">
      <c r="K194" s="12" t="s">
        <v>426</v>
      </c>
      <c r="L194" s="12" t="s">
        <v>58</v>
      </c>
      <c r="M194" s="12" t="s">
        <v>113</v>
      </c>
      <c r="N194" s="12" t="s">
        <v>35</v>
      </c>
      <c r="O194" s="5">
        <v>257145</v>
      </c>
    </row>
    <row r="195" spans="11:15">
      <c r="K195" s="12" t="s">
        <v>428</v>
      </c>
      <c r="L195" s="12" t="s">
        <v>129</v>
      </c>
      <c r="M195" s="12" t="s">
        <v>159</v>
      </c>
      <c r="N195" s="12" t="s">
        <v>42</v>
      </c>
      <c r="O195" s="5">
        <v>6696</v>
      </c>
    </row>
    <row r="196" spans="11:15">
      <c r="K196" s="12" t="s">
        <v>430</v>
      </c>
      <c r="L196" s="12" t="s">
        <v>122</v>
      </c>
      <c r="M196" s="12" t="s">
        <v>51</v>
      </c>
      <c r="N196" s="12" t="s">
        <v>52</v>
      </c>
      <c r="O196" s="5">
        <v>18112</v>
      </c>
    </row>
    <row r="197" spans="11:15">
      <c r="K197" s="12" t="s">
        <v>431</v>
      </c>
      <c r="L197" s="12" t="s">
        <v>78</v>
      </c>
      <c r="M197" s="12" t="s">
        <v>109</v>
      </c>
      <c r="N197" s="12" t="s">
        <v>52</v>
      </c>
      <c r="O197" s="5">
        <v>18224</v>
      </c>
    </row>
    <row r="198" spans="11:15">
      <c r="K198" s="12" t="s">
        <v>433</v>
      </c>
      <c r="L198" s="12" t="s">
        <v>146</v>
      </c>
      <c r="M198" s="12" t="s">
        <v>79</v>
      </c>
      <c r="N198" s="12" t="s">
        <v>26</v>
      </c>
      <c r="O198" s="5">
        <v>16336</v>
      </c>
    </row>
    <row r="199" spans="11:15">
      <c r="K199" s="12" t="s">
        <v>435</v>
      </c>
      <c r="L199" s="12" t="s">
        <v>45</v>
      </c>
      <c r="M199" s="12" t="s">
        <v>59</v>
      </c>
      <c r="N199" s="12" t="s">
        <v>26</v>
      </c>
      <c r="O199" s="5">
        <v>12404</v>
      </c>
    </row>
    <row r="200" spans="11:15">
      <c r="K200" s="12" t="s">
        <v>437</v>
      </c>
      <c r="L200" s="12" t="s">
        <v>72</v>
      </c>
      <c r="M200" s="12" t="s">
        <v>130</v>
      </c>
      <c r="N200" s="12" t="s">
        <v>35</v>
      </c>
      <c r="O200" s="5">
        <v>101355</v>
      </c>
    </row>
    <row r="201" spans="11:15">
      <c r="K201" s="12" t="s">
        <v>438</v>
      </c>
      <c r="L201" s="12" t="s">
        <v>50</v>
      </c>
      <c r="M201" s="12" t="s">
        <v>51</v>
      </c>
      <c r="N201" s="12" t="s">
        <v>52</v>
      </c>
      <c r="O201" s="5">
        <v>4050</v>
      </c>
    </row>
    <row r="202" spans="11:15">
      <c r="K202" s="12" t="s">
        <v>439</v>
      </c>
      <c r="L202" s="12" t="s">
        <v>78</v>
      </c>
      <c r="M202" s="12" t="s">
        <v>90</v>
      </c>
      <c r="N202" s="12" t="s">
        <v>42</v>
      </c>
      <c r="O202" s="5">
        <v>5900</v>
      </c>
    </row>
    <row r="203" spans="11:15">
      <c r="K203" s="12" t="s">
        <v>441</v>
      </c>
      <c r="L203" s="12" t="s">
        <v>170</v>
      </c>
      <c r="M203" s="12" t="s">
        <v>51</v>
      </c>
      <c r="N203" s="12" t="s">
        <v>52</v>
      </c>
      <c r="O203" s="5">
        <v>9798</v>
      </c>
    </row>
    <row r="204" spans="11:15">
      <c r="K204" s="12" t="s">
        <v>442</v>
      </c>
      <c r="L204" s="12" t="s">
        <v>40</v>
      </c>
      <c r="M204" s="12" t="s">
        <v>116</v>
      </c>
      <c r="N204" s="12" t="s">
        <v>17</v>
      </c>
      <c r="O204" s="5">
        <v>1246</v>
      </c>
    </row>
    <row r="205" spans="11:15">
      <c r="K205" s="12" t="s">
        <v>443</v>
      </c>
      <c r="L205" s="12" t="s">
        <v>133</v>
      </c>
      <c r="M205" s="12" t="s">
        <v>130</v>
      </c>
      <c r="N205" s="12" t="s">
        <v>35</v>
      </c>
      <c r="O205" s="5">
        <v>55722</v>
      </c>
    </row>
    <row r="206" spans="11:15">
      <c r="K206" s="12" t="s">
        <v>445</v>
      </c>
      <c r="L206" s="12" t="s">
        <v>68</v>
      </c>
      <c r="M206" s="12" t="s">
        <v>86</v>
      </c>
      <c r="N206" s="12" t="s">
        <v>17</v>
      </c>
      <c r="O206" s="5">
        <v>1142</v>
      </c>
    </row>
    <row r="207" spans="11:15">
      <c r="K207" s="12" t="s">
        <v>447</v>
      </c>
      <c r="L207" s="12" t="s">
        <v>50</v>
      </c>
      <c r="M207" s="12" t="s">
        <v>86</v>
      </c>
      <c r="N207" s="12" t="s">
        <v>17</v>
      </c>
      <c r="O207" s="5">
        <v>3592</v>
      </c>
    </row>
    <row r="208" spans="11:15">
      <c r="K208" s="12" t="s">
        <v>448</v>
      </c>
      <c r="L208" s="12" t="s">
        <v>179</v>
      </c>
      <c r="M208" s="12" t="s">
        <v>25</v>
      </c>
      <c r="N208" s="12" t="s">
        <v>26</v>
      </c>
      <c r="O208" s="5">
        <v>9840</v>
      </c>
    </row>
    <row r="209" spans="11:15">
      <c r="K209" s="12" t="s">
        <v>449</v>
      </c>
      <c r="L209" s="12" t="s">
        <v>15</v>
      </c>
      <c r="M209" s="12" t="s">
        <v>116</v>
      </c>
      <c r="N209" s="12" t="s">
        <v>17</v>
      </c>
      <c r="O209" s="5">
        <v>6608</v>
      </c>
    </row>
    <row r="210" spans="11:15">
      <c r="K210" s="12" t="s">
        <v>451</v>
      </c>
      <c r="L210" s="12" t="s">
        <v>45</v>
      </c>
      <c r="M210" s="12" t="s">
        <v>79</v>
      </c>
      <c r="N210" s="12" t="s">
        <v>26</v>
      </c>
      <c r="O210" s="5">
        <v>35610</v>
      </c>
    </row>
    <row r="211" spans="11:15">
      <c r="K211" s="12" t="s">
        <v>453</v>
      </c>
      <c r="L211" s="12" t="s">
        <v>15</v>
      </c>
      <c r="M211" s="12" t="s">
        <v>34</v>
      </c>
      <c r="N211" s="12" t="s">
        <v>35</v>
      </c>
      <c r="O211" s="5">
        <v>176015</v>
      </c>
    </row>
    <row r="212" spans="11:15">
      <c r="K212" s="12" t="s">
        <v>455</v>
      </c>
      <c r="L212" s="12" t="s">
        <v>103</v>
      </c>
      <c r="M212" s="12" t="s">
        <v>116</v>
      </c>
      <c r="N212" s="12" t="s">
        <v>17</v>
      </c>
      <c r="O212" s="5">
        <v>7935</v>
      </c>
    </row>
    <row r="213" spans="11:15">
      <c r="K213" s="12" t="s">
        <v>457</v>
      </c>
      <c r="L213" s="12" t="s">
        <v>133</v>
      </c>
      <c r="M213" s="12" t="s">
        <v>79</v>
      </c>
      <c r="N213" s="12" t="s">
        <v>26</v>
      </c>
      <c r="O213" s="5">
        <v>28254</v>
      </c>
    </row>
    <row r="214" spans="11:15">
      <c r="K214" s="12" t="s">
        <v>459</v>
      </c>
      <c r="L214" s="12" t="s">
        <v>24</v>
      </c>
      <c r="M214" s="12" t="s">
        <v>34</v>
      </c>
      <c r="N214" s="12" t="s">
        <v>35</v>
      </c>
      <c r="O214" s="5">
        <v>3987</v>
      </c>
    </row>
    <row r="215" spans="11:15">
      <c r="K215" s="12" t="s">
        <v>461</v>
      </c>
      <c r="L215" s="12" t="s">
        <v>146</v>
      </c>
      <c r="M215" s="12" t="s">
        <v>16</v>
      </c>
      <c r="N215" s="12" t="s">
        <v>17</v>
      </c>
      <c r="O215" s="5">
        <v>5999</v>
      </c>
    </row>
    <row r="216" spans="11:15">
      <c r="K216" s="12" t="s">
        <v>463</v>
      </c>
      <c r="L216" s="12" t="s">
        <v>33</v>
      </c>
      <c r="M216" s="12" t="s">
        <v>159</v>
      </c>
      <c r="N216" s="12" t="s">
        <v>42</v>
      </c>
      <c r="O216" s="5">
        <v>4932</v>
      </c>
    </row>
    <row r="217" spans="11:15">
      <c r="K217" s="12" t="s">
        <v>464</v>
      </c>
      <c r="L217" s="12" t="s">
        <v>170</v>
      </c>
      <c r="M217" s="12" t="s">
        <v>46</v>
      </c>
      <c r="N217" s="12" t="s">
        <v>42</v>
      </c>
      <c r="O217" s="5">
        <v>12405</v>
      </c>
    </row>
    <row r="218" spans="11:15">
      <c r="K218" s="12" t="s">
        <v>465</v>
      </c>
      <c r="L218" s="12" t="s">
        <v>170</v>
      </c>
      <c r="M218" s="12" t="s">
        <v>16</v>
      </c>
      <c r="N218" s="12" t="s">
        <v>17</v>
      </c>
      <c r="O218" s="5">
        <v>5424</v>
      </c>
    </row>
    <row r="219" spans="11:15">
      <c r="K219" s="12" t="s">
        <v>466</v>
      </c>
      <c r="L219" s="12" t="s">
        <v>78</v>
      </c>
      <c r="M219" s="12" t="s">
        <v>34</v>
      </c>
      <c r="N219" s="12" t="s">
        <v>35</v>
      </c>
      <c r="O219" s="5">
        <v>316535</v>
      </c>
    </row>
    <row r="220" spans="11:15">
      <c r="K220" s="12" t="s">
        <v>467</v>
      </c>
      <c r="L220" s="12" t="s">
        <v>68</v>
      </c>
      <c r="M220" s="12" t="s">
        <v>41</v>
      </c>
      <c r="N220" s="12" t="s">
        <v>42</v>
      </c>
      <c r="O220" s="5">
        <v>4266</v>
      </c>
    </row>
    <row r="221" spans="11:15">
      <c r="K221" s="12" t="s">
        <v>469</v>
      </c>
      <c r="L221" s="12" t="s">
        <v>146</v>
      </c>
      <c r="M221" s="12" t="s">
        <v>41</v>
      </c>
      <c r="N221" s="12" t="s">
        <v>42</v>
      </c>
      <c r="O221" s="5">
        <v>24785</v>
      </c>
    </row>
    <row r="222" spans="11:15">
      <c r="K222" s="12" t="s">
        <v>471</v>
      </c>
      <c r="L222" s="12" t="s">
        <v>50</v>
      </c>
      <c r="M222" s="12" t="s">
        <v>79</v>
      </c>
      <c r="N222" s="12" t="s">
        <v>26</v>
      </c>
      <c r="O222" s="5">
        <v>32753</v>
      </c>
    </row>
    <row r="223" spans="11:15">
      <c r="K223" s="12" t="s">
        <v>473</v>
      </c>
      <c r="L223" s="12" t="s">
        <v>146</v>
      </c>
      <c r="M223" s="12" t="s">
        <v>46</v>
      </c>
      <c r="N223" s="12" t="s">
        <v>42</v>
      </c>
      <c r="O223" s="5">
        <v>3184</v>
      </c>
    </row>
    <row r="224" spans="11:15">
      <c r="K224" s="12" t="s">
        <v>474</v>
      </c>
      <c r="L224" s="12" t="s">
        <v>45</v>
      </c>
      <c r="M224" s="12" t="s">
        <v>59</v>
      </c>
      <c r="N224" s="12" t="s">
        <v>26</v>
      </c>
      <c r="O224" s="5">
        <v>18248</v>
      </c>
    </row>
    <row r="225" spans="11:15">
      <c r="K225" s="12" t="s">
        <v>476</v>
      </c>
      <c r="L225" s="12" t="s">
        <v>15</v>
      </c>
      <c r="M225" s="12" t="s">
        <v>147</v>
      </c>
      <c r="N225" s="12" t="s">
        <v>52</v>
      </c>
      <c r="O225" s="5">
        <v>7492</v>
      </c>
    </row>
    <row r="226" spans="11:15">
      <c r="K226" s="12" t="s">
        <v>478</v>
      </c>
      <c r="L226" s="12" t="s">
        <v>129</v>
      </c>
      <c r="M226" s="12" t="s">
        <v>116</v>
      </c>
      <c r="N226" s="12" t="s">
        <v>17</v>
      </c>
      <c r="O226" s="5">
        <v>1644</v>
      </c>
    </row>
    <row r="227" spans="11:15">
      <c r="K227" s="12" t="s">
        <v>479</v>
      </c>
      <c r="L227" s="12" t="s">
        <v>33</v>
      </c>
      <c r="M227" s="12" t="s">
        <v>16</v>
      </c>
      <c r="N227" s="12" t="s">
        <v>17</v>
      </c>
      <c r="O227" s="5">
        <v>6488</v>
      </c>
    </row>
    <row r="228" spans="11:15">
      <c r="K228" s="12" t="s">
        <v>481</v>
      </c>
      <c r="L228" s="12" t="s">
        <v>33</v>
      </c>
      <c r="M228" s="12" t="s">
        <v>41</v>
      </c>
      <c r="N228" s="12" t="s">
        <v>42</v>
      </c>
      <c r="O228" s="5">
        <v>15631</v>
      </c>
    </row>
    <row r="229" spans="11:15">
      <c r="K229" s="12" t="s">
        <v>483</v>
      </c>
      <c r="L229" s="12" t="s">
        <v>78</v>
      </c>
      <c r="M229" s="12" t="s">
        <v>90</v>
      </c>
      <c r="N229" s="12" t="s">
        <v>42</v>
      </c>
      <c r="O229" s="5">
        <v>30696</v>
      </c>
    </row>
    <row r="230" spans="11:15">
      <c r="K230" s="12" t="s">
        <v>484</v>
      </c>
      <c r="L230" s="12" t="s">
        <v>103</v>
      </c>
      <c r="M230" s="12" t="s">
        <v>90</v>
      </c>
      <c r="N230" s="12" t="s">
        <v>42</v>
      </c>
      <c r="O230" s="5">
        <v>5478</v>
      </c>
    </row>
    <row r="231" spans="11:15">
      <c r="K231" s="12" t="s">
        <v>486</v>
      </c>
      <c r="L231" s="12" t="s">
        <v>58</v>
      </c>
      <c r="M231" s="12" t="s">
        <v>79</v>
      </c>
      <c r="N231" s="12" t="s">
        <v>26</v>
      </c>
      <c r="O231" s="5">
        <v>3432</v>
      </c>
    </row>
    <row r="232" spans="11:15">
      <c r="K232" s="12" t="s">
        <v>488</v>
      </c>
      <c r="L232" s="12" t="s">
        <v>58</v>
      </c>
      <c r="M232" s="12" t="s">
        <v>63</v>
      </c>
      <c r="N232" s="12" t="s">
        <v>52</v>
      </c>
      <c r="O232" s="5">
        <v>10314</v>
      </c>
    </row>
    <row r="233" spans="11:15">
      <c r="K233" s="12" t="s">
        <v>490</v>
      </c>
      <c r="L233" s="12" t="s">
        <v>170</v>
      </c>
      <c r="M233" s="12" t="s">
        <v>51</v>
      </c>
      <c r="N233" s="12" t="s">
        <v>52</v>
      </c>
      <c r="O233" s="5">
        <v>2404</v>
      </c>
    </row>
    <row r="234" spans="11:15">
      <c r="K234" s="12" t="s">
        <v>492</v>
      </c>
      <c r="L234" s="12" t="s">
        <v>75</v>
      </c>
      <c r="M234" s="12" t="s">
        <v>34</v>
      </c>
      <c r="N234" s="12" t="s">
        <v>35</v>
      </c>
      <c r="O234" s="5">
        <v>79388</v>
      </c>
    </row>
    <row r="235" spans="11:15">
      <c r="K235" s="12" t="s">
        <v>494</v>
      </c>
      <c r="L235" s="12" t="s">
        <v>122</v>
      </c>
      <c r="M235" s="12" t="s">
        <v>130</v>
      </c>
      <c r="N235" s="12" t="s">
        <v>35</v>
      </c>
      <c r="O235" s="5">
        <v>199074</v>
      </c>
    </row>
    <row r="236" spans="11:15">
      <c r="K236" s="12" t="s">
        <v>495</v>
      </c>
      <c r="L236" s="12" t="s">
        <v>45</v>
      </c>
      <c r="M236" s="12" t="s">
        <v>130</v>
      </c>
      <c r="N236" s="12" t="s">
        <v>35</v>
      </c>
      <c r="O236" s="5">
        <v>232746</v>
      </c>
    </row>
    <row r="237" spans="11:15">
      <c r="K237" s="12" t="s">
        <v>496</v>
      </c>
      <c r="L237" s="12" t="s">
        <v>146</v>
      </c>
      <c r="M237" s="12" t="s">
        <v>109</v>
      </c>
      <c r="N237" s="12" t="s">
        <v>52</v>
      </c>
      <c r="O237" s="5">
        <v>6232</v>
      </c>
    </row>
    <row r="238" spans="11:15">
      <c r="K238" s="12" t="s">
        <v>497</v>
      </c>
      <c r="L238" s="12" t="s">
        <v>133</v>
      </c>
      <c r="M238" s="12" t="s">
        <v>147</v>
      </c>
      <c r="N238" s="12" t="s">
        <v>52</v>
      </c>
      <c r="O238" s="5">
        <v>1275</v>
      </c>
    </row>
    <row r="239" spans="11:15">
      <c r="K239" s="12" t="s">
        <v>498</v>
      </c>
      <c r="L239" s="12" t="s">
        <v>40</v>
      </c>
      <c r="M239" s="12" t="s">
        <v>69</v>
      </c>
      <c r="N239" s="12" t="s">
        <v>26</v>
      </c>
      <c r="O239" s="5">
        <v>16056</v>
      </c>
    </row>
    <row r="240" spans="11:15">
      <c r="K240" s="12" t="s">
        <v>499</v>
      </c>
      <c r="L240" s="12" t="s">
        <v>15</v>
      </c>
      <c r="M240" s="12" t="s">
        <v>16</v>
      </c>
      <c r="N240" s="12" t="s">
        <v>17</v>
      </c>
      <c r="O240" s="5">
        <v>3204</v>
      </c>
    </row>
    <row r="241" spans="11:15">
      <c r="K241" s="12" t="s">
        <v>500</v>
      </c>
      <c r="L241" s="12" t="s">
        <v>40</v>
      </c>
      <c r="M241" s="12" t="s">
        <v>147</v>
      </c>
      <c r="N241" s="12" t="s">
        <v>52</v>
      </c>
      <c r="O241" s="5">
        <v>6168</v>
      </c>
    </row>
    <row r="242" spans="11:15">
      <c r="K242" s="12" t="s">
        <v>501</v>
      </c>
      <c r="L242" s="12" t="s">
        <v>179</v>
      </c>
      <c r="M242" s="12" t="s">
        <v>90</v>
      </c>
      <c r="N242" s="12" t="s">
        <v>42</v>
      </c>
      <c r="O242" s="5">
        <v>1417</v>
      </c>
    </row>
    <row r="243" spans="11:15">
      <c r="K243" s="12" t="s">
        <v>502</v>
      </c>
      <c r="L243" s="12" t="s">
        <v>75</v>
      </c>
      <c r="M243" s="12" t="s">
        <v>109</v>
      </c>
      <c r="N243" s="12" t="s">
        <v>52</v>
      </c>
      <c r="O243" s="5">
        <v>12104</v>
      </c>
    </row>
    <row r="244" spans="11:15">
      <c r="K244" s="12" t="s">
        <v>504</v>
      </c>
      <c r="L244" s="12" t="s">
        <v>58</v>
      </c>
      <c r="M244" s="12" t="s">
        <v>97</v>
      </c>
      <c r="N244" s="12" t="s">
        <v>35</v>
      </c>
      <c r="O244" s="5">
        <v>111030</v>
      </c>
    </row>
    <row r="245" spans="11:15">
      <c r="K245" s="12" t="s">
        <v>506</v>
      </c>
      <c r="L245" s="12" t="s">
        <v>78</v>
      </c>
      <c r="M245" s="12" t="s">
        <v>218</v>
      </c>
      <c r="N245" s="12" t="s">
        <v>17</v>
      </c>
      <c r="O245" s="5">
        <v>10549</v>
      </c>
    </row>
    <row r="246" spans="11:15">
      <c r="K246" s="12" t="s">
        <v>508</v>
      </c>
      <c r="L246" s="12" t="s">
        <v>68</v>
      </c>
      <c r="M246" s="12" t="s">
        <v>46</v>
      </c>
      <c r="N246" s="12" t="s">
        <v>42</v>
      </c>
      <c r="O246" s="5">
        <v>37653</v>
      </c>
    </row>
    <row r="247" spans="11:15">
      <c r="K247" s="12" t="s">
        <v>509</v>
      </c>
      <c r="L247" s="12" t="s">
        <v>170</v>
      </c>
      <c r="M247" s="12" t="s">
        <v>63</v>
      </c>
      <c r="N247" s="12" t="s">
        <v>52</v>
      </c>
      <c r="O247" s="5">
        <v>570</v>
      </c>
    </row>
    <row r="248" spans="11:15">
      <c r="K248" s="12" t="s">
        <v>511</v>
      </c>
      <c r="L248" s="12" t="s">
        <v>68</v>
      </c>
      <c r="M248" s="12" t="s">
        <v>90</v>
      </c>
      <c r="N248" s="12" t="s">
        <v>42</v>
      </c>
      <c r="O248" s="5">
        <v>4806</v>
      </c>
    </row>
    <row r="249" spans="11:15">
      <c r="K249" s="12" t="s">
        <v>512</v>
      </c>
      <c r="L249" s="12" t="s">
        <v>58</v>
      </c>
      <c r="M249" s="12" t="s">
        <v>25</v>
      </c>
      <c r="N249" s="12" t="s">
        <v>26</v>
      </c>
      <c r="O249" s="5">
        <v>10254</v>
      </c>
    </row>
    <row r="250" spans="11:15">
      <c r="K250" s="12" t="s">
        <v>513</v>
      </c>
      <c r="L250" s="12" t="s">
        <v>125</v>
      </c>
      <c r="M250" s="12" t="s">
        <v>109</v>
      </c>
      <c r="N250" s="12" t="s">
        <v>52</v>
      </c>
      <c r="O250" s="5">
        <v>5685</v>
      </c>
    </row>
    <row r="251" spans="11:15">
      <c r="K251" s="12" t="s">
        <v>515</v>
      </c>
      <c r="L251" s="12" t="s">
        <v>170</v>
      </c>
      <c r="M251" s="12" t="s">
        <v>130</v>
      </c>
      <c r="N251" s="12" t="s">
        <v>35</v>
      </c>
      <c r="O251" s="5">
        <v>161890</v>
      </c>
    </row>
    <row r="252" spans="11:15">
      <c r="K252" s="12" t="s">
        <v>517</v>
      </c>
      <c r="L252" s="12" t="s">
        <v>40</v>
      </c>
      <c r="M252" s="12" t="s">
        <v>51</v>
      </c>
      <c r="N252" s="12" t="s">
        <v>52</v>
      </c>
      <c r="O252" s="5">
        <v>16555</v>
      </c>
    </row>
    <row r="253" spans="11:15">
      <c r="K253" s="12" t="s">
        <v>518</v>
      </c>
      <c r="L253" s="12" t="s">
        <v>179</v>
      </c>
      <c r="M253" s="12" t="s">
        <v>25</v>
      </c>
      <c r="N253" s="12" t="s">
        <v>26</v>
      </c>
      <c r="O253" s="5">
        <v>33112</v>
      </c>
    </row>
    <row r="254" spans="11:15">
      <c r="K254" s="12" t="s">
        <v>520</v>
      </c>
      <c r="L254" s="12" t="s">
        <v>125</v>
      </c>
      <c r="M254" s="12" t="s">
        <v>69</v>
      </c>
      <c r="N254" s="12" t="s">
        <v>26</v>
      </c>
      <c r="O254" s="5">
        <v>17616</v>
      </c>
    </row>
    <row r="255" spans="11:15">
      <c r="K255" s="12" t="s">
        <v>522</v>
      </c>
      <c r="L255" s="12" t="s">
        <v>122</v>
      </c>
      <c r="M255" s="12" t="s">
        <v>109</v>
      </c>
      <c r="N255" s="12" t="s">
        <v>52</v>
      </c>
      <c r="O255" s="5">
        <v>724</v>
      </c>
    </row>
    <row r="256" spans="11:15">
      <c r="K256" s="12" t="s">
        <v>524</v>
      </c>
      <c r="L256" s="12" t="s">
        <v>122</v>
      </c>
      <c r="M256" s="12" t="s">
        <v>97</v>
      </c>
      <c r="N256" s="12" t="s">
        <v>35</v>
      </c>
      <c r="O256" s="5">
        <v>64640</v>
      </c>
    </row>
    <row r="257" spans="11:15">
      <c r="K257" s="12" t="s">
        <v>526</v>
      </c>
      <c r="L257" s="12" t="s">
        <v>58</v>
      </c>
      <c r="M257" s="12" t="s">
        <v>90</v>
      </c>
      <c r="N257" s="12" t="s">
        <v>42</v>
      </c>
      <c r="O257" s="5">
        <v>25400</v>
      </c>
    </row>
    <row r="258" spans="11:15">
      <c r="K258" s="12" t="s">
        <v>528</v>
      </c>
      <c r="L258" s="12" t="s">
        <v>103</v>
      </c>
      <c r="M258" s="12" t="s">
        <v>59</v>
      </c>
      <c r="N258" s="12" t="s">
        <v>26</v>
      </c>
      <c r="O258" s="5">
        <v>22590</v>
      </c>
    </row>
    <row r="259" spans="11:15">
      <c r="K259" s="12" t="s">
        <v>529</v>
      </c>
      <c r="L259" s="12" t="s">
        <v>103</v>
      </c>
      <c r="M259" s="12" t="s">
        <v>63</v>
      </c>
      <c r="N259" s="12" t="s">
        <v>52</v>
      </c>
      <c r="O259" s="5">
        <v>10913</v>
      </c>
    </row>
    <row r="260" spans="11:15">
      <c r="K260" s="12" t="s">
        <v>531</v>
      </c>
      <c r="L260" s="12" t="s">
        <v>78</v>
      </c>
      <c r="M260" s="12" t="s">
        <v>86</v>
      </c>
      <c r="N260" s="12" t="s">
        <v>17</v>
      </c>
      <c r="O260" s="5">
        <v>6820</v>
      </c>
    </row>
    <row r="261" spans="11:15">
      <c r="K261" s="12" t="s">
        <v>532</v>
      </c>
      <c r="L261" s="12" t="s">
        <v>133</v>
      </c>
      <c r="M261" s="12" t="s">
        <v>159</v>
      </c>
      <c r="N261" s="12" t="s">
        <v>42</v>
      </c>
      <c r="O261" s="5">
        <v>7560</v>
      </c>
    </row>
    <row r="262" spans="11:15">
      <c r="K262" s="12" t="s">
        <v>534</v>
      </c>
      <c r="L262" s="12" t="s">
        <v>112</v>
      </c>
      <c r="M262" s="12" t="s">
        <v>59</v>
      </c>
      <c r="N262" s="12" t="s">
        <v>26</v>
      </c>
      <c r="O262" s="5">
        <v>21936</v>
      </c>
    </row>
    <row r="263" spans="11:15">
      <c r="K263" s="12" t="s">
        <v>535</v>
      </c>
      <c r="L263" s="12" t="s">
        <v>75</v>
      </c>
      <c r="M263" s="12" t="s">
        <v>41</v>
      </c>
      <c r="N263" s="12" t="s">
        <v>42</v>
      </c>
      <c r="O263" s="5">
        <v>16092</v>
      </c>
    </row>
    <row r="264" spans="11:15">
      <c r="K264" s="12" t="s">
        <v>537</v>
      </c>
      <c r="L264" s="12" t="s">
        <v>72</v>
      </c>
      <c r="M264" s="12" t="s">
        <v>113</v>
      </c>
      <c r="N264" s="12" t="s">
        <v>35</v>
      </c>
      <c r="O264" s="5">
        <v>196792</v>
      </c>
    </row>
    <row r="265" spans="11:15">
      <c r="K265" s="12" t="s">
        <v>539</v>
      </c>
      <c r="L265" s="12" t="s">
        <v>112</v>
      </c>
      <c r="M265" s="12" t="s">
        <v>90</v>
      </c>
      <c r="N265" s="12" t="s">
        <v>42</v>
      </c>
      <c r="O265" s="5">
        <v>16331</v>
      </c>
    </row>
    <row r="266" spans="11:15">
      <c r="K266" s="12" t="s">
        <v>540</v>
      </c>
      <c r="L266" s="12" t="s">
        <v>75</v>
      </c>
      <c r="M266" s="12" t="s">
        <v>63</v>
      </c>
      <c r="N266" s="12" t="s">
        <v>52</v>
      </c>
      <c r="O266" s="5">
        <v>4668</v>
      </c>
    </row>
    <row r="267" spans="11:15">
      <c r="K267" s="12" t="s">
        <v>541</v>
      </c>
      <c r="L267" s="12" t="s">
        <v>15</v>
      </c>
      <c r="M267" s="12" t="s">
        <v>46</v>
      </c>
      <c r="N267" s="12" t="s">
        <v>42</v>
      </c>
      <c r="O267" s="5">
        <v>6729</v>
      </c>
    </row>
    <row r="268" spans="11:15">
      <c r="K268" s="12" t="s">
        <v>542</v>
      </c>
      <c r="L268" s="12" t="s">
        <v>45</v>
      </c>
      <c r="M268" s="12" t="s">
        <v>147</v>
      </c>
      <c r="N268" s="12" t="s">
        <v>52</v>
      </c>
      <c r="O268" s="5">
        <v>5253</v>
      </c>
    </row>
    <row r="269" spans="11:15">
      <c r="K269" s="12" t="s">
        <v>544</v>
      </c>
      <c r="L269" s="12" t="s">
        <v>15</v>
      </c>
      <c r="M269" s="12" t="s">
        <v>16</v>
      </c>
      <c r="N269" s="12" t="s">
        <v>17</v>
      </c>
      <c r="O269" s="5">
        <v>8624</v>
      </c>
    </row>
    <row r="270" spans="11:15">
      <c r="K270" s="12" t="s">
        <v>546</v>
      </c>
      <c r="L270" s="12" t="s">
        <v>125</v>
      </c>
      <c r="M270" s="12" t="s">
        <v>59</v>
      </c>
      <c r="N270" s="12" t="s">
        <v>26</v>
      </c>
      <c r="O270" s="5">
        <v>8184</v>
      </c>
    </row>
    <row r="271" spans="11:15">
      <c r="K271" s="12" t="s">
        <v>548</v>
      </c>
      <c r="L271" s="12" t="s">
        <v>170</v>
      </c>
      <c r="M271" s="12" t="s">
        <v>79</v>
      </c>
      <c r="N271" s="12" t="s">
        <v>26</v>
      </c>
      <c r="O271" s="5">
        <v>62524</v>
      </c>
    </row>
    <row r="272" spans="11:15">
      <c r="K272" s="12" t="s">
        <v>550</v>
      </c>
      <c r="L272" s="12" t="s">
        <v>146</v>
      </c>
      <c r="M272" s="12" t="s">
        <v>16</v>
      </c>
      <c r="N272" s="12" t="s">
        <v>17</v>
      </c>
      <c r="O272" s="5">
        <v>4840</v>
      </c>
    </row>
    <row r="273" spans="11:15">
      <c r="K273" s="12" t="s">
        <v>551</v>
      </c>
      <c r="L273" s="12" t="s">
        <v>15</v>
      </c>
      <c r="M273" s="12" t="s">
        <v>16</v>
      </c>
      <c r="N273" s="12" t="s">
        <v>17</v>
      </c>
      <c r="O273" s="5">
        <v>895</v>
      </c>
    </row>
    <row r="274" spans="11:15">
      <c r="K274" s="12" t="s">
        <v>552</v>
      </c>
      <c r="L274" s="12" t="s">
        <v>103</v>
      </c>
      <c r="M274" s="12" t="s">
        <v>97</v>
      </c>
      <c r="N274" s="12" t="s">
        <v>35</v>
      </c>
      <c r="O274" s="5">
        <v>237105</v>
      </c>
    </row>
    <row r="275" spans="11:15">
      <c r="K275" s="12" t="s">
        <v>553</v>
      </c>
      <c r="L275" s="12" t="s">
        <v>24</v>
      </c>
      <c r="M275" s="12" t="s">
        <v>147</v>
      </c>
      <c r="N275" s="12" t="s">
        <v>52</v>
      </c>
      <c r="O275" s="5">
        <v>674</v>
      </c>
    </row>
    <row r="276" spans="11:15">
      <c r="K276" s="12" t="s">
        <v>554</v>
      </c>
      <c r="L276" s="12" t="s">
        <v>170</v>
      </c>
      <c r="M276" s="12" t="s">
        <v>25</v>
      </c>
      <c r="N276" s="12" t="s">
        <v>26</v>
      </c>
      <c r="O276" s="5">
        <v>24060</v>
      </c>
    </row>
    <row r="277" spans="11:15">
      <c r="K277" s="12" t="s">
        <v>556</v>
      </c>
      <c r="L277" s="12" t="s">
        <v>15</v>
      </c>
      <c r="M277" s="12" t="s">
        <v>25</v>
      </c>
      <c r="N277" s="12" t="s">
        <v>26</v>
      </c>
      <c r="O277" s="5">
        <v>39788</v>
      </c>
    </row>
    <row r="278" spans="11:15">
      <c r="K278" s="12" t="s">
        <v>558</v>
      </c>
      <c r="L278" s="12" t="s">
        <v>50</v>
      </c>
      <c r="M278" s="12" t="s">
        <v>159</v>
      </c>
      <c r="N278" s="12" t="s">
        <v>42</v>
      </c>
      <c r="O278" s="5">
        <v>23824</v>
      </c>
    </row>
    <row r="279" spans="11:15">
      <c r="K279" s="12" t="s">
        <v>560</v>
      </c>
      <c r="L279" s="12" t="s">
        <v>133</v>
      </c>
      <c r="M279" s="12" t="s">
        <v>90</v>
      </c>
      <c r="N279" s="12" t="s">
        <v>42</v>
      </c>
      <c r="O279" s="5">
        <v>38192</v>
      </c>
    </row>
    <row r="280" spans="11:15">
      <c r="K280" s="12" t="s">
        <v>562</v>
      </c>
      <c r="L280" s="12" t="s">
        <v>170</v>
      </c>
      <c r="M280" s="12" t="s">
        <v>59</v>
      </c>
      <c r="N280" s="12" t="s">
        <v>26</v>
      </c>
      <c r="O280" s="5">
        <v>6756</v>
      </c>
    </row>
    <row r="281" spans="11:15">
      <c r="K281" s="12" t="s">
        <v>563</v>
      </c>
      <c r="L281" s="12" t="s">
        <v>68</v>
      </c>
      <c r="M281" s="12" t="s">
        <v>41</v>
      </c>
      <c r="N281" s="12" t="s">
        <v>42</v>
      </c>
      <c r="O281" s="5">
        <v>23560</v>
      </c>
    </row>
    <row r="282" spans="11:15">
      <c r="K282" s="12" t="s">
        <v>565</v>
      </c>
      <c r="L282" s="12" t="s">
        <v>170</v>
      </c>
      <c r="M282" s="12" t="s">
        <v>51</v>
      </c>
      <c r="N282" s="12" t="s">
        <v>52</v>
      </c>
      <c r="O282" s="5">
        <v>5260</v>
      </c>
    </row>
    <row r="283" spans="11:15">
      <c r="K283" s="12" t="s">
        <v>566</v>
      </c>
      <c r="L283" s="12" t="s">
        <v>78</v>
      </c>
      <c r="M283" s="12" t="s">
        <v>25</v>
      </c>
      <c r="N283" s="12" t="s">
        <v>26</v>
      </c>
      <c r="O283" s="5">
        <v>6968</v>
      </c>
    </row>
    <row r="284" spans="11:15">
      <c r="K284" s="12" t="s">
        <v>567</v>
      </c>
      <c r="L284" s="12" t="s">
        <v>103</v>
      </c>
      <c r="M284" s="12" t="s">
        <v>79</v>
      </c>
      <c r="N284" s="12" t="s">
        <v>26</v>
      </c>
      <c r="O284" s="5">
        <v>15318</v>
      </c>
    </row>
    <row r="285" spans="11:15">
      <c r="K285" s="12" t="s">
        <v>568</v>
      </c>
      <c r="L285" s="12" t="s">
        <v>179</v>
      </c>
      <c r="M285" s="12" t="s">
        <v>159</v>
      </c>
      <c r="N285" s="12" t="s">
        <v>42</v>
      </c>
      <c r="O285" s="5">
        <v>36309</v>
      </c>
    </row>
    <row r="286" spans="11:15">
      <c r="K286" s="12" t="s">
        <v>569</v>
      </c>
      <c r="L286" s="12" t="s">
        <v>78</v>
      </c>
      <c r="M286" s="12" t="s">
        <v>63</v>
      </c>
      <c r="N286" s="12" t="s">
        <v>52</v>
      </c>
      <c r="O286" s="5">
        <v>4332</v>
      </c>
    </row>
    <row r="287" spans="11:15">
      <c r="K287" s="12" t="s">
        <v>571</v>
      </c>
      <c r="L287" s="12" t="s">
        <v>40</v>
      </c>
      <c r="M287" s="12" t="s">
        <v>25</v>
      </c>
      <c r="N287" s="12" t="s">
        <v>26</v>
      </c>
      <c r="O287" s="5">
        <v>36218</v>
      </c>
    </row>
    <row r="288" spans="11:15">
      <c r="K288" s="12" t="s">
        <v>572</v>
      </c>
      <c r="L288" s="12" t="s">
        <v>78</v>
      </c>
      <c r="M288" s="12" t="s">
        <v>218</v>
      </c>
      <c r="N288" s="12" t="s">
        <v>17</v>
      </c>
      <c r="O288" s="5">
        <v>1034</v>
      </c>
    </row>
    <row r="289" spans="11:15">
      <c r="K289" s="12" t="s">
        <v>574</v>
      </c>
      <c r="L289" s="12" t="s">
        <v>45</v>
      </c>
      <c r="M289" s="12" t="s">
        <v>116</v>
      </c>
      <c r="N289" s="12" t="s">
        <v>17</v>
      </c>
      <c r="O289" s="5">
        <v>11921</v>
      </c>
    </row>
    <row r="290" spans="11:15">
      <c r="K290" s="12" t="s">
        <v>575</v>
      </c>
      <c r="L290" s="12" t="s">
        <v>50</v>
      </c>
      <c r="M290" s="12" t="s">
        <v>79</v>
      </c>
      <c r="N290" s="12" t="s">
        <v>26</v>
      </c>
      <c r="O290" s="5">
        <v>18235</v>
      </c>
    </row>
    <row r="291" spans="11:15">
      <c r="K291" s="12" t="s">
        <v>577</v>
      </c>
      <c r="L291" s="12" t="s">
        <v>33</v>
      </c>
      <c r="M291" s="12" t="s">
        <v>59</v>
      </c>
      <c r="N291" s="12" t="s">
        <v>26</v>
      </c>
      <c r="O291" s="5">
        <v>25320</v>
      </c>
    </row>
    <row r="292" spans="11:15">
      <c r="K292" s="12" t="s">
        <v>578</v>
      </c>
      <c r="L292" s="12" t="s">
        <v>133</v>
      </c>
      <c r="M292" s="12" t="s">
        <v>59</v>
      </c>
      <c r="N292" s="12" t="s">
        <v>26</v>
      </c>
      <c r="O292" s="5">
        <v>22872</v>
      </c>
    </row>
    <row r="293" spans="11:15">
      <c r="K293" s="12" t="s">
        <v>580</v>
      </c>
      <c r="L293" s="12" t="s">
        <v>68</v>
      </c>
      <c r="M293" s="12" t="s">
        <v>34</v>
      </c>
      <c r="N293" s="12" t="s">
        <v>35</v>
      </c>
      <c r="O293" s="5">
        <v>245874</v>
      </c>
    </row>
    <row r="294" spans="11:15">
      <c r="K294" s="12" t="s">
        <v>582</v>
      </c>
      <c r="L294" s="12" t="s">
        <v>112</v>
      </c>
      <c r="M294" s="12" t="s">
        <v>63</v>
      </c>
      <c r="N294" s="12" t="s">
        <v>52</v>
      </c>
      <c r="O294" s="5">
        <v>4284</v>
      </c>
    </row>
    <row r="295" spans="11:15">
      <c r="K295" s="12" t="s">
        <v>584</v>
      </c>
      <c r="L295" s="12" t="s">
        <v>75</v>
      </c>
      <c r="M295" s="12" t="s">
        <v>218</v>
      </c>
      <c r="N295" s="12" t="s">
        <v>17</v>
      </c>
      <c r="O295" s="5">
        <v>3824</v>
      </c>
    </row>
    <row r="296" spans="11:15">
      <c r="K296" s="12" t="s">
        <v>586</v>
      </c>
      <c r="L296" s="12" t="s">
        <v>75</v>
      </c>
      <c r="M296" s="12" t="s">
        <v>86</v>
      </c>
      <c r="N296" s="12" t="s">
        <v>17</v>
      </c>
      <c r="O296" s="5">
        <v>11368</v>
      </c>
    </row>
    <row r="297" spans="11:15">
      <c r="K297" s="12" t="s">
        <v>588</v>
      </c>
      <c r="L297" s="12" t="s">
        <v>15</v>
      </c>
      <c r="M297" s="12" t="s">
        <v>165</v>
      </c>
      <c r="N297" s="12" t="s">
        <v>35</v>
      </c>
      <c r="O297" s="5">
        <v>213440</v>
      </c>
    </row>
    <row r="298" spans="11:15">
      <c r="K298" s="12" t="s">
        <v>590</v>
      </c>
      <c r="L298" s="12" t="s">
        <v>45</v>
      </c>
      <c r="M298" s="12" t="s">
        <v>25</v>
      </c>
      <c r="N298" s="12" t="s">
        <v>26</v>
      </c>
      <c r="O298" s="5">
        <v>2538</v>
      </c>
    </row>
    <row r="299" spans="11:15">
      <c r="K299" s="12" t="s">
        <v>591</v>
      </c>
      <c r="L299" s="12" t="s">
        <v>72</v>
      </c>
      <c r="M299" s="12" t="s">
        <v>90</v>
      </c>
      <c r="N299" s="12" t="s">
        <v>42</v>
      </c>
      <c r="O299" s="5">
        <v>2501</v>
      </c>
    </row>
    <row r="300" spans="11:15">
      <c r="K300" s="12" t="s">
        <v>592</v>
      </c>
      <c r="L300" s="12" t="s">
        <v>179</v>
      </c>
      <c r="M300" s="12" t="s">
        <v>79</v>
      </c>
      <c r="N300" s="12" t="s">
        <v>26</v>
      </c>
      <c r="O300" s="5">
        <v>2194</v>
      </c>
    </row>
    <row r="301" spans="11:15">
      <c r="K301" s="12" t="s">
        <v>594</v>
      </c>
      <c r="L301" s="12" t="s">
        <v>78</v>
      </c>
      <c r="M301" s="12" t="s">
        <v>63</v>
      </c>
      <c r="N301" s="12" t="s">
        <v>52</v>
      </c>
      <c r="O301" s="5">
        <v>3595</v>
      </c>
    </row>
    <row r="302" spans="11:15">
      <c r="K302" s="12" t="s">
        <v>596</v>
      </c>
      <c r="L302" s="12" t="s">
        <v>179</v>
      </c>
      <c r="M302" s="12" t="s">
        <v>113</v>
      </c>
      <c r="N302" s="12" t="s">
        <v>35</v>
      </c>
      <c r="O302" s="5">
        <v>154440</v>
      </c>
    </row>
    <row r="303" spans="11:15">
      <c r="K303" s="12" t="s">
        <v>598</v>
      </c>
      <c r="L303" s="12" t="s">
        <v>24</v>
      </c>
      <c r="M303" s="12" t="s">
        <v>165</v>
      </c>
      <c r="N303" s="12" t="s">
        <v>35</v>
      </c>
      <c r="O303" s="5">
        <v>383140</v>
      </c>
    </row>
    <row r="304" spans="11:15">
      <c r="K304" s="12" t="s">
        <v>600</v>
      </c>
      <c r="L304" s="12" t="s">
        <v>125</v>
      </c>
      <c r="M304" s="12" t="s">
        <v>51</v>
      </c>
      <c r="N304" s="12" t="s">
        <v>52</v>
      </c>
      <c r="O304" s="5">
        <v>9648</v>
      </c>
    </row>
    <row r="305" spans="11:15">
      <c r="K305" s="12" t="s">
        <v>601</v>
      </c>
      <c r="L305" s="12" t="s">
        <v>112</v>
      </c>
      <c r="M305" s="12" t="s">
        <v>25</v>
      </c>
      <c r="N305" s="12" t="s">
        <v>26</v>
      </c>
      <c r="O305" s="5">
        <v>6156</v>
      </c>
    </row>
    <row r="306" spans="11:15">
      <c r="K306" s="12" t="s">
        <v>602</v>
      </c>
      <c r="L306" s="12" t="s">
        <v>72</v>
      </c>
      <c r="M306" s="12" t="s">
        <v>79</v>
      </c>
      <c r="N306" s="12" t="s">
        <v>26</v>
      </c>
      <c r="O306" s="5">
        <v>33965</v>
      </c>
    </row>
    <row r="307" spans="11:15">
      <c r="K307" s="12" t="s">
        <v>604</v>
      </c>
      <c r="L307" s="12" t="s">
        <v>125</v>
      </c>
      <c r="M307" s="12" t="s">
        <v>165</v>
      </c>
      <c r="N307" s="12" t="s">
        <v>35</v>
      </c>
      <c r="O307" s="5">
        <v>279552</v>
      </c>
    </row>
    <row r="308" spans="11:15">
      <c r="K308" s="12" t="s">
        <v>606</v>
      </c>
      <c r="L308" s="12" t="s">
        <v>50</v>
      </c>
      <c r="M308" s="12" t="s">
        <v>159</v>
      </c>
      <c r="N308" s="12" t="s">
        <v>42</v>
      </c>
      <c r="O308" s="5">
        <v>11965</v>
      </c>
    </row>
    <row r="309" spans="11:15">
      <c r="K309" s="12" t="s">
        <v>607</v>
      </c>
      <c r="L309" s="12" t="s">
        <v>58</v>
      </c>
      <c r="M309" s="12" t="s">
        <v>218</v>
      </c>
      <c r="N309" s="12" t="s">
        <v>17</v>
      </c>
      <c r="O309" s="5">
        <v>4195</v>
      </c>
    </row>
    <row r="310" spans="11:15">
      <c r="K310" s="12" t="s">
        <v>608</v>
      </c>
      <c r="L310" s="12" t="s">
        <v>146</v>
      </c>
      <c r="M310" s="12" t="s">
        <v>159</v>
      </c>
      <c r="N310" s="12" t="s">
        <v>42</v>
      </c>
      <c r="O310" s="5">
        <v>32543</v>
      </c>
    </row>
    <row r="311" spans="11:15">
      <c r="K311" s="12" t="s">
        <v>609</v>
      </c>
      <c r="L311" s="12" t="s">
        <v>170</v>
      </c>
      <c r="M311" s="12" t="s">
        <v>59</v>
      </c>
      <c r="N311" s="12" t="s">
        <v>26</v>
      </c>
      <c r="O311" s="5">
        <v>8214</v>
      </c>
    </row>
    <row r="312" spans="11:15">
      <c r="K312" s="12" t="s">
        <v>610</v>
      </c>
      <c r="L312" s="12" t="s">
        <v>72</v>
      </c>
      <c r="M312" s="12" t="s">
        <v>90</v>
      </c>
      <c r="N312" s="12" t="s">
        <v>42</v>
      </c>
      <c r="O312" s="5">
        <v>8088</v>
      </c>
    </row>
    <row r="313" spans="11:15">
      <c r="K313" s="12" t="s">
        <v>612</v>
      </c>
      <c r="L313" s="12" t="s">
        <v>75</v>
      </c>
      <c r="M313" s="12" t="s">
        <v>86</v>
      </c>
      <c r="N313" s="12" t="s">
        <v>17</v>
      </c>
      <c r="O313" s="5">
        <v>4074</v>
      </c>
    </row>
    <row r="314" spans="11:15">
      <c r="K314" s="12" t="s">
        <v>613</v>
      </c>
      <c r="L314" s="12" t="s">
        <v>24</v>
      </c>
      <c r="M314" s="12" t="s">
        <v>159</v>
      </c>
      <c r="N314" s="12" t="s">
        <v>42</v>
      </c>
      <c r="O314" s="5">
        <v>15323</v>
      </c>
    </row>
    <row r="315" spans="11:15">
      <c r="K315" s="12" t="s">
        <v>614</v>
      </c>
      <c r="L315" s="12" t="s">
        <v>72</v>
      </c>
      <c r="M315" s="12" t="s">
        <v>25</v>
      </c>
      <c r="N315" s="12" t="s">
        <v>26</v>
      </c>
      <c r="O315" s="5">
        <v>28805</v>
      </c>
    </row>
    <row r="316" spans="11:15">
      <c r="K316" s="12" t="s">
        <v>616</v>
      </c>
      <c r="L316" s="12" t="s">
        <v>112</v>
      </c>
      <c r="M316" s="12" t="s">
        <v>41</v>
      </c>
      <c r="N316" s="12" t="s">
        <v>42</v>
      </c>
      <c r="O316" s="5">
        <v>11286</v>
      </c>
    </row>
    <row r="317" spans="11:15">
      <c r="K317" s="12" t="s">
        <v>617</v>
      </c>
      <c r="L317" s="12" t="s">
        <v>125</v>
      </c>
      <c r="M317" s="12" t="s">
        <v>69</v>
      </c>
      <c r="N317" s="12" t="s">
        <v>26</v>
      </c>
      <c r="O317" s="5">
        <v>19200</v>
      </c>
    </row>
    <row r="318" spans="11:15">
      <c r="K318" s="12" t="s">
        <v>618</v>
      </c>
      <c r="L318" s="12" t="s">
        <v>179</v>
      </c>
      <c r="M318" s="12" t="s">
        <v>69</v>
      </c>
      <c r="N318" s="12" t="s">
        <v>26</v>
      </c>
      <c r="O318" s="5">
        <v>10920</v>
      </c>
    </row>
    <row r="319" spans="11:15">
      <c r="K319" s="12" t="s">
        <v>620</v>
      </c>
      <c r="L319" s="12" t="s">
        <v>50</v>
      </c>
      <c r="M319" s="12" t="s">
        <v>113</v>
      </c>
      <c r="N319" s="12" t="s">
        <v>35</v>
      </c>
      <c r="O319" s="5">
        <v>257243</v>
      </c>
    </row>
    <row r="320" spans="11:15">
      <c r="K320" s="12" t="s">
        <v>621</v>
      </c>
      <c r="L320" s="12" t="s">
        <v>122</v>
      </c>
      <c r="M320" s="12" t="s">
        <v>109</v>
      </c>
      <c r="N320" s="12" t="s">
        <v>52</v>
      </c>
      <c r="O320" s="5">
        <v>12048</v>
      </c>
    </row>
    <row r="321" spans="11:15">
      <c r="K321" s="12" t="s">
        <v>623</v>
      </c>
      <c r="L321" s="12" t="s">
        <v>75</v>
      </c>
      <c r="M321" s="12" t="s">
        <v>51</v>
      </c>
      <c r="N321" s="12" t="s">
        <v>52</v>
      </c>
      <c r="O321" s="5">
        <v>1843</v>
      </c>
    </row>
    <row r="322" spans="11:15">
      <c r="K322" s="12" t="s">
        <v>625</v>
      </c>
      <c r="L322" s="12" t="s">
        <v>24</v>
      </c>
      <c r="M322" s="12" t="s">
        <v>113</v>
      </c>
      <c r="N322" s="12" t="s">
        <v>35</v>
      </c>
      <c r="O322" s="5">
        <v>55013</v>
      </c>
    </row>
    <row r="323" spans="11:15">
      <c r="K323" s="12" t="s">
        <v>627</v>
      </c>
      <c r="L323" s="12" t="s">
        <v>33</v>
      </c>
      <c r="M323" s="12" t="s">
        <v>86</v>
      </c>
      <c r="N323" s="12" t="s">
        <v>17</v>
      </c>
      <c r="O323" s="5">
        <v>3490</v>
      </c>
    </row>
    <row r="324" spans="11:15">
      <c r="K324" s="12" t="s">
        <v>628</v>
      </c>
      <c r="L324" s="12" t="s">
        <v>75</v>
      </c>
      <c r="M324" s="12" t="s">
        <v>147</v>
      </c>
      <c r="N324" s="12" t="s">
        <v>52</v>
      </c>
      <c r="O324" s="5">
        <v>13076</v>
      </c>
    </row>
    <row r="325" spans="11:15">
      <c r="K325" s="12" t="s">
        <v>629</v>
      </c>
      <c r="L325" s="12" t="s">
        <v>78</v>
      </c>
      <c r="M325" s="12" t="s">
        <v>130</v>
      </c>
      <c r="N325" s="12" t="s">
        <v>35</v>
      </c>
      <c r="O325" s="5">
        <v>311416</v>
      </c>
    </row>
    <row r="326" spans="11:15">
      <c r="K326" s="12" t="s">
        <v>631</v>
      </c>
      <c r="L326" s="12" t="s">
        <v>146</v>
      </c>
      <c r="M326" s="12" t="s">
        <v>218</v>
      </c>
      <c r="N326" s="12" t="s">
        <v>17</v>
      </c>
      <c r="O326" s="5">
        <v>8605</v>
      </c>
    </row>
    <row r="327" spans="11:15">
      <c r="K327" s="12" t="s">
        <v>632</v>
      </c>
      <c r="L327" s="12" t="s">
        <v>103</v>
      </c>
      <c r="M327" s="12" t="s">
        <v>41</v>
      </c>
      <c r="N327" s="12" t="s">
        <v>42</v>
      </c>
      <c r="O327" s="5">
        <v>6572</v>
      </c>
    </row>
    <row r="328" spans="11:15">
      <c r="K328" s="12" t="s">
        <v>633</v>
      </c>
      <c r="L328" s="12" t="s">
        <v>125</v>
      </c>
      <c r="M328" s="12" t="s">
        <v>46</v>
      </c>
      <c r="N328" s="12" t="s">
        <v>42</v>
      </c>
      <c r="O328" s="5">
        <v>7470</v>
      </c>
    </row>
    <row r="329" spans="11:15">
      <c r="K329" s="12" t="s">
        <v>634</v>
      </c>
      <c r="L329" s="12" t="s">
        <v>75</v>
      </c>
      <c r="M329" s="12" t="s">
        <v>109</v>
      </c>
      <c r="N329" s="12" t="s">
        <v>52</v>
      </c>
      <c r="O329" s="5">
        <v>5088</v>
      </c>
    </row>
    <row r="330" spans="11:15">
      <c r="K330" s="12" t="s">
        <v>636</v>
      </c>
      <c r="L330" s="12" t="s">
        <v>50</v>
      </c>
      <c r="M330" s="12" t="s">
        <v>25</v>
      </c>
      <c r="N330" s="12" t="s">
        <v>26</v>
      </c>
      <c r="O330" s="5">
        <v>31806</v>
      </c>
    </row>
    <row r="331" spans="11:15">
      <c r="K331" s="12" t="s">
        <v>638</v>
      </c>
      <c r="L331" s="12" t="s">
        <v>170</v>
      </c>
      <c r="M331" s="12" t="s">
        <v>69</v>
      </c>
      <c r="N331" s="12" t="s">
        <v>26</v>
      </c>
      <c r="O331" s="5">
        <v>8290</v>
      </c>
    </row>
    <row r="332" spans="11:15">
      <c r="K332" s="12" t="s">
        <v>639</v>
      </c>
      <c r="L332" s="12" t="s">
        <v>103</v>
      </c>
      <c r="M332" s="12" t="s">
        <v>51</v>
      </c>
      <c r="N332" s="12" t="s">
        <v>52</v>
      </c>
      <c r="O332" s="5">
        <v>3462</v>
      </c>
    </row>
    <row r="333" spans="11:15">
      <c r="K333" s="12" t="s">
        <v>641</v>
      </c>
      <c r="L333" s="12" t="s">
        <v>58</v>
      </c>
      <c r="M333" s="12" t="s">
        <v>51</v>
      </c>
      <c r="N333" s="12" t="s">
        <v>52</v>
      </c>
      <c r="O333" s="5">
        <v>7096</v>
      </c>
    </row>
    <row r="334" spans="11:15">
      <c r="K334" s="12" t="s">
        <v>642</v>
      </c>
      <c r="L334" s="12" t="s">
        <v>133</v>
      </c>
      <c r="M334" s="12" t="s">
        <v>34</v>
      </c>
      <c r="N334" s="12" t="s">
        <v>35</v>
      </c>
      <c r="O334" s="5">
        <v>151312</v>
      </c>
    </row>
    <row r="335" spans="11:15">
      <c r="K335" s="12" t="s">
        <v>643</v>
      </c>
      <c r="L335" s="12" t="s">
        <v>68</v>
      </c>
      <c r="M335" s="12" t="s">
        <v>46</v>
      </c>
      <c r="N335" s="12" t="s">
        <v>42</v>
      </c>
      <c r="O335" s="5">
        <v>1191</v>
      </c>
    </row>
    <row r="336" spans="11:15">
      <c r="K336" s="12" t="s">
        <v>644</v>
      </c>
      <c r="L336" s="12" t="s">
        <v>58</v>
      </c>
      <c r="M336" s="12" t="s">
        <v>130</v>
      </c>
      <c r="N336" s="12" t="s">
        <v>35</v>
      </c>
      <c r="O336" s="5">
        <v>282350</v>
      </c>
    </row>
    <row r="337" spans="11:15">
      <c r="K337" s="12" t="s">
        <v>645</v>
      </c>
      <c r="L337" s="12" t="s">
        <v>24</v>
      </c>
      <c r="M337" s="12" t="s">
        <v>130</v>
      </c>
      <c r="N337" s="12" t="s">
        <v>35</v>
      </c>
      <c r="O337" s="5">
        <v>419576</v>
      </c>
    </row>
    <row r="338" spans="11:15">
      <c r="K338" s="12" t="s">
        <v>647</v>
      </c>
      <c r="L338" s="12" t="s">
        <v>45</v>
      </c>
      <c r="M338" s="12" t="s">
        <v>69</v>
      </c>
      <c r="N338" s="12" t="s">
        <v>26</v>
      </c>
      <c r="O338" s="5">
        <v>11982</v>
      </c>
    </row>
    <row r="339" spans="11:15">
      <c r="K339" s="12" t="s">
        <v>648</v>
      </c>
      <c r="L339" s="12" t="s">
        <v>75</v>
      </c>
      <c r="M339" s="12" t="s">
        <v>46</v>
      </c>
      <c r="N339" s="12" t="s">
        <v>42</v>
      </c>
      <c r="O339" s="5">
        <v>7112</v>
      </c>
    </row>
    <row r="340" spans="11:15">
      <c r="K340" s="12" t="s">
        <v>649</v>
      </c>
      <c r="L340" s="12" t="s">
        <v>68</v>
      </c>
      <c r="M340" s="12" t="s">
        <v>16</v>
      </c>
      <c r="N340" s="12" t="s">
        <v>17</v>
      </c>
      <c r="O340" s="5">
        <v>11384</v>
      </c>
    </row>
    <row r="341" spans="11:15">
      <c r="K341" s="12" t="s">
        <v>650</v>
      </c>
      <c r="L341" s="12" t="s">
        <v>15</v>
      </c>
      <c r="M341" s="12" t="s">
        <v>46</v>
      </c>
      <c r="N341" s="12" t="s">
        <v>42</v>
      </c>
      <c r="O341" s="5">
        <v>6940</v>
      </c>
    </row>
    <row r="342" spans="11:15">
      <c r="K342" s="12" t="s">
        <v>651</v>
      </c>
      <c r="L342" s="12" t="s">
        <v>58</v>
      </c>
      <c r="M342" s="12" t="s">
        <v>90</v>
      </c>
      <c r="N342" s="12" t="s">
        <v>42</v>
      </c>
      <c r="O342" s="5">
        <v>25585</v>
      </c>
    </row>
    <row r="343" spans="11:15">
      <c r="K343" s="12" t="s">
        <v>653</v>
      </c>
      <c r="L343" s="12" t="s">
        <v>112</v>
      </c>
      <c r="M343" s="12" t="s">
        <v>159</v>
      </c>
      <c r="N343" s="12" t="s">
        <v>42</v>
      </c>
      <c r="O343" s="5">
        <v>22624</v>
      </c>
    </row>
    <row r="344" spans="11:15">
      <c r="K344" s="12" t="s">
        <v>654</v>
      </c>
      <c r="L344" s="12" t="s">
        <v>78</v>
      </c>
      <c r="M344" s="12" t="s">
        <v>41</v>
      </c>
      <c r="N344" s="12" t="s">
        <v>42</v>
      </c>
      <c r="O344" s="5">
        <v>33808</v>
      </c>
    </row>
    <row r="345" spans="11:15">
      <c r="K345" s="12" t="s">
        <v>655</v>
      </c>
      <c r="L345" s="12" t="s">
        <v>112</v>
      </c>
      <c r="M345" s="12" t="s">
        <v>69</v>
      </c>
      <c r="N345" s="12" t="s">
        <v>26</v>
      </c>
      <c r="O345" s="5">
        <v>20432</v>
      </c>
    </row>
    <row r="346" spans="11:15">
      <c r="K346" s="12" t="s">
        <v>657</v>
      </c>
      <c r="L346" s="12" t="s">
        <v>103</v>
      </c>
      <c r="M346" s="12" t="s">
        <v>59</v>
      </c>
      <c r="N346" s="12" t="s">
        <v>26</v>
      </c>
      <c r="O346" s="5">
        <v>10432</v>
      </c>
    </row>
    <row r="347" spans="11:15">
      <c r="K347" s="12" t="s">
        <v>658</v>
      </c>
      <c r="L347" s="12" t="s">
        <v>15</v>
      </c>
      <c r="M347" s="12" t="s">
        <v>113</v>
      </c>
      <c r="N347" s="12" t="s">
        <v>35</v>
      </c>
      <c r="O347" s="5">
        <v>26871</v>
      </c>
    </row>
    <row r="348" spans="11:15">
      <c r="K348" s="12" t="s">
        <v>659</v>
      </c>
      <c r="L348" s="12" t="s">
        <v>170</v>
      </c>
      <c r="M348" s="12" t="s">
        <v>116</v>
      </c>
      <c r="N348" s="12" t="s">
        <v>17</v>
      </c>
      <c r="O348" s="5">
        <v>6960</v>
      </c>
    </row>
    <row r="349" spans="11:15">
      <c r="K349" s="12" t="s">
        <v>661</v>
      </c>
      <c r="L349" s="12" t="s">
        <v>50</v>
      </c>
      <c r="M349" s="12" t="s">
        <v>97</v>
      </c>
      <c r="N349" s="12" t="s">
        <v>35</v>
      </c>
      <c r="O349" s="5">
        <v>282224</v>
      </c>
    </row>
    <row r="350" spans="11:15">
      <c r="K350" s="12" t="s">
        <v>662</v>
      </c>
      <c r="L350" s="12" t="s">
        <v>78</v>
      </c>
      <c r="M350" s="12" t="s">
        <v>51</v>
      </c>
      <c r="N350" s="12" t="s">
        <v>52</v>
      </c>
      <c r="O350" s="5">
        <v>7372</v>
      </c>
    </row>
    <row r="351" spans="11:15">
      <c r="K351" s="12" t="s">
        <v>664</v>
      </c>
      <c r="L351" s="12" t="s">
        <v>24</v>
      </c>
      <c r="M351" s="12" t="s">
        <v>46</v>
      </c>
      <c r="N351" s="12" t="s">
        <v>42</v>
      </c>
      <c r="O351" s="5">
        <v>15798</v>
      </c>
    </row>
    <row r="352" spans="11:15">
      <c r="K352" s="12" t="s">
        <v>665</v>
      </c>
      <c r="L352" s="12" t="s">
        <v>45</v>
      </c>
      <c r="M352" s="12" t="s">
        <v>147</v>
      </c>
      <c r="N352" s="12" t="s">
        <v>52</v>
      </c>
      <c r="O352" s="5">
        <v>7072</v>
      </c>
    </row>
    <row r="353" spans="11:15">
      <c r="K353" s="12" t="s">
        <v>667</v>
      </c>
      <c r="L353" s="12" t="s">
        <v>146</v>
      </c>
      <c r="M353" s="12" t="s">
        <v>34</v>
      </c>
      <c r="N353" s="12" t="s">
        <v>35</v>
      </c>
      <c r="O353" s="5">
        <v>65994</v>
      </c>
    </row>
    <row r="354" spans="11:15">
      <c r="K354" s="12" t="s">
        <v>669</v>
      </c>
      <c r="L354" s="12" t="s">
        <v>179</v>
      </c>
      <c r="M354" s="12" t="s">
        <v>46</v>
      </c>
      <c r="N354" s="12" t="s">
        <v>42</v>
      </c>
      <c r="O354" s="5">
        <v>26395</v>
      </c>
    </row>
    <row r="355" spans="11:15">
      <c r="K355" s="12" t="s">
        <v>671</v>
      </c>
      <c r="L355" s="12" t="s">
        <v>146</v>
      </c>
      <c r="M355" s="12" t="s">
        <v>97</v>
      </c>
      <c r="N355" s="12" t="s">
        <v>35</v>
      </c>
      <c r="O355" s="5">
        <v>68457</v>
      </c>
    </row>
    <row r="356" spans="11:15">
      <c r="K356" s="12" t="s">
        <v>672</v>
      </c>
      <c r="L356" s="12" t="s">
        <v>78</v>
      </c>
      <c r="M356" s="12" t="s">
        <v>218</v>
      </c>
      <c r="N356" s="12" t="s">
        <v>17</v>
      </c>
      <c r="O356" s="5">
        <v>3824</v>
      </c>
    </row>
    <row r="357" spans="11:15">
      <c r="K357" s="12" t="s">
        <v>674</v>
      </c>
      <c r="L357" s="12" t="s">
        <v>68</v>
      </c>
      <c r="M357" s="12" t="s">
        <v>46</v>
      </c>
      <c r="N357" s="12" t="s">
        <v>42</v>
      </c>
      <c r="O357" s="5">
        <v>3526</v>
      </c>
    </row>
    <row r="358" spans="11:15">
      <c r="K358" s="12" t="s">
        <v>676</v>
      </c>
      <c r="L358" s="12" t="s">
        <v>15</v>
      </c>
      <c r="M358" s="12" t="s">
        <v>116</v>
      </c>
      <c r="N358" s="12" t="s">
        <v>17</v>
      </c>
      <c r="O358" s="5">
        <v>11008</v>
      </c>
    </row>
    <row r="359" spans="11:15">
      <c r="K359" s="12" t="s">
        <v>677</v>
      </c>
      <c r="L359" s="12" t="s">
        <v>40</v>
      </c>
      <c r="M359" s="12" t="s">
        <v>41</v>
      </c>
      <c r="N359" s="12" t="s">
        <v>42</v>
      </c>
      <c r="O359" s="5">
        <v>20139</v>
      </c>
    </row>
    <row r="360" spans="11:15">
      <c r="K360" s="12" t="s">
        <v>678</v>
      </c>
      <c r="L360" s="12" t="s">
        <v>78</v>
      </c>
      <c r="M360" s="12" t="s">
        <v>86</v>
      </c>
      <c r="N360" s="12" t="s">
        <v>17</v>
      </c>
      <c r="O360" s="5">
        <v>4816</v>
      </c>
    </row>
    <row r="361" spans="11:15">
      <c r="K361" s="12" t="s">
        <v>679</v>
      </c>
      <c r="L361" s="12" t="s">
        <v>24</v>
      </c>
      <c r="M361" s="12" t="s">
        <v>59</v>
      </c>
      <c r="N361" s="12" t="s">
        <v>26</v>
      </c>
      <c r="O361" s="5">
        <v>30040</v>
      </c>
    </row>
    <row r="362" spans="11:15">
      <c r="K362" s="12" t="s">
        <v>680</v>
      </c>
      <c r="L362" s="12" t="s">
        <v>50</v>
      </c>
      <c r="M362" s="12" t="s">
        <v>165</v>
      </c>
      <c r="N362" s="12" t="s">
        <v>35</v>
      </c>
      <c r="O362" s="5">
        <v>269370</v>
      </c>
    </row>
    <row r="363" spans="11:15">
      <c r="K363" s="12" t="s">
        <v>682</v>
      </c>
      <c r="L363" s="12" t="s">
        <v>15</v>
      </c>
      <c r="M363" s="12" t="s">
        <v>90</v>
      </c>
      <c r="N363" s="12" t="s">
        <v>42</v>
      </c>
      <c r="O363" s="5">
        <v>5580</v>
      </c>
    </row>
    <row r="364" spans="11:15">
      <c r="K364" s="12" t="s">
        <v>683</v>
      </c>
      <c r="L364" s="12" t="s">
        <v>146</v>
      </c>
      <c r="M364" s="12" t="s">
        <v>113</v>
      </c>
      <c r="N364" s="12" t="s">
        <v>35</v>
      </c>
      <c r="O364" s="5">
        <v>377090</v>
      </c>
    </row>
    <row r="365" spans="11:15">
      <c r="K365" s="12" t="s">
        <v>684</v>
      </c>
      <c r="L365" s="12" t="s">
        <v>75</v>
      </c>
      <c r="M365" s="12" t="s">
        <v>130</v>
      </c>
      <c r="N365" s="12" t="s">
        <v>35</v>
      </c>
      <c r="O365" s="5">
        <v>167444</v>
      </c>
    </row>
    <row r="366" spans="11:15">
      <c r="K366" s="12" t="s">
        <v>685</v>
      </c>
      <c r="L366" s="12" t="s">
        <v>170</v>
      </c>
      <c r="M366" s="12" t="s">
        <v>51</v>
      </c>
      <c r="N366" s="12" t="s">
        <v>52</v>
      </c>
      <c r="O366" s="5">
        <v>2960</v>
      </c>
    </row>
    <row r="367" spans="11:15">
      <c r="K367" s="12" t="s">
        <v>686</v>
      </c>
      <c r="L367" s="12" t="s">
        <v>170</v>
      </c>
      <c r="M367" s="12" t="s">
        <v>86</v>
      </c>
      <c r="N367" s="12" t="s">
        <v>17</v>
      </c>
      <c r="O367" s="5">
        <v>1598</v>
      </c>
    </row>
    <row r="368" spans="11:15">
      <c r="K368" s="12" t="s">
        <v>688</v>
      </c>
      <c r="L368" s="12" t="s">
        <v>125</v>
      </c>
      <c r="M368" s="12" t="s">
        <v>116</v>
      </c>
      <c r="N368" s="12" t="s">
        <v>17</v>
      </c>
      <c r="O368" s="5">
        <v>1508</v>
      </c>
    </row>
    <row r="369" spans="11:15">
      <c r="K369" s="12" t="s">
        <v>689</v>
      </c>
      <c r="L369" s="12" t="s">
        <v>58</v>
      </c>
      <c r="M369" s="12" t="s">
        <v>113</v>
      </c>
      <c r="N369" s="12" t="s">
        <v>35</v>
      </c>
      <c r="O369" s="5">
        <v>141239</v>
      </c>
    </row>
    <row r="370" spans="11:15">
      <c r="K370" s="12" t="s">
        <v>691</v>
      </c>
      <c r="L370" s="12" t="s">
        <v>170</v>
      </c>
      <c r="M370" s="12" t="s">
        <v>218</v>
      </c>
      <c r="N370" s="12" t="s">
        <v>17</v>
      </c>
      <c r="O370" s="5">
        <v>10212</v>
      </c>
    </row>
    <row r="371" spans="11:15">
      <c r="K371" s="12" t="s">
        <v>693</v>
      </c>
      <c r="L371" s="12" t="s">
        <v>72</v>
      </c>
      <c r="M371" s="12" t="s">
        <v>109</v>
      </c>
      <c r="N371" s="12" t="s">
        <v>52</v>
      </c>
      <c r="O371" s="5">
        <v>6776</v>
      </c>
    </row>
    <row r="372" spans="11:15">
      <c r="K372" s="12" t="s">
        <v>694</v>
      </c>
      <c r="L372" s="12" t="s">
        <v>170</v>
      </c>
      <c r="M372" s="12" t="s">
        <v>86</v>
      </c>
      <c r="N372" s="12" t="s">
        <v>17</v>
      </c>
      <c r="O372" s="5">
        <v>2667</v>
      </c>
    </row>
    <row r="373" spans="11:15">
      <c r="K373" s="12" t="s">
        <v>695</v>
      </c>
      <c r="L373" s="12" t="s">
        <v>103</v>
      </c>
      <c r="M373" s="12" t="s">
        <v>59</v>
      </c>
      <c r="N373" s="12" t="s">
        <v>26</v>
      </c>
      <c r="O373" s="5">
        <v>82808</v>
      </c>
    </row>
    <row r="374" spans="11:15">
      <c r="K374" s="12" t="s">
        <v>696</v>
      </c>
      <c r="L374" s="12" t="s">
        <v>68</v>
      </c>
      <c r="M374" s="12" t="s">
        <v>109</v>
      </c>
      <c r="N374" s="12" t="s">
        <v>52</v>
      </c>
      <c r="O374" s="5">
        <v>2272</v>
      </c>
    </row>
    <row r="375" spans="11:15">
      <c r="K375" s="12" t="s">
        <v>698</v>
      </c>
      <c r="L375" s="12" t="s">
        <v>78</v>
      </c>
      <c r="M375" s="12" t="s">
        <v>51</v>
      </c>
      <c r="N375" s="12" t="s">
        <v>52</v>
      </c>
      <c r="O375" s="5">
        <v>4470</v>
      </c>
    </row>
    <row r="376" spans="11:15">
      <c r="K376" s="12" t="s">
        <v>699</v>
      </c>
      <c r="L376" s="12" t="s">
        <v>122</v>
      </c>
      <c r="M376" s="12" t="s">
        <v>109</v>
      </c>
      <c r="N376" s="12" t="s">
        <v>52</v>
      </c>
      <c r="O376" s="5">
        <v>7144</v>
      </c>
    </row>
    <row r="377" spans="11:15">
      <c r="K377" s="12" t="s">
        <v>700</v>
      </c>
      <c r="L377" s="12" t="s">
        <v>112</v>
      </c>
      <c r="M377" s="12" t="s">
        <v>97</v>
      </c>
      <c r="N377" s="12" t="s">
        <v>35</v>
      </c>
      <c r="O377" s="5">
        <v>236490</v>
      </c>
    </row>
    <row r="378" spans="11:15">
      <c r="K378" s="12" t="s">
        <v>701</v>
      </c>
      <c r="L378" s="12" t="s">
        <v>58</v>
      </c>
      <c r="M378" s="12" t="s">
        <v>63</v>
      </c>
      <c r="N378" s="12" t="s">
        <v>52</v>
      </c>
      <c r="O378" s="5">
        <v>7990</v>
      </c>
    </row>
    <row r="379" spans="11:15">
      <c r="K379" s="12" t="s">
        <v>703</v>
      </c>
      <c r="L379" s="12" t="s">
        <v>24</v>
      </c>
      <c r="M379" s="12" t="s">
        <v>165</v>
      </c>
      <c r="N379" s="12" t="s">
        <v>35</v>
      </c>
      <c r="O379" s="5">
        <v>308798</v>
      </c>
    </row>
    <row r="380" spans="11:15">
      <c r="K380" s="12" t="s">
        <v>704</v>
      </c>
      <c r="L380" s="12" t="s">
        <v>45</v>
      </c>
      <c r="M380" s="12" t="s">
        <v>97</v>
      </c>
      <c r="N380" s="12" t="s">
        <v>35</v>
      </c>
      <c r="O380" s="5">
        <v>112085</v>
      </c>
    </row>
    <row r="381" spans="11:15">
      <c r="K381" s="12" t="s">
        <v>706</v>
      </c>
      <c r="L381" s="12" t="s">
        <v>129</v>
      </c>
      <c r="M381" s="12" t="s">
        <v>79</v>
      </c>
      <c r="N381" s="12" t="s">
        <v>26</v>
      </c>
      <c r="O381" s="5">
        <v>9030</v>
      </c>
    </row>
    <row r="382" spans="11:15">
      <c r="K382" s="12" t="s">
        <v>707</v>
      </c>
      <c r="L382" s="12" t="s">
        <v>179</v>
      </c>
      <c r="M382" s="12" t="s">
        <v>159</v>
      </c>
      <c r="N382" s="12" t="s">
        <v>42</v>
      </c>
      <c r="O382" s="5">
        <v>3288</v>
      </c>
    </row>
    <row r="383" spans="11:15">
      <c r="K383" s="12" t="s">
        <v>709</v>
      </c>
      <c r="L383" s="12" t="s">
        <v>170</v>
      </c>
      <c r="M383" s="12" t="s">
        <v>90</v>
      </c>
      <c r="N383" s="12" t="s">
        <v>42</v>
      </c>
      <c r="O383" s="5">
        <v>24096</v>
      </c>
    </row>
    <row r="384" spans="11:15">
      <c r="K384" s="12" t="s">
        <v>710</v>
      </c>
      <c r="L384" s="12" t="s">
        <v>179</v>
      </c>
      <c r="M384" s="12" t="s">
        <v>90</v>
      </c>
      <c r="N384" s="12" t="s">
        <v>42</v>
      </c>
      <c r="O384" s="5">
        <v>4084</v>
      </c>
    </row>
    <row r="385" spans="11:15">
      <c r="K385" s="12" t="s">
        <v>711</v>
      </c>
      <c r="L385" s="12" t="s">
        <v>146</v>
      </c>
      <c r="M385" s="12" t="s">
        <v>130</v>
      </c>
      <c r="N385" s="12" t="s">
        <v>35</v>
      </c>
      <c r="O385" s="5">
        <v>248592</v>
      </c>
    </row>
    <row r="386" spans="11:15">
      <c r="K386" s="12" t="s">
        <v>712</v>
      </c>
      <c r="L386" s="12" t="s">
        <v>146</v>
      </c>
      <c r="M386" s="12" t="s">
        <v>79</v>
      </c>
      <c r="N386" s="12" t="s">
        <v>26</v>
      </c>
      <c r="O386" s="5">
        <v>57631</v>
      </c>
    </row>
    <row r="387" spans="11:15">
      <c r="K387" s="12" t="s">
        <v>714</v>
      </c>
      <c r="L387" s="12" t="s">
        <v>50</v>
      </c>
      <c r="M387" s="12" t="s">
        <v>147</v>
      </c>
      <c r="N387" s="12" t="s">
        <v>52</v>
      </c>
      <c r="O387" s="5">
        <v>4180</v>
      </c>
    </row>
    <row r="388" spans="11:15">
      <c r="K388" s="12" t="s">
        <v>715</v>
      </c>
      <c r="L388" s="12" t="s">
        <v>40</v>
      </c>
      <c r="M388" s="12" t="s">
        <v>109</v>
      </c>
      <c r="N388" s="12" t="s">
        <v>52</v>
      </c>
      <c r="O388" s="5">
        <v>2526</v>
      </c>
    </row>
    <row r="389" spans="11:15">
      <c r="K389" s="12" t="s">
        <v>717</v>
      </c>
      <c r="L389" s="12" t="s">
        <v>122</v>
      </c>
      <c r="M389" s="12" t="s">
        <v>63</v>
      </c>
      <c r="N389" s="12" t="s">
        <v>52</v>
      </c>
      <c r="O389" s="5">
        <v>10640</v>
      </c>
    </row>
    <row r="390" spans="11:15">
      <c r="K390" s="12" t="s">
        <v>718</v>
      </c>
      <c r="L390" s="12" t="s">
        <v>33</v>
      </c>
      <c r="M390" s="12" t="s">
        <v>90</v>
      </c>
      <c r="N390" s="12" t="s">
        <v>42</v>
      </c>
      <c r="O390" s="5">
        <v>5777</v>
      </c>
    </row>
    <row r="391" spans="11:15">
      <c r="K391" s="12" t="s">
        <v>719</v>
      </c>
      <c r="L391" s="12" t="s">
        <v>24</v>
      </c>
      <c r="M391" s="12" t="s">
        <v>113</v>
      </c>
      <c r="N391" s="12" t="s">
        <v>35</v>
      </c>
      <c r="O391" s="5">
        <v>45899</v>
      </c>
    </row>
    <row r="392" spans="11:15">
      <c r="K392" s="12" t="s">
        <v>720</v>
      </c>
      <c r="L392" s="12" t="s">
        <v>40</v>
      </c>
      <c r="M392" s="12" t="s">
        <v>46</v>
      </c>
      <c r="N392" s="12" t="s">
        <v>42</v>
      </c>
      <c r="O392" s="5">
        <v>7608</v>
      </c>
    </row>
    <row r="393" spans="11:15">
      <c r="K393" s="12" t="s">
        <v>721</v>
      </c>
      <c r="L393" s="12" t="s">
        <v>125</v>
      </c>
      <c r="M393" s="12" t="s">
        <v>130</v>
      </c>
      <c r="N393" s="12" t="s">
        <v>35</v>
      </c>
      <c r="O393" s="5">
        <v>209300</v>
      </c>
    </row>
    <row r="394" spans="11:15">
      <c r="K394" s="12" t="s">
        <v>723</v>
      </c>
      <c r="L394" s="12" t="s">
        <v>45</v>
      </c>
      <c r="M394" s="12" t="s">
        <v>59</v>
      </c>
      <c r="N394" s="12" t="s">
        <v>26</v>
      </c>
      <c r="O394" s="5">
        <v>53724</v>
      </c>
    </row>
    <row r="395" spans="11:15">
      <c r="K395" s="12" t="s">
        <v>724</v>
      </c>
      <c r="L395" s="12" t="s">
        <v>129</v>
      </c>
      <c r="M395" s="12" t="s">
        <v>16</v>
      </c>
      <c r="N395" s="12" t="s">
        <v>17</v>
      </c>
      <c r="O395" s="5">
        <v>12640</v>
      </c>
    </row>
    <row r="396" spans="11:15">
      <c r="K396" s="12" t="s">
        <v>725</v>
      </c>
      <c r="L396" s="12" t="s">
        <v>170</v>
      </c>
      <c r="M396" s="12" t="s">
        <v>109</v>
      </c>
      <c r="N396" s="12" t="s">
        <v>52</v>
      </c>
      <c r="O396" s="5">
        <v>2958</v>
      </c>
    </row>
    <row r="397" spans="11:15">
      <c r="K397" s="12" t="s">
        <v>726</v>
      </c>
      <c r="L397" s="12" t="s">
        <v>146</v>
      </c>
      <c r="M397" s="12" t="s">
        <v>63</v>
      </c>
      <c r="N397" s="12" t="s">
        <v>52</v>
      </c>
      <c r="O397" s="5">
        <v>13272</v>
      </c>
    </row>
    <row r="398" spans="11:15">
      <c r="K398" s="12" t="s">
        <v>728</v>
      </c>
      <c r="L398" s="12" t="s">
        <v>129</v>
      </c>
      <c r="M398" s="12" t="s">
        <v>41</v>
      </c>
      <c r="N398" s="12" t="s">
        <v>42</v>
      </c>
      <c r="O398" s="5">
        <v>25445</v>
      </c>
    </row>
    <row r="399" spans="11:15">
      <c r="K399" s="12" t="s">
        <v>730</v>
      </c>
      <c r="L399" s="12" t="s">
        <v>170</v>
      </c>
      <c r="M399" s="12" t="s">
        <v>218</v>
      </c>
      <c r="N399" s="12" t="s">
        <v>17</v>
      </c>
      <c r="O399" s="5">
        <v>4407</v>
      </c>
    </row>
    <row r="400" spans="11:15">
      <c r="K400" s="12" t="s">
        <v>732</v>
      </c>
      <c r="L400" s="12" t="s">
        <v>129</v>
      </c>
      <c r="M400" s="12" t="s">
        <v>41</v>
      </c>
      <c r="N400" s="12" t="s">
        <v>42</v>
      </c>
      <c r="O400" s="5">
        <v>9880</v>
      </c>
    </row>
    <row r="401" spans="11:15">
      <c r="K401" s="12" t="s">
        <v>733</v>
      </c>
      <c r="L401" s="12" t="s">
        <v>68</v>
      </c>
      <c r="M401" s="12" t="s">
        <v>41</v>
      </c>
      <c r="N401" s="12" t="s">
        <v>42</v>
      </c>
      <c r="O401" s="5">
        <v>14967</v>
      </c>
    </row>
    <row r="402" spans="11:15">
      <c r="K402" s="12" t="s">
        <v>735</v>
      </c>
      <c r="L402" s="12" t="s">
        <v>68</v>
      </c>
      <c r="M402" s="12" t="s">
        <v>116</v>
      </c>
      <c r="N402" s="12" t="s">
        <v>17</v>
      </c>
      <c r="O402" s="5">
        <v>616</v>
      </c>
    </row>
    <row r="403" spans="11:15">
      <c r="K403" s="12" t="s">
        <v>736</v>
      </c>
      <c r="L403" s="12" t="s">
        <v>68</v>
      </c>
      <c r="M403" s="12" t="s">
        <v>59</v>
      </c>
      <c r="N403" s="12" t="s">
        <v>26</v>
      </c>
      <c r="O403" s="5">
        <v>21328</v>
      </c>
    </row>
    <row r="404" spans="11:15">
      <c r="K404" s="12" t="s">
        <v>738</v>
      </c>
      <c r="L404" s="12" t="s">
        <v>58</v>
      </c>
      <c r="M404" s="12" t="s">
        <v>113</v>
      </c>
      <c r="N404" s="12" t="s">
        <v>35</v>
      </c>
      <c r="O404" s="5">
        <v>96832</v>
      </c>
    </row>
    <row r="405" spans="11:15">
      <c r="K405" s="12" t="s">
        <v>740</v>
      </c>
      <c r="L405" s="12" t="s">
        <v>33</v>
      </c>
      <c r="M405" s="12" t="s">
        <v>165</v>
      </c>
      <c r="N405" s="12" t="s">
        <v>35</v>
      </c>
      <c r="O405" s="5">
        <v>50400</v>
      </c>
    </row>
    <row r="406" spans="11:15">
      <c r="K406" s="12" t="s">
        <v>741</v>
      </c>
      <c r="L406" s="12" t="s">
        <v>58</v>
      </c>
      <c r="M406" s="12" t="s">
        <v>51</v>
      </c>
      <c r="N406" s="12" t="s">
        <v>52</v>
      </c>
      <c r="O406" s="5">
        <v>9666</v>
      </c>
    </row>
    <row r="407" spans="11:15">
      <c r="K407" s="12" t="s">
        <v>742</v>
      </c>
      <c r="L407" s="12" t="s">
        <v>50</v>
      </c>
      <c r="M407" s="12" t="s">
        <v>116</v>
      </c>
      <c r="N407" s="12" t="s">
        <v>17</v>
      </c>
      <c r="O407" s="5">
        <v>10104</v>
      </c>
    </row>
    <row r="408" spans="11:15">
      <c r="K408" s="12" t="s">
        <v>744</v>
      </c>
      <c r="L408" s="12" t="s">
        <v>129</v>
      </c>
      <c r="M408" s="12" t="s">
        <v>90</v>
      </c>
      <c r="N408" s="12" t="s">
        <v>42</v>
      </c>
      <c r="O408" s="5">
        <v>9242</v>
      </c>
    </row>
    <row r="409" spans="11:15">
      <c r="K409" s="12" t="s">
        <v>745</v>
      </c>
      <c r="L409" s="12" t="s">
        <v>78</v>
      </c>
      <c r="M409" s="12" t="s">
        <v>41</v>
      </c>
      <c r="N409" s="12" t="s">
        <v>42</v>
      </c>
      <c r="O409" s="5">
        <v>7966</v>
      </c>
    </row>
    <row r="410" spans="11:15">
      <c r="K410" s="12" t="s">
        <v>746</v>
      </c>
      <c r="L410" s="12" t="s">
        <v>58</v>
      </c>
      <c r="M410" s="12" t="s">
        <v>218</v>
      </c>
      <c r="N410" s="12" t="s">
        <v>17</v>
      </c>
      <c r="O410" s="5">
        <v>8337</v>
      </c>
    </row>
    <row r="411" spans="11:15">
      <c r="K411" s="12" t="s">
        <v>747</v>
      </c>
      <c r="L411" s="12" t="s">
        <v>170</v>
      </c>
      <c r="M411" s="12" t="s">
        <v>165</v>
      </c>
      <c r="N411" s="12" t="s">
        <v>35</v>
      </c>
      <c r="O411" s="5">
        <v>445504</v>
      </c>
    </row>
    <row r="412" spans="11:15">
      <c r="K412" s="12" t="s">
        <v>748</v>
      </c>
      <c r="L412" s="12" t="s">
        <v>179</v>
      </c>
      <c r="M412" s="12" t="s">
        <v>63</v>
      </c>
      <c r="N412" s="12" t="s">
        <v>52</v>
      </c>
      <c r="O412" s="5">
        <v>861</v>
      </c>
    </row>
    <row r="413" spans="11:15">
      <c r="K413" s="12" t="s">
        <v>749</v>
      </c>
      <c r="L413" s="12" t="s">
        <v>33</v>
      </c>
      <c r="M413" s="12" t="s">
        <v>59</v>
      </c>
      <c r="N413" s="12" t="s">
        <v>26</v>
      </c>
      <c r="O413" s="5">
        <v>44532</v>
      </c>
    </row>
    <row r="414" spans="11:15">
      <c r="K414" s="12" t="s">
        <v>750</v>
      </c>
      <c r="L414" s="12" t="s">
        <v>50</v>
      </c>
      <c r="M414" s="12" t="s">
        <v>59</v>
      </c>
      <c r="N414" s="12" t="s">
        <v>26</v>
      </c>
      <c r="O414" s="5">
        <v>36295</v>
      </c>
    </row>
    <row r="415" spans="11:15">
      <c r="K415" s="12" t="s">
        <v>751</v>
      </c>
      <c r="L415" s="12" t="s">
        <v>72</v>
      </c>
      <c r="M415" s="12" t="s">
        <v>51</v>
      </c>
      <c r="N415" s="12" t="s">
        <v>52</v>
      </c>
      <c r="O415" s="5">
        <v>7300</v>
      </c>
    </row>
    <row r="416" spans="11:15">
      <c r="K416" s="12" t="s">
        <v>753</v>
      </c>
      <c r="L416" s="12" t="s">
        <v>45</v>
      </c>
      <c r="M416" s="12" t="s">
        <v>51</v>
      </c>
      <c r="N416" s="12" t="s">
        <v>52</v>
      </c>
      <c r="O416" s="5">
        <v>4172</v>
      </c>
    </row>
    <row r="417" spans="11:15">
      <c r="K417" s="12" t="s">
        <v>754</v>
      </c>
      <c r="L417" s="12" t="s">
        <v>112</v>
      </c>
      <c r="M417" s="12" t="s">
        <v>69</v>
      </c>
      <c r="N417" s="12" t="s">
        <v>26</v>
      </c>
      <c r="O417" s="5">
        <v>5526</v>
      </c>
    </row>
    <row r="418" spans="11:15">
      <c r="K418" s="12" t="s">
        <v>755</v>
      </c>
      <c r="L418" s="12" t="s">
        <v>72</v>
      </c>
      <c r="M418" s="12" t="s">
        <v>16</v>
      </c>
      <c r="N418" s="12" t="s">
        <v>17</v>
      </c>
      <c r="O418" s="5">
        <v>13944</v>
      </c>
    </row>
    <row r="419" spans="11:15">
      <c r="K419" s="12" t="s">
        <v>757</v>
      </c>
      <c r="L419" s="12" t="s">
        <v>45</v>
      </c>
      <c r="M419" s="12" t="s">
        <v>25</v>
      </c>
      <c r="N419" s="12" t="s">
        <v>26</v>
      </c>
      <c r="O419" s="5">
        <v>19268</v>
      </c>
    </row>
    <row r="420" spans="11:15">
      <c r="K420" s="12" t="s">
        <v>758</v>
      </c>
      <c r="L420" s="12" t="s">
        <v>45</v>
      </c>
      <c r="M420" s="12" t="s">
        <v>90</v>
      </c>
      <c r="N420" s="12" t="s">
        <v>42</v>
      </c>
      <c r="O420" s="5">
        <v>28728</v>
      </c>
    </row>
    <row r="421" spans="11:15">
      <c r="K421" s="12" t="s">
        <v>759</v>
      </c>
      <c r="L421" s="12" t="s">
        <v>72</v>
      </c>
      <c r="M421" s="12" t="s">
        <v>116</v>
      </c>
      <c r="N421" s="12" t="s">
        <v>17</v>
      </c>
      <c r="O421" s="5">
        <v>4419</v>
      </c>
    </row>
    <row r="422" spans="11:15">
      <c r="K422" s="12" t="s">
        <v>761</v>
      </c>
      <c r="L422" s="12" t="s">
        <v>146</v>
      </c>
      <c r="M422" s="12" t="s">
        <v>34</v>
      </c>
      <c r="N422" s="12" t="s">
        <v>35</v>
      </c>
      <c r="O422" s="5">
        <v>21805</v>
      </c>
    </row>
    <row r="423" spans="11:15">
      <c r="K423" s="12" t="s">
        <v>762</v>
      </c>
      <c r="L423" s="12" t="s">
        <v>50</v>
      </c>
      <c r="M423" s="12" t="s">
        <v>51</v>
      </c>
      <c r="N423" s="12" t="s">
        <v>52</v>
      </c>
      <c r="O423" s="5">
        <v>595</v>
      </c>
    </row>
    <row r="424" spans="11:15">
      <c r="K424" s="12" t="s">
        <v>764</v>
      </c>
      <c r="L424" s="12" t="s">
        <v>78</v>
      </c>
      <c r="M424" s="12" t="s">
        <v>109</v>
      </c>
      <c r="N424" s="12" t="s">
        <v>52</v>
      </c>
      <c r="O424" s="5">
        <v>2325</v>
      </c>
    </row>
    <row r="425" spans="11:15">
      <c r="K425" s="12" t="s">
        <v>765</v>
      </c>
      <c r="L425" s="12" t="s">
        <v>68</v>
      </c>
      <c r="M425" s="12" t="s">
        <v>46</v>
      </c>
      <c r="N425" s="12" t="s">
        <v>42</v>
      </c>
      <c r="O425" s="5">
        <v>26803</v>
      </c>
    </row>
    <row r="426" spans="11:15">
      <c r="K426" s="12" t="s">
        <v>766</v>
      </c>
      <c r="L426" s="12" t="s">
        <v>58</v>
      </c>
      <c r="M426" s="12" t="s">
        <v>59</v>
      </c>
      <c r="N426" s="12" t="s">
        <v>26</v>
      </c>
      <c r="O426" s="5">
        <v>36040</v>
      </c>
    </row>
    <row r="427" spans="11:15">
      <c r="K427" s="12" t="s">
        <v>767</v>
      </c>
      <c r="L427" s="12" t="s">
        <v>129</v>
      </c>
      <c r="M427" s="12" t="s">
        <v>165</v>
      </c>
      <c r="N427" s="12" t="s">
        <v>35</v>
      </c>
      <c r="O427" s="5">
        <v>56403</v>
      </c>
    </row>
    <row r="428" spans="11:15">
      <c r="K428" s="12" t="s">
        <v>768</v>
      </c>
      <c r="L428" s="12" t="s">
        <v>75</v>
      </c>
      <c r="M428" s="12" t="s">
        <v>147</v>
      </c>
      <c r="N428" s="12" t="s">
        <v>52</v>
      </c>
      <c r="O428" s="5">
        <v>2276</v>
      </c>
    </row>
    <row r="429" spans="11:15">
      <c r="K429" s="12" t="s">
        <v>769</v>
      </c>
      <c r="L429" s="12" t="s">
        <v>133</v>
      </c>
      <c r="M429" s="12" t="s">
        <v>79</v>
      </c>
      <c r="N429" s="12" t="s">
        <v>26</v>
      </c>
      <c r="O429" s="5">
        <v>33795</v>
      </c>
    </row>
    <row r="430" spans="11:15">
      <c r="K430" s="12" t="s">
        <v>770</v>
      </c>
      <c r="L430" s="12" t="s">
        <v>24</v>
      </c>
      <c r="M430" s="12" t="s">
        <v>147</v>
      </c>
      <c r="N430" s="12" t="s">
        <v>52</v>
      </c>
      <c r="O430" s="5">
        <v>1841</v>
      </c>
    </row>
    <row r="431" spans="11:15">
      <c r="K431" s="12" t="s">
        <v>771</v>
      </c>
      <c r="L431" s="12" t="s">
        <v>146</v>
      </c>
      <c r="M431" s="12" t="s">
        <v>51</v>
      </c>
      <c r="N431" s="12" t="s">
        <v>52</v>
      </c>
      <c r="O431" s="5">
        <v>6712</v>
      </c>
    </row>
    <row r="432" spans="11:15">
      <c r="K432" s="12" t="s">
        <v>772</v>
      </c>
      <c r="L432" s="12" t="s">
        <v>50</v>
      </c>
      <c r="M432" s="12" t="s">
        <v>16</v>
      </c>
      <c r="N432" s="12" t="s">
        <v>17</v>
      </c>
      <c r="O432" s="5">
        <v>6065</v>
      </c>
    </row>
    <row r="433" spans="11:15">
      <c r="K433" s="12" t="s">
        <v>773</v>
      </c>
      <c r="L433" s="12" t="s">
        <v>125</v>
      </c>
      <c r="M433" s="12" t="s">
        <v>41</v>
      </c>
      <c r="N433" s="12" t="s">
        <v>42</v>
      </c>
      <c r="O433" s="5">
        <v>10192</v>
      </c>
    </row>
    <row r="434" spans="11:15">
      <c r="K434" s="12" t="s">
        <v>774</v>
      </c>
      <c r="L434" s="12" t="s">
        <v>179</v>
      </c>
      <c r="M434" s="12" t="s">
        <v>97</v>
      </c>
      <c r="N434" s="12" t="s">
        <v>35</v>
      </c>
      <c r="O434" s="5">
        <v>94144</v>
      </c>
    </row>
    <row r="435" spans="11:15">
      <c r="K435" s="12" t="s">
        <v>775</v>
      </c>
      <c r="L435" s="12" t="s">
        <v>72</v>
      </c>
      <c r="M435" s="12" t="s">
        <v>109</v>
      </c>
      <c r="N435" s="12" t="s">
        <v>52</v>
      </c>
      <c r="O435" s="5">
        <v>12047</v>
      </c>
    </row>
    <row r="436" spans="11:15">
      <c r="K436" s="12" t="s">
        <v>776</v>
      </c>
      <c r="L436" s="12" t="s">
        <v>15</v>
      </c>
      <c r="M436" s="12" t="s">
        <v>79</v>
      </c>
      <c r="N436" s="12" t="s">
        <v>26</v>
      </c>
      <c r="O436" s="5">
        <v>66836</v>
      </c>
    </row>
    <row r="437" spans="11:15">
      <c r="K437" s="12" t="s">
        <v>777</v>
      </c>
      <c r="L437" s="12" t="s">
        <v>75</v>
      </c>
      <c r="M437" s="12" t="s">
        <v>113</v>
      </c>
      <c r="N437" s="12" t="s">
        <v>35</v>
      </c>
      <c r="O437" s="5">
        <v>125158</v>
      </c>
    </row>
    <row r="438" spans="11:15">
      <c r="K438" s="12" t="s">
        <v>778</v>
      </c>
      <c r="L438" s="12" t="s">
        <v>68</v>
      </c>
      <c r="M438" s="12" t="s">
        <v>116</v>
      </c>
      <c r="N438" s="12" t="s">
        <v>17</v>
      </c>
      <c r="O438" s="5">
        <v>797</v>
      </c>
    </row>
    <row r="439" spans="11:15">
      <c r="K439" s="12" t="s">
        <v>779</v>
      </c>
      <c r="L439" s="12" t="s">
        <v>58</v>
      </c>
      <c r="M439" s="12" t="s">
        <v>16</v>
      </c>
      <c r="N439" s="12" t="s">
        <v>17</v>
      </c>
      <c r="O439" s="5">
        <v>1716</v>
      </c>
    </row>
    <row r="440" spans="11:15">
      <c r="K440" s="12" t="s">
        <v>780</v>
      </c>
      <c r="L440" s="12" t="s">
        <v>129</v>
      </c>
      <c r="M440" s="12" t="s">
        <v>147</v>
      </c>
      <c r="N440" s="12" t="s">
        <v>52</v>
      </c>
      <c r="O440" s="5">
        <v>1524</v>
      </c>
    </row>
    <row r="441" spans="11:15">
      <c r="K441" s="12" t="s">
        <v>781</v>
      </c>
      <c r="L441" s="12" t="s">
        <v>24</v>
      </c>
      <c r="M441" s="12" t="s">
        <v>147</v>
      </c>
      <c r="N441" s="12" t="s">
        <v>52</v>
      </c>
      <c r="O441" s="5">
        <v>3580</v>
      </c>
    </row>
    <row r="442" spans="11:15">
      <c r="K442" s="12" t="s">
        <v>782</v>
      </c>
      <c r="L442" s="12" t="s">
        <v>45</v>
      </c>
      <c r="M442" s="12" t="s">
        <v>159</v>
      </c>
      <c r="N442" s="12" t="s">
        <v>42</v>
      </c>
      <c r="O442" s="5">
        <v>13167</v>
      </c>
    </row>
    <row r="443" spans="11:15">
      <c r="K443" s="12" t="s">
        <v>783</v>
      </c>
      <c r="L443" s="12" t="s">
        <v>45</v>
      </c>
      <c r="M443" s="12" t="s">
        <v>41</v>
      </c>
      <c r="N443" s="12" t="s">
        <v>42</v>
      </c>
      <c r="O443" s="5">
        <v>26340</v>
      </c>
    </row>
    <row r="444" spans="11:15">
      <c r="K444" s="12" t="s">
        <v>785</v>
      </c>
      <c r="L444" s="12" t="s">
        <v>33</v>
      </c>
      <c r="M444" s="12" t="s">
        <v>109</v>
      </c>
      <c r="N444" s="12" t="s">
        <v>52</v>
      </c>
      <c r="O444" s="5">
        <v>3444</v>
      </c>
    </row>
    <row r="445" spans="11:15">
      <c r="K445" s="12" t="s">
        <v>786</v>
      </c>
      <c r="L445" s="12" t="s">
        <v>24</v>
      </c>
      <c r="M445" s="12" t="s">
        <v>51</v>
      </c>
      <c r="N445" s="12" t="s">
        <v>52</v>
      </c>
      <c r="O445" s="5">
        <v>12636</v>
      </c>
    </row>
    <row r="446" spans="11:15">
      <c r="K446" s="12" t="s">
        <v>787</v>
      </c>
      <c r="L446" s="12" t="s">
        <v>122</v>
      </c>
      <c r="M446" s="12" t="s">
        <v>86</v>
      </c>
      <c r="N446" s="12" t="s">
        <v>17</v>
      </c>
      <c r="O446" s="5">
        <v>6948</v>
      </c>
    </row>
    <row r="447" spans="11:15">
      <c r="K447" s="12" t="s">
        <v>788</v>
      </c>
      <c r="L447" s="12" t="s">
        <v>24</v>
      </c>
      <c r="M447" s="12" t="s">
        <v>159</v>
      </c>
      <c r="N447" s="12" t="s">
        <v>42</v>
      </c>
      <c r="O447" s="5">
        <v>34160</v>
      </c>
    </row>
    <row r="448" spans="11:15">
      <c r="K448" s="12" t="s">
        <v>789</v>
      </c>
      <c r="L448" s="12" t="s">
        <v>103</v>
      </c>
      <c r="M448" s="12" t="s">
        <v>159</v>
      </c>
      <c r="N448" s="12" t="s">
        <v>42</v>
      </c>
      <c r="O448" s="5">
        <v>10452</v>
      </c>
    </row>
    <row r="449" spans="11:15">
      <c r="K449" s="12" t="s">
        <v>791</v>
      </c>
      <c r="L449" s="12" t="s">
        <v>58</v>
      </c>
      <c r="M449" s="12" t="s">
        <v>90</v>
      </c>
      <c r="N449" s="12" t="s">
        <v>42</v>
      </c>
      <c r="O449" s="5">
        <v>11904</v>
      </c>
    </row>
    <row r="450" spans="11:15">
      <c r="K450" s="12" t="s">
        <v>792</v>
      </c>
      <c r="L450" s="12" t="s">
        <v>58</v>
      </c>
      <c r="M450" s="12" t="s">
        <v>90</v>
      </c>
      <c r="N450" s="12" t="s">
        <v>42</v>
      </c>
      <c r="O450" s="5">
        <v>33656</v>
      </c>
    </row>
    <row r="451" spans="11:15">
      <c r="K451" s="12" t="s">
        <v>793</v>
      </c>
      <c r="L451" s="12" t="s">
        <v>146</v>
      </c>
      <c r="M451" s="12" t="s">
        <v>41</v>
      </c>
      <c r="N451" s="12" t="s">
        <v>42</v>
      </c>
      <c r="O451" s="5">
        <v>40400</v>
      </c>
    </row>
    <row r="452" spans="11:15">
      <c r="K452" s="12" t="s">
        <v>794</v>
      </c>
      <c r="L452" s="12" t="s">
        <v>15</v>
      </c>
      <c r="M452" s="12" t="s">
        <v>25</v>
      </c>
      <c r="N452" s="12" t="s">
        <v>26</v>
      </c>
      <c r="O452" s="5">
        <v>33012</v>
      </c>
    </row>
    <row r="453" spans="11:15">
      <c r="K453" s="12" t="s">
        <v>795</v>
      </c>
      <c r="L453" s="12" t="s">
        <v>75</v>
      </c>
      <c r="M453" s="12" t="s">
        <v>41</v>
      </c>
      <c r="N453" s="12" t="s">
        <v>42</v>
      </c>
      <c r="O453" s="5">
        <v>29872</v>
      </c>
    </row>
    <row r="454" spans="11:15">
      <c r="K454" s="12" t="s">
        <v>796</v>
      </c>
      <c r="L454" s="12" t="s">
        <v>33</v>
      </c>
      <c r="M454" s="12" t="s">
        <v>97</v>
      </c>
      <c r="N454" s="12" t="s">
        <v>35</v>
      </c>
      <c r="O454" s="5">
        <v>335296</v>
      </c>
    </row>
    <row r="455" spans="11:15">
      <c r="K455" s="12" t="s">
        <v>798</v>
      </c>
      <c r="L455" s="12" t="s">
        <v>78</v>
      </c>
      <c r="M455" s="12" t="s">
        <v>41</v>
      </c>
      <c r="N455" s="12" t="s">
        <v>42</v>
      </c>
      <c r="O455" s="5">
        <v>14262</v>
      </c>
    </row>
    <row r="456" spans="11:15">
      <c r="K456" s="12" t="s">
        <v>800</v>
      </c>
      <c r="L456" s="12" t="s">
        <v>125</v>
      </c>
      <c r="M456" s="12" t="s">
        <v>109</v>
      </c>
      <c r="N456" s="12" t="s">
        <v>52</v>
      </c>
      <c r="O456" s="5">
        <v>9910</v>
      </c>
    </row>
    <row r="457" spans="11:15">
      <c r="K457" s="12" t="s">
        <v>801</v>
      </c>
      <c r="L457" s="12" t="s">
        <v>40</v>
      </c>
      <c r="M457" s="12" t="s">
        <v>59</v>
      </c>
      <c r="N457" s="12" t="s">
        <v>26</v>
      </c>
      <c r="O457" s="5">
        <v>13380</v>
      </c>
    </row>
    <row r="458" spans="11:15">
      <c r="K458" s="12" t="s">
        <v>803</v>
      </c>
      <c r="L458" s="12" t="s">
        <v>78</v>
      </c>
      <c r="M458" s="12" t="s">
        <v>113</v>
      </c>
      <c r="N458" s="12" t="s">
        <v>35</v>
      </c>
      <c r="O458" s="5">
        <v>87816</v>
      </c>
    </row>
    <row r="459" spans="11:15">
      <c r="K459" s="12" t="s">
        <v>804</v>
      </c>
      <c r="L459" s="12" t="s">
        <v>133</v>
      </c>
      <c r="M459" s="12" t="s">
        <v>90</v>
      </c>
      <c r="N459" s="12" t="s">
        <v>42</v>
      </c>
      <c r="O459" s="5">
        <v>880</v>
      </c>
    </row>
    <row r="460" spans="11:15">
      <c r="K460" s="12" t="s">
        <v>806</v>
      </c>
      <c r="L460" s="12" t="s">
        <v>40</v>
      </c>
      <c r="M460" s="12" t="s">
        <v>90</v>
      </c>
      <c r="N460" s="12" t="s">
        <v>42</v>
      </c>
      <c r="O460" s="5">
        <v>10530</v>
      </c>
    </row>
    <row r="461" spans="11:15">
      <c r="K461" s="12" t="s">
        <v>807</v>
      </c>
      <c r="L461" s="12" t="s">
        <v>24</v>
      </c>
      <c r="M461" s="12" t="s">
        <v>97</v>
      </c>
      <c r="N461" s="12" t="s">
        <v>35</v>
      </c>
      <c r="O461" s="5">
        <v>119661</v>
      </c>
    </row>
    <row r="462" spans="11:15">
      <c r="K462" s="12" t="s">
        <v>808</v>
      </c>
      <c r="L462" s="12" t="s">
        <v>129</v>
      </c>
      <c r="M462" s="12" t="s">
        <v>165</v>
      </c>
      <c r="N462" s="12" t="s">
        <v>35</v>
      </c>
      <c r="O462" s="5">
        <v>213456</v>
      </c>
    </row>
    <row r="463" spans="11:15">
      <c r="K463" s="12" t="s">
        <v>809</v>
      </c>
      <c r="L463" s="12" t="s">
        <v>72</v>
      </c>
      <c r="M463" s="12" t="s">
        <v>79</v>
      </c>
      <c r="N463" s="12" t="s">
        <v>26</v>
      </c>
      <c r="O463" s="5">
        <v>15905</v>
      </c>
    </row>
    <row r="464" spans="11:15">
      <c r="K464" s="12" t="s">
        <v>811</v>
      </c>
      <c r="L464" s="12" t="s">
        <v>78</v>
      </c>
      <c r="M464" s="12" t="s">
        <v>46</v>
      </c>
      <c r="N464" s="12" t="s">
        <v>42</v>
      </c>
      <c r="O464" s="5">
        <v>4860</v>
      </c>
    </row>
    <row r="465" spans="11:15">
      <c r="K465" s="12" t="s">
        <v>812</v>
      </c>
      <c r="L465" s="12" t="s">
        <v>103</v>
      </c>
      <c r="M465" s="12" t="s">
        <v>159</v>
      </c>
      <c r="N465" s="12" t="s">
        <v>42</v>
      </c>
      <c r="O465" s="5">
        <v>34086</v>
      </c>
    </row>
    <row r="466" spans="11:15">
      <c r="K466" s="12" t="s">
        <v>813</v>
      </c>
      <c r="L466" s="12" t="s">
        <v>129</v>
      </c>
      <c r="M466" s="12" t="s">
        <v>69</v>
      </c>
      <c r="N466" s="12" t="s">
        <v>26</v>
      </c>
      <c r="O466" s="5">
        <v>12012</v>
      </c>
    </row>
    <row r="467" spans="11:15">
      <c r="K467" s="12" t="s">
        <v>814</v>
      </c>
      <c r="L467" s="12" t="s">
        <v>179</v>
      </c>
      <c r="M467" s="12" t="s">
        <v>97</v>
      </c>
      <c r="N467" s="12" t="s">
        <v>35</v>
      </c>
      <c r="O467" s="5">
        <v>48552</v>
      </c>
    </row>
    <row r="468" spans="11:15">
      <c r="K468" s="12" t="s">
        <v>815</v>
      </c>
      <c r="L468" s="12" t="s">
        <v>40</v>
      </c>
      <c r="M468" s="12" t="s">
        <v>46</v>
      </c>
      <c r="N468" s="12" t="s">
        <v>42</v>
      </c>
      <c r="O468" s="5">
        <v>38570</v>
      </c>
    </row>
    <row r="469" spans="11:15">
      <c r="K469" s="12" t="s">
        <v>816</v>
      </c>
      <c r="L469" s="12" t="s">
        <v>179</v>
      </c>
      <c r="M469" s="12" t="s">
        <v>69</v>
      </c>
      <c r="N469" s="12" t="s">
        <v>26</v>
      </c>
      <c r="O469" s="5">
        <v>9906</v>
      </c>
    </row>
    <row r="470" spans="11:15">
      <c r="K470" s="12" t="s">
        <v>817</v>
      </c>
      <c r="L470" s="12" t="s">
        <v>72</v>
      </c>
      <c r="M470" s="12" t="s">
        <v>69</v>
      </c>
      <c r="N470" s="12" t="s">
        <v>26</v>
      </c>
      <c r="O470" s="5">
        <v>41965</v>
      </c>
    </row>
    <row r="471" spans="11:15">
      <c r="K471" s="12" t="s">
        <v>818</v>
      </c>
      <c r="L471" s="12" t="s">
        <v>45</v>
      </c>
      <c r="M471" s="12" t="s">
        <v>218</v>
      </c>
      <c r="N471" s="12" t="s">
        <v>17</v>
      </c>
      <c r="O471" s="5">
        <v>3921</v>
      </c>
    </row>
    <row r="472" spans="11:15">
      <c r="K472" s="12" t="s">
        <v>819</v>
      </c>
      <c r="L472" s="12" t="s">
        <v>24</v>
      </c>
      <c r="M472" s="12" t="s">
        <v>69</v>
      </c>
      <c r="N472" s="12" t="s">
        <v>26</v>
      </c>
      <c r="O472" s="5">
        <v>81800</v>
      </c>
    </row>
    <row r="473" spans="11:15">
      <c r="K473" s="12" t="s">
        <v>820</v>
      </c>
      <c r="L473" s="12" t="s">
        <v>33</v>
      </c>
      <c r="M473" s="12" t="s">
        <v>97</v>
      </c>
      <c r="N473" s="12" t="s">
        <v>35</v>
      </c>
      <c r="O473" s="5">
        <v>28296</v>
      </c>
    </row>
    <row r="474" spans="11:15">
      <c r="K474" s="12" t="s">
        <v>821</v>
      </c>
      <c r="L474" s="12" t="s">
        <v>103</v>
      </c>
      <c r="M474" s="12" t="s">
        <v>79</v>
      </c>
      <c r="N474" s="12" t="s">
        <v>26</v>
      </c>
      <c r="O474" s="5">
        <v>17940</v>
      </c>
    </row>
    <row r="475" spans="11:15">
      <c r="K475" s="12" t="s">
        <v>822</v>
      </c>
      <c r="L475" s="12" t="s">
        <v>68</v>
      </c>
      <c r="M475" s="12" t="s">
        <v>59</v>
      </c>
      <c r="N475" s="12" t="s">
        <v>26</v>
      </c>
      <c r="O475" s="5">
        <v>8744</v>
      </c>
    </row>
    <row r="476" spans="11:15">
      <c r="K476" s="12" t="s">
        <v>823</v>
      </c>
      <c r="L476" s="12" t="s">
        <v>72</v>
      </c>
      <c r="M476" s="12" t="s">
        <v>147</v>
      </c>
      <c r="N476" s="12" t="s">
        <v>52</v>
      </c>
      <c r="O476" s="5">
        <v>5816</v>
      </c>
    </row>
    <row r="477" spans="11:15">
      <c r="K477" s="12" t="s">
        <v>824</v>
      </c>
      <c r="L477" s="12" t="s">
        <v>133</v>
      </c>
      <c r="M477" s="12" t="s">
        <v>113</v>
      </c>
      <c r="N477" s="12" t="s">
        <v>35</v>
      </c>
      <c r="O477" s="5">
        <v>128788</v>
      </c>
    </row>
    <row r="478" spans="11:15">
      <c r="K478" s="12" t="s">
        <v>826</v>
      </c>
      <c r="L478" s="12" t="s">
        <v>103</v>
      </c>
      <c r="M478" s="12" t="s">
        <v>116</v>
      </c>
      <c r="N478" s="12" t="s">
        <v>17</v>
      </c>
      <c r="O478" s="5">
        <v>702</v>
      </c>
    </row>
    <row r="479" spans="11:15">
      <c r="K479" s="12" t="s">
        <v>827</v>
      </c>
      <c r="L479" s="12" t="s">
        <v>58</v>
      </c>
      <c r="M479" s="12" t="s">
        <v>16</v>
      </c>
      <c r="N479" s="12" t="s">
        <v>17</v>
      </c>
      <c r="O479" s="5">
        <v>6012</v>
      </c>
    </row>
    <row r="480" spans="11:15">
      <c r="K480" s="12" t="s">
        <v>828</v>
      </c>
      <c r="L480" s="12" t="s">
        <v>78</v>
      </c>
      <c r="M480" s="12" t="s">
        <v>79</v>
      </c>
      <c r="N480" s="12" t="s">
        <v>26</v>
      </c>
      <c r="O480" s="5">
        <v>7876</v>
      </c>
    </row>
    <row r="481" spans="11:15">
      <c r="K481" s="12" t="s">
        <v>830</v>
      </c>
      <c r="L481" s="12" t="s">
        <v>133</v>
      </c>
      <c r="M481" s="12" t="s">
        <v>69</v>
      </c>
      <c r="N481" s="12" t="s">
        <v>26</v>
      </c>
      <c r="O481" s="5">
        <v>21057</v>
      </c>
    </row>
    <row r="482" spans="11:15">
      <c r="K482" s="12" t="s">
        <v>831</v>
      </c>
      <c r="L482" s="12" t="s">
        <v>68</v>
      </c>
      <c r="M482" s="12" t="s">
        <v>41</v>
      </c>
      <c r="N482" s="12" t="s">
        <v>42</v>
      </c>
      <c r="O482" s="5">
        <v>15792</v>
      </c>
    </row>
    <row r="483" spans="11:15">
      <c r="K483" s="12" t="s">
        <v>832</v>
      </c>
      <c r="L483" s="12" t="s">
        <v>129</v>
      </c>
      <c r="M483" s="12" t="s">
        <v>59</v>
      </c>
      <c r="N483" s="12" t="s">
        <v>26</v>
      </c>
      <c r="O483" s="5">
        <v>31144</v>
      </c>
    </row>
    <row r="484" spans="11:15">
      <c r="K484" s="12" t="s">
        <v>834</v>
      </c>
      <c r="L484" s="12" t="s">
        <v>75</v>
      </c>
      <c r="M484" s="12" t="s">
        <v>116</v>
      </c>
      <c r="N484" s="12" t="s">
        <v>17</v>
      </c>
      <c r="O484" s="5">
        <v>1088</v>
      </c>
    </row>
    <row r="485" spans="11:15">
      <c r="K485" s="12" t="s">
        <v>835</v>
      </c>
      <c r="L485" s="12" t="s">
        <v>129</v>
      </c>
      <c r="M485" s="12" t="s">
        <v>51</v>
      </c>
      <c r="N485" s="12" t="s">
        <v>52</v>
      </c>
      <c r="O485" s="5">
        <v>9176</v>
      </c>
    </row>
    <row r="486" spans="11:15">
      <c r="K486" s="12" t="s">
        <v>836</v>
      </c>
      <c r="L486" s="12" t="s">
        <v>15</v>
      </c>
      <c r="M486" s="12" t="s">
        <v>59</v>
      </c>
      <c r="N486" s="12" t="s">
        <v>26</v>
      </c>
      <c r="O486" s="5">
        <v>71576</v>
      </c>
    </row>
    <row r="487" spans="11:15">
      <c r="K487" s="12" t="s">
        <v>838</v>
      </c>
      <c r="L487" s="12" t="s">
        <v>112</v>
      </c>
      <c r="M487" s="12" t="s">
        <v>41</v>
      </c>
      <c r="N487" s="12" t="s">
        <v>42</v>
      </c>
      <c r="O487" s="5">
        <v>22260</v>
      </c>
    </row>
    <row r="488" spans="11:15">
      <c r="K488" s="12" t="s">
        <v>839</v>
      </c>
      <c r="L488" s="12" t="s">
        <v>133</v>
      </c>
      <c r="M488" s="12" t="s">
        <v>97</v>
      </c>
      <c r="N488" s="12" t="s">
        <v>35</v>
      </c>
      <c r="O488" s="5">
        <v>366740</v>
      </c>
    </row>
    <row r="489" spans="11:15">
      <c r="K489" s="12" t="s">
        <v>840</v>
      </c>
      <c r="L489" s="12" t="s">
        <v>24</v>
      </c>
      <c r="M489" s="12" t="s">
        <v>97</v>
      </c>
      <c r="N489" s="12" t="s">
        <v>35</v>
      </c>
      <c r="O489" s="5">
        <v>205456</v>
      </c>
    </row>
    <row r="490" spans="11:15">
      <c r="K490" s="12" t="s">
        <v>842</v>
      </c>
      <c r="L490" s="12" t="s">
        <v>112</v>
      </c>
      <c r="M490" s="12" t="s">
        <v>97</v>
      </c>
      <c r="N490" s="12" t="s">
        <v>35</v>
      </c>
      <c r="O490" s="5">
        <v>150170</v>
      </c>
    </row>
    <row r="491" spans="11:15">
      <c r="K491" s="12" t="s">
        <v>844</v>
      </c>
      <c r="L491" s="12" t="s">
        <v>129</v>
      </c>
      <c r="M491" s="12" t="s">
        <v>90</v>
      </c>
      <c r="N491" s="12" t="s">
        <v>42</v>
      </c>
      <c r="O491" s="5">
        <v>5580</v>
      </c>
    </row>
    <row r="492" spans="11:15">
      <c r="K492" s="12" t="s">
        <v>845</v>
      </c>
      <c r="L492" s="12" t="s">
        <v>40</v>
      </c>
      <c r="M492" s="12" t="s">
        <v>41</v>
      </c>
      <c r="N492" s="12" t="s">
        <v>42</v>
      </c>
      <c r="O492" s="5">
        <v>6972</v>
      </c>
    </row>
    <row r="493" spans="11:15">
      <c r="K493" s="12" t="s">
        <v>847</v>
      </c>
      <c r="L493" s="12" t="s">
        <v>58</v>
      </c>
      <c r="M493" s="12" t="s">
        <v>113</v>
      </c>
      <c r="N493" s="12" t="s">
        <v>35</v>
      </c>
      <c r="O493" s="5">
        <v>135732</v>
      </c>
    </row>
    <row r="494" spans="11:15">
      <c r="K494" s="12" t="s">
        <v>848</v>
      </c>
      <c r="L494" s="12" t="s">
        <v>68</v>
      </c>
      <c r="M494" s="12" t="s">
        <v>116</v>
      </c>
      <c r="N494" s="12" t="s">
        <v>17</v>
      </c>
      <c r="O494" s="5">
        <v>948</v>
      </c>
    </row>
    <row r="495" spans="11:15">
      <c r="K495" s="12" t="s">
        <v>849</v>
      </c>
      <c r="L495" s="12" t="s">
        <v>78</v>
      </c>
      <c r="M495" s="12" t="s">
        <v>46</v>
      </c>
      <c r="N495" s="12" t="s">
        <v>42</v>
      </c>
      <c r="O495" s="5">
        <v>23855</v>
      </c>
    </row>
    <row r="496" spans="11:15">
      <c r="K496" s="12" t="s">
        <v>850</v>
      </c>
      <c r="L496" s="12" t="s">
        <v>58</v>
      </c>
      <c r="M496" s="12" t="s">
        <v>218</v>
      </c>
      <c r="N496" s="12" t="s">
        <v>17</v>
      </c>
      <c r="O496" s="5">
        <v>5334</v>
      </c>
    </row>
    <row r="497" spans="11:15">
      <c r="K497" s="12" t="s">
        <v>851</v>
      </c>
      <c r="L497" s="12" t="s">
        <v>103</v>
      </c>
      <c r="M497" s="12" t="s">
        <v>109</v>
      </c>
      <c r="N497" s="12" t="s">
        <v>52</v>
      </c>
      <c r="O497" s="5">
        <v>7390</v>
      </c>
    </row>
    <row r="498" spans="11:15">
      <c r="K498" s="12" t="s">
        <v>852</v>
      </c>
      <c r="L498" s="12" t="s">
        <v>58</v>
      </c>
      <c r="M498" s="12" t="s">
        <v>86</v>
      </c>
      <c r="N498" s="12" t="s">
        <v>17</v>
      </c>
      <c r="O498" s="5">
        <v>5888</v>
      </c>
    </row>
    <row r="499" spans="11:15">
      <c r="K499" s="12" t="s">
        <v>853</v>
      </c>
      <c r="L499" s="12" t="s">
        <v>179</v>
      </c>
      <c r="M499" s="12" t="s">
        <v>97</v>
      </c>
      <c r="N499" s="12" t="s">
        <v>35</v>
      </c>
      <c r="O499" s="5">
        <v>238268</v>
      </c>
    </row>
    <row r="500" spans="11:15">
      <c r="K500" s="12" t="s">
        <v>854</v>
      </c>
      <c r="L500" s="12" t="s">
        <v>146</v>
      </c>
      <c r="M500" s="12" t="s">
        <v>109</v>
      </c>
      <c r="N500" s="12" t="s">
        <v>52</v>
      </c>
      <c r="O500" s="5">
        <v>4904</v>
      </c>
    </row>
    <row r="501" spans="11:15">
      <c r="K501" s="12" t="s">
        <v>855</v>
      </c>
      <c r="L501" s="12" t="s">
        <v>125</v>
      </c>
      <c r="M501" s="12" t="s">
        <v>86</v>
      </c>
      <c r="N501" s="12" t="s">
        <v>17</v>
      </c>
      <c r="O501" s="5">
        <v>2895</v>
      </c>
    </row>
    <row r="502" spans="11:15">
      <c r="K502" s="12" t="s">
        <v>856</v>
      </c>
      <c r="L502" s="12" t="s">
        <v>112</v>
      </c>
      <c r="M502" s="12" t="s">
        <v>165</v>
      </c>
      <c r="N502" s="12" t="s">
        <v>35</v>
      </c>
      <c r="O502" s="5">
        <v>28672</v>
      </c>
    </row>
    <row r="503" spans="11:15">
      <c r="K503" s="12" t="s">
        <v>857</v>
      </c>
      <c r="L503" s="12" t="s">
        <v>72</v>
      </c>
      <c r="M503" s="12" t="s">
        <v>86</v>
      </c>
      <c r="N503" s="12" t="s">
        <v>17</v>
      </c>
      <c r="O503" s="5">
        <v>1882</v>
      </c>
    </row>
    <row r="504" spans="11:15">
      <c r="K504" s="12" t="s">
        <v>858</v>
      </c>
      <c r="L504" s="12" t="s">
        <v>170</v>
      </c>
      <c r="M504" s="12" t="s">
        <v>97</v>
      </c>
      <c r="N504" s="12" t="s">
        <v>35</v>
      </c>
      <c r="O504" s="5">
        <v>333860</v>
      </c>
    </row>
    <row r="505" spans="11:15">
      <c r="K505" s="12" t="s">
        <v>866</v>
      </c>
      <c r="O505" s="5">
        <v>23006417</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4F455A-AC1C-4430-AA92-E87C7F943FE0}">
  <dimension ref="B6"/>
  <sheetViews>
    <sheetView showGridLines="0" tabSelected="1" workbookViewId="0">
      <selection activeCell="Q14" sqref="Q14"/>
    </sheetView>
  </sheetViews>
  <sheetFormatPr defaultRowHeight="14.25"/>
  <cols>
    <col min="1" max="16384" width="9" style="21"/>
  </cols>
  <sheetData>
    <row r="6" spans="2:2">
      <c r="B6" s="21" t="e" cm="1">
        <f t="array" ref="B6">PIVOT</f>
        <v>#NAME?</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6CD63B-56DA-4B8D-B367-AEEFF7281DB6}">
  <dimension ref="A1:M501"/>
  <sheetViews>
    <sheetView topLeftCell="A2" workbookViewId="0">
      <selection activeCell="D2" sqref="D2"/>
    </sheetView>
  </sheetViews>
  <sheetFormatPr defaultRowHeight="14.25"/>
  <cols>
    <col min="1" max="1" width="10" customWidth="1"/>
    <col min="2" max="2" width="10.375" bestFit="1" customWidth="1"/>
    <col min="3" max="3" width="16.5" customWidth="1"/>
    <col min="4" max="4" width="15.5" bestFit="1" customWidth="1"/>
    <col min="5" max="5" width="10" bestFit="1" customWidth="1"/>
    <col min="6" max="6" width="11.25" bestFit="1" customWidth="1"/>
    <col min="7" max="7" width="10.375" bestFit="1" customWidth="1"/>
    <col min="8" max="8" width="16.625" customWidth="1"/>
    <col min="9" max="9" width="7.25" customWidth="1"/>
    <col min="10" max="10" width="9.5" customWidth="1"/>
    <col min="11" max="11" width="7.875" customWidth="1"/>
    <col min="12" max="12" width="9.25" customWidth="1"/>
    <col min="13" max="13" width="7.875" customWidth="1"/>
  </cols>
  <sheetData>
    <row r="1" spans="1:13">
      <c r="A1" t="s">
        <v>0</v>
      </c>
      <c r="B1" t="s">
        <v>1</v>
      </c>
      <c r="C1" t="s">
        <v>2</v>
      </c>
      <c r="D1" t="s">
        <v>3</v>
      </c>
      <c r="E1" t="s">
        <v>4</v>
      </c>
      <c r="F1" t="s">
        <v>5</v>
      </c>
      <c r="G1" t="s">
        <v>6</v>
      </c>
      <c r="H1" t="s">
        <v>7</v>
      </c>
      <c r="I1" t="s">
        <v>8</v>
      </c>
      <c r="J1" t="s">
        <v>9</v>
      </c>
      <c r="K1" t="s">
        <v>10</v>
      </c>
      <c r="L1" t="s">
        <v>11</v>
      </c>
      <c r="M1" t="s">
        <v>12</v>
      </c>
    </row>
    <row r="2" spans="1:13">
      <c r="A2" t="s">
        <v>13</v>
      </c>
      <c r="B2" t="s">
        <v>14</v>
      </c>
      <c r="C2" t="s">
        <v>15</v>
      </c>
      <c r="D2" t="s">
        <v>16</v>
      </c>
      <c r="E2" t="s">
        <v>17</v>
      </c>
      <c r="F2" t="s">
        <v>18</v>
      </c>
      <c r="G2" t="s">
        <v>19</v>
      </c>
      <c r="H2" t="s">
        <v>20</v>
      </c>
      <c r="I2">
        <v>3028</v>
      </c>
      <c r="J2">
        <v>4</v>
      </c>
      <c r="K2">
        <v>4.3</v>
      </c>
      <c r="L2">
        <v>1</v>
      </c>
      <c r="M2" t="s">
        <v>21</v>
      </c>
    </row>
    <row r="3" spans="1:13">
      <c r="A3" t="s">
        <v>22</v>
      </c>
      <c r="B3" t="s">
        <v>23</v>
      </c>
      <c r="C3" t="s">
        <v>24</v>
      </c>
      <c r="D3" t="s">
        <v>25</v>
      </c>
      <c r="E3" t="s">
        <v>26</v>
      </c>
      <c r="F3" t="s">
        <v>27</v>
      </c>
      <c r="G3" t="s">
        <v>28</v>
      </c>
      <c r="H3" t="s">
        <v>29</v>
      </c>
      <c r="I3">
        <v>32636</v>
      </c>
      <c r="J3">
        <v>4</v>
      </c>
      <c r="K3">
        <v>4.3</v>
      </c>
      <c r="L3">
        <v>1</v>
      </c>
      <c r="M3" t="s">
        <v>30</v>
      </c>
    </row>
    <row r="4" spans="1:13">
      <c r="A4" t="s">
        <v>31</v>
      </c>
      <c r="B4" t="s">
        <v>32</v>
      </c>
      <c r="C4" t="s">
        <v>33</v>
      </c>
      <c r="D4" t="s">
        <v>34</v>
      </c>
      <c r="E4" t="s">
        <v>35</v>
      </c>
      <c r="F4" t="s">
        <v>27</v>
      </c>
      <c r="G4" t="s">
        <v>28</v>
      </c>
      <c r="H4" t="s">
        <v>36</v>
      </c>
      <c r="I4">
        <v>313782</v>
      </c>
      <c r="J4">
        <v>6</v>
      </c>
      <c r="K4">
        <v>4.7</v>
      </c>
      <c r="L4">
        <v>5</v>
      </c>
      <c r="M4" t="s">
        <v>37</v>
      </c>
    </row>
    <row r="5" spans="1:13">
      <c r="A5" t="s">
        <v>38</v>
      </c>
      <c r="B5" t="s">
        <v>39</v>
      </c>
      <c r="C5" t="s">
        <v>40</v>
      </c>
      <c r="D5" t="s">
        <v>41</v>
      </c>
      <c r="E5" t="s">
        <v>42</v>
      </c>
      <c r="F5" t="s">
        <v>18</v>
      </c>
      <c r="G5" t="s">
        <v>19</v>
      </c>
      <c r="H5" t="s">
        <v>36</v>
      </c>
      <c r="I5">
        <v>11375</v>
      </c>
      <c r="J5">
        <v>5</v>
      </c>
      <c r="K5">
        <v>3.3</v>
      </c>
      <c r="L5">
        <v>4</v>
      </c>
      <c r="M5" t="s">
        <v>30</v>
      </c>
    </row>
    <row r="6" spans="1:13">
      <c r="A6" t="s">
        <v>43</v>
      </c>
      <c r="B6" t="s">
        <v>44</v>
      </c>
      <c r="C6" t="s">
        <v>45</v>
      </c>
      <c r="D6" t="s">
        <v>46</v>
      </c>
      <c r="E6" t="s">
        <v>42</v>
      </c>
      <c r="F6" t="s">
        <v>27</v>
      </c>
      <c r="G6" t="s">
        <v>19</v>
      </c>
      <c r="H6" t="s">
        <v>20</v>
      </c>
      <c r="I6">
        <v>14496</v>
      </c>
      <c r="J6">
        <v>6</v>
      </c>
      <c r="K6">
        <v>3.7</v>
      </c>
      <c r="L6">
        <v>2</v>
      </c>
      <c r="M6" t="s">
        <v>47</v>
      </c>
    </row>
    <row r="7" spans="1:13">
      <c r="A7" t="s">
        <v>48</v>
      </c>
      <c r="B7" t="s">
        <v>49</v>
      </c>
      <c r="C7" t="s">
        <v>50</v>
      </c>
      <c r="D7" t="s">
        <v>51</v>
      </c>
      <c r="E7" t="s">
        <v>52</v>
      </c>
      <c r="F7" t="s">
        <v>53</v>
      </c>
      <c r="G7" t="s">
        <v>54</v>
      </c>
      <c r="H7" t="s">
        <v>20</v>
      </c>
      <c r="I7">
        <v>5745</v>
      </c>
      <c r="J7">
        <v>5</v>
      </c>
      <c r="K7">
        <v>4.7</v>
      </c>
      <c r="L7">
        <v>6</v>
      </c>
      <c r="M7" t="s">
        <v>55</v>
      </c>
    </row>
    <row r="8" spans="1:13">
      <c r="A8" t="s">
        <v>56</v>
      </c>
      <c r="B8" t="s">
        <v>57</v>
      </c>
      <c r="C8" t="s">
        <v>58</v>
      </c>
      <c r="D8" t="s">
        <v>59</v>
      </c>
      <c r="E8" t="s">
        <v>26</v>
      </c>
      <c r="F8" t="s">
        <v>60</v>
      </c>
      <c r="G8" t="s">
        <v>28</v>
      </c>
      <c r="H8" t="s">
        <v>29</v>
      </c>
      <c r="I8">
        <v>24696</v>
      </c>
      <c r="J8">
        <v>8</v>
      </c>
      <c r="K8">
        <v>3.6</v>
      </c>
      <c r="L8">
        <v>5</v>
      </c>
      <c r="M8" t="s">
        <v>37</v>
      </c>
    </row>
    <row r="9" spans="1:13">
      <c r="A9" t="s">
        <v>61</v>
      </c>
      <c r="B9" t="s">
        <v>62</v>
      </c>
      <c r="C9" t="s">
        <v>45</v>
      </c>
      <c r="D9" t="s">
        <v>63</v>
      </c>
      <c r="E9" t="s">
        <v>52</v>
      </c>
      <c r="F9" t="s">
        <v>18</v>
      </c>
      <c r="G9" t="s">
        <v>28</v>
      </c>
      <c r="H9" t="s">
        <v>64</v>
      </c>
      <c r="I9">
        <v>3536</v>
      </c>
      <c r="J9">
        <v>8</v>
      </c>
      <c r="K9">
        <v>3.5</v>
      </c>
      <c r="L9">
        <v>7</v>
      </c>
      <c r="M9" t="s">
        <v>65</v>
      </c>
    </row>
    <row r="10" spans="1:13">
      <c r="A10" t="s">
        <v>66</v>
      </c>
      <c r="B10" t="s">
        <v>67</v>
      </c>
      <c r="C10" t="s">
        <v>68</v>
      </c>
      <c r="D10" t="s">
        <v>69</v>
      </c>
      <c r="E10" t="s">
        <v>26</v>
      </c>
      <c r="F10" t="s">
        <v>53</v>
      </c>
      <c r="G10" t="s">
        <v>28</v>
      </c>
      <c r="H10" t="s">
        <v>20</v>
      </c>
      <c r="I10">
        <v>25855</v>
      </c>
      <c r="J10">
        <v>5</v>
      </c>
      <c r="K10">
        <v>4.5999999999999996</v>
      </c>
      <c r="L10">
        <v>6</v>
      </c>
      <c r="M10" t="s">
        <v>65</v>
      </c>
    </row>
    <row r="11" spans="1:13">
      <c r="A11" t="s">
        <v>70</v>
      </c>
      <c r="B11" t="s">
        <v>71</v>
      </c>
      <c r="C11" t="s">
        <v>72</v>
      </c>
      <c r="D11" t="s">
        <v>41</v>
      </c>
      <c r="E11" t="s">
        <v>42</v>
      </c>
      <c r="F11" t="s">
        <v>53</v>
      </c>
      <c r="G11" t="s">
        <v>19</v>
      </c>
      <c r="H11" t="s">
        <v>36</v>
      </c>
      <c r="I11">
        <v>9432</v>
      </c>
      <c r="J11">
        <v>3</v>
      </c>
      <c r="K11">
        <v>4.0999999999999996</v>
      </c>
      <c r="L11">
        <v>4</v>
      </c>
      <c r="M11" t="s">
        <v>21</v>
      </c>
    </row>
    <row r="12" spans="1:13">
      <c r="A12" t="s">
        <v>73</v>
      </c>
      <c r="B12" t="s">
        <v>74</v>
      </c>
      <c r="C12" t="s">
        <v>75</v>
      </c>
      <c r="D12" t="s">
        <v>59</v>
      </c>
      <c r="E12" t="s">
        <v>26</v>
      </c>
      <c r="F12" t="s">
        <v>27</v>
      </c>
      <c r="G12" t="s">
        <v>28</v>
      </c>
      <c r="H12" t="s">
        <v>36</v>
      </c>
      <c r="I12">
        <v>1749</v>
      </c>
      <c r="J12">
        <v>1</v>
      </c>
      <c r="K12">
        <v>3.6</v>
      </c>
      <c r="L12">
        <v>2</v>
      </c>
      <c r="M12" t="s">
        <v>65</v>
      </c>
    </row>
    <row r="13" spans="1:13">
      <c r="A13" t="s">
        <v>76</v>
      </c>
      <c r="B13" t="s">
        <v>77</v>
      </c>
      <c r="C13" t="s">
        <v>78</v>
      </c>
      <c r="D13" t="s">
        <v>79</v>
      </c>
      <c r="E13" t="s">
        <v>26</v>
      </c>
      <c r="F13" t="s">
        <v>27</v>
      </c>
      <c r="G13" t="s">
        <v>19</v>
      </c>
      <c r="H13" t="s">
        <v>29</v>
      </c>
      <c r="I13">
        <v>85904</v>
      </c>
      <c r="J13">
        <v>8</v>
      </c>
      <c r="K13">
        <v>4</v>
      </c>
      <c r="L13">
        <v>4</v>
      </c>
      <c r="M13" t="s">
        <v>80</v>
      </c>
    </row>
    <row r="14" spans="1:13">
      <c r="A14" t="s">
        <v>81</v>
      </c>
      <c r="B14" t="s">
        <v>82</v>
      </c>
      <c r="C14" t="s">
        <v>58</v>
      </c>
      <c r="D14" t="s">
        <v>46</v>
      </c>
      <c r="E14" t="s">
        <v>42</v>
      </c>
      <c r="F14" t="s">
        <v>83</v>
      </c>
      <c r="G14" t="s">
        <v>54</v>
      </c>
      <c r="H14" t="s">
        <v>36</v>
      </c>
      <c r="I14">
        <v>9792</v>
      </c>
      <c r="J14">
        <v>8</v>
      </c>
      <c r="K14">
        <v>3.2</v>
      </c>
      <c r="L14">
        <v>4</v>
      </c>
      <c r="M14" t="s">
        <v>47</v>
      </c>
    </row>
    <row r="15" spans="1:13">
      <c r="A15" t="s">
        <v>84</v>
      </c>
      <c r="B15" t="s">
        <v>85</v>
      </c>
      <c r="C15" t="s">
        <v>78</v>
      </c>
      <c r="D15" t="s">
        <v>86</v>
      </c>
      <c r="E15" t="s">
        <v>17</v>
      </c>
      <c r="F15" t="s">
        <v>83</v>
      </c>
      <c r="G15" t="s">
        <v>28</v>
      </c>
      <c r="H15" t="s">
        <v>20</v>
      </c>
      <c r="I15">
        <v>976</v>
      </c>
      <c r="J15">
        <v>1</v>
      </c>
      <c r="K15">
        <v>4.4000000000000004</v>
      </c>
      <c r="L15">
        <v>4</v>
      </c>
      <c r="M15" t="s">
        <v>87</v>
      </c>
    </row>
    <row r="16" spans="1:13">
      <c r="A16" t="s">
        <v>88</v>
      </c>
      <c r="B16" t="s">
        <v>89</v>
      </c>
      <c r="C16" t="s">
        <v>68</v>
      </c>
      <c r="D16" t="s">
        <v>90</v>
      </c>
      <c r="E16" t="s">
        <v>42</v>
      </c>
      <c r="F16" t="s">
        <v>18</v>
      </c>
      <c r="G16" t="s">
        <v>28</v>
      </c>
      <c r="H16" t="s">
        <v>29</v>
      </c>
      <c r="I16">
        <v>8338</v>
      </c>
      <c r="J16">
        <v>2</v>
      </c>
      <c r="K16">
        <v>4</v>
      </c>
      <c r="L16">
        <v>1</v>
      </c>
      <c r="M16" t="s">
        <v>37</v>
      </c>
    </row>
    <row r="17" spans="1:13">
      <c r="A17" t="s">
        <v>91</v>
      </c>
      <c r="B17" t="s">
        <v>92</v>
      </c>
      <c r="C17" t="s">
        <v>75</v>
      </c>
      <c r="D17" t="s">
        <v>86</v>
      </c>
      <c r="E17" t="s">
        <v>17</v>
      </c>
      <c r="F17" t="s">
        <v>60</v>
      </c>
      <c r="G17" t="s">
        <v>54</v>
      </c>
      <c r="H17" t="s">
        <v>36</v>
      </c>
      <c r="I17">
        <v>5592</v>
      </c>
      <c r="J17">
        <v>4</v>
      </c>
      <c r="K17">
        <v>3.7</v>
      </c>
      <c r="L17">
        <v>4</v>
      </c>
      <c r="M17" t="s">
        <v>37</v>
      </c>
    </row>
    <row r="18" spans="1:13">
      <c r="A18" t="s">
        <v>93</v>
      </c>
      <c r="B18" t="s">
        <v>94</v>
      </c>
      <c r="C18" t="s">
        <v>24</v>
      </c>
      <c r="D18" t="s">
        <v>25</v>
      </c>
      <c r="E18" t="s">
        <v>26</v>
      </c>
      <c r="F18" t="s">
        <v>60</v>
      </c>
      <c r="G18" t="s">
        <v>54</v>
      </c>
      <c r="H18" t="s">
        <v>64</v>
      </c>
      <c r="I18">
        <v>17208</v>
      </c>
      <c r="J18">
        <v>4</v>
      </c>
      <c r="K18">
        <v>4.8</v>
      </c>
      <c r="L18">
        <v>1</v>
      </c>
      <c r="M18" t="s">
        <v>87</v>
      </c>
    </row>
    <row r="19" spans="1:13">
      <c r="A19" t="s">
        <v>95</v>
      </c>
      <c r="B19" t="s">
        <v>96</v>
      </c>
      <c r="C19" t="s">
        <v>58</v>
      </c>
      <c r="D19" t="s">
        <v>97</v>
      </c>
      <c r="E19" t="s">
        <v>35</v>
      </c>
      <c r="F19" t="s">
        <v>27</v>
      </c>
      <c r="G19" t="s">
        <v>54</v>
      </c>
      <c r="H19" t="s">
        <v>29</v>
      </c>
      <c r="I19">
        <v>159523</v>
      </c>
      <c r="J19">
        <v>7</v>
      </c>
      <c r="K19">
        <v>3.6</v>
      </c>
      <c r="L19">
        <v>1</v>
      </c>
      <c r="M19" t="s">
        <v>21</v>
      </c>
    </row>
    <row r="20" spans="1:13">
      <c r="A20" t="s">
        <v>98</v>
      </c>
      <c r="B20" t="s">
        <v>99</v>
      </c>
      <c r="C20" t="s">
        <v>75</v>
      </c>
      <c r="D20" t="s">
        <v>16</v>
      </c>
      <c r="E20" t="s">
        <v>17</v>
      </c>
      <c r="F20" t="s">
        <v>100</v>
      </c>
      <c r="G20" t="s">
        <v>54</v>
      </c>
      <c r="H20" t="s">
        <v>20</v>
      </c>
      <c r="I20">
        <v>10632</v>
      </c>
      <c r="J20">
        <v>8</v>
      </c>
      <c r="K20">
        <v>3.3</v>
      </c>
      <c r="L20">
        <v>3</v>
      </c>
      <c r="M20" t="s">
        <v>30</v>
      </c>
    </row>
    <row r="21" spans="1:13">
      <c r="A21" t="s">
        <v>101</v>
      </c>
      <c r="B21" t="s">
        <v>102</v>
      </c>
      <c r="C21" t="s">
        <v>103</v>
      </c>
      <c r="D21" t="s">
        <v>41</v>
      </c>
      <c r="E21" t="s">
        <v>42</v>
      </c>
      <c r="F21" t="s">
        <v>100</v>
      </c>
      <c r="G21" t="s">
        <v>104</v>
      </c>
      <c r="H21" t="s">
        <v>20</v>
      </c>
      <c r="I21">
        <v>5484</v>
      </c>
      <c r="J21">
        <v>4</v>
      </c>
      <c r="K21">
        <v>4.4000000000000004</v>
      </c>
      <c r="L21">
        <v>6</v>
      </c>
      <c r="M21" t="s">
        <v>30</v>
      </c>
    </row>
    <row r="22" spans="1:13">
      <c r="A22" t="s">
        <v>105</v>
      </c>
      <c r="B22" t="s">
        <v>106</v>
      </c>
      <c r="C22" t="s">
        <v>75</v>
      </c>
      <c r="D22" t="s">
        <v>97</v>
      </c>
      <c r="E22" t="s">
        <v>35</v>
      </c>
      <c r="F22" t="s">
        <v>100</v>
      </c>
      <c r="G22" t="s">
        <v>19</v>
      </c>
      <c r="H22" t="s">
        <v>29</v>
      </c>
      <c r="I22">
        <v>60040</v>
      </c>
      <c r="J22">
        <v>5</v>
      </c>
      <c r="K22">
        <v>4.3</v>
      </c>
      <c r="L22">
        <v>2</v>
      </c>
      <c r="M22" t="s">
        <v>80</v>
      </c>
    </row>
    <row r="23" spans="1:13">
      <c r="A23" t="s">
        <v>107</v>
      </c>
      <c r="B23" t="s">
        <v>108</v>
      </c>
      <c r="C23" t="s">
        <v>78</v>
      </c>
      <c r="D23" t="s">
        <v>109</v>
      </c>
      <c r="E23" t="s">
        <v>52</v>
      </c>
      <c r="F23" t="s">
        <v>53</v>
      </c>
      <c r="G23" t="s">
        <v>54</v>
      </c>
      <c r="H23" t="s">
        <v>20</v>
      </c>
      <c r="I23">
        <v>5668</v>
      </c>
      <c r="J23">
        <v>4</v>
      </c>
      <c r="K23">
        <v>4.5</v>
      </c>
      <c r="L23">
        <v>1</v>
      </c>
      <c r="M23" t="s">
        <v>87</v>
      </c>
    </row>
    <row r="24" spans="1:13">
      <c r="A24" t="s">
        <v>110</v>
      </c>
      <c r="B24" t="s">
        <v>111</v>
      </c>
      <c r="C24" t="s">
        <v>112</v>
      </c>
      <c r="D24" t="s">
        <v>113</v>
      </c>
      <c r="E24" t="s">
        <v>35</v>
      </c>
      <c r="F24" t="s">
        <v>60</v>
      </c>
      <c r="G24" t="s">
        <v>104</v>
      </c>
      <c r="H24" t="s">
        <v>36</v>
      </c>
      <c r="I24">
        <v>245328</v>
      </c>
      <c r="J24">
        <v>3</v>
      </c>
      <c r="K24">
        <v>3.6</v>
      </c>
      <c r="L24">
        <v>5</v>
      </c>
      <c r="M24" t="s">
        <v>87</v>
      </c>
    </row>
    <row r="25" spans="1:13">
      <c r="A25" t="s">
        <v>114</v>
      </c>
      <c r="B25" t="s">
        <v>115</v>
      </c>
      <c r="C25" t="s">
        <v>78</v>
      </c>
      <c r="D25" t="s">
        <v>116</v>
      </c>
      <c r="E25" t="s">
        <v>17</v>
      </c>
      <c r="F25" t="s">
        <v>27</v>
      </c>
      <c r="G25" t="s">
        <v>28</v>
      </c>
      <c r="H25" t="s">
        <v>36</v>
      </c>
      <c r="I25">
        <v>307</v>
      </c>
      <c r="J25">
        <v>1</v>
      </c>
      <c r="K25">
        <v>3.5</v>
      </c>
      <c r="L25">
        <v>8</v>
      </c>
      <c r="M25" t="s">
        <v>21</v>
      </c>
    </row>
    <row r="26" spans="1:13">
      <c r="A26" t="s">
        <v>117</v>
      </c>
      <c r="B26" t="s">
        <v>118</v>
      </c>
      <c r="C26" t="s">
        <v>33</v>
      </c>
      <c r="D26" t="s">
        <v>16</v>
      </c>
      <c r="E26" t="s">
        <v>17</v>
      </c>
      <c r="F26" t="s">
        <v>53</v>
      </c>
      <c r="G26" t="s">
        <v>104</v>
      </c>
      <c r="H26" t="s">
        <v>36</v>
      </c>
      <c r="I26">
        <v>4251</v>
      </c>
      <c r="J26">
        <v>3</v>
      </c>
      <c r="K26">
        <v>3.5</v>
      </c>
      <c r="L26">
        <v>3</v>
      </c>
      <c r="M26" t="s">
        <v>119</v>
      </c>
    </row>
    <row r="27" spans="1:13">
      <c r="A27" t="s">
        <v>120</v>
      </c>
      <c r="B27" t="s">
        <v>121</v>
      </c>
      <c r="C27" t="s">
        <v>122</v>
      </c>
      <c r="D27" t="s">
        <v>34</v>
      </c>
      <c r="E27" t="s">
        <v>35</v>
      </c>
      <c r="F27" t="s">
        <v>83</v>
      </c>
      <c r="G27" t="s">
        <v>19</v>
      </c>
      <c r="H27" t="s">
        <v>64</v>
      </c>
      <c r="I27">
        <v>195428</v>
      </c>
      <c r="J27">
        <v>4</v>
      </c>
      <c r="K27">
        <v>5</v>
      </c>
      <c r="L27">
        <v>3</v>
      </c>
      <c r="M27" t="s">
        <v>119</v>
      </c>
    </row>
    <row r="28" spans="1:13">
      <c r="A28" t="s">
        <v>123</v>
      </c>
      <c r="B28" t="s">
        <v>124</v>
      </c>
      <c r="C28" t="s">
        <v>125</v>
      </c>
      <c r="D28" t="s">
        <v>86</v>
      </c>
      <c r="E28" t="s">
        <v>17</v>
      </c>
      <c r="F28" t="s">
        <v>83</v>
      </c>
      <c r="G28" t="s">
        <v>19</v>
      </c>
      <c r="H28" t="s">
        <v>64</v>
      </c>
      <c r="I28">
        <v>11697</v>
      </c>
      <c r="J28">
        <v>7</v>
      </c>
      <c r="K28">
        <v>3.9</v>
      </c>
      <c r="L28">
        <v>1</v>
      </c>
      <c r="M28" t="s">
        <v>126</v>
      </c>
    </row>
    <row r="29" spans="1:13">
      <c r="A29" t="s">
        <v>127</v>
      </c>
      <c r="B29" t="s">
        <v>128</v>
      </c>
      <c r="C29" t="s">
        <v>129</v>
      </c>
      <c r="D29" t="s">
        <v>130</v>
      </c>
      <c r="E29" t="s">
        <v>35</v>
      </c>
      <c r="F29" t="s">
        <v>27</v>
      </c>
      <c r="G29" t="s">
        <v>28</v>
      </c>
      <c r="H29" t="s">
        <v>29</v>
      </c>
      <c r="I29">
        <v>218908</v>
      </c>
      <c r="J29">
        <v>4</v>
      </c>
      <c r="K29">
        <v>4.8</v>
      </c>
      <c r="L29">
        <v>5</v>
      </c>
      <c r="M29" t="s">
        <v>37</v>
      </c>
    </row>
    <row r="30" spans="1:13">
      <c r="A30" t="s">
        <v>131</v>
      </c>
      <c r="B30" t="s">
        <v>132</v>
      </c>
      <c r="C30" t="s">
        <v>133</v>
      </c>
      <c r="D30" t="s">
        <v>16</v>
      </c>
      <c r="E30" t="s">
        <v>17</v>
      </c>
      <c r="F30" t="s">
        <v>100</v>
      </c>
      <c r="G30" t="s">
        <v>54</v>
      </c>
      <c r="H30" t="s">
        <v>64</v>
      </c>
      <c r="I30">
        <v>4467</v>
      </c>
      <c r="J30">
        <v>3</v>
      </c>
      <c r="K30">
        <v>4</v>
      </c>
      <c r="L30">
        <v>6</v>
      </c>
      <c r="M30" t="s">
        <v>21</v>
      </c>
    </row>
    <row r="31" spans="1:13">
      <c r="A31" t="s">
        <v>134</v>
      </c>
      <c r="B31" t="s">
        <v>135</v>
      </c>
      <c r="C31" t="s">
        <v>129</v>
      </c>
      <c r="D31" t="s">
        <v>79</v>
      </c>
      <c r="E31" t="s">
        <v>26</v>
      </c>
      <c r="F31" t="s">
        <v>60</v>
      </c>
      <c r="G31" t="s">
        <v>54</v>
      </c>
      <c r="H31" t="s">
        <v>29</v>
      </c>
      <c r="I31">
        <v>9621</v>
      </c>
      <c r="J31">
        <v>1</v>
      </c>
      <c r="K31">
        <v>4.4000000000000004</v>
      </c>
      <c r="L31">
        <v>4</v>
      </c>
      <c r="M31" t="s">
        <v>21</v>
      </c>
    </row>
    <row r="32" spans="1:13">
      <c r="A32" t="s">
        <v>136</v>
      </c>
      <c r="B32" t="s">
        <v>137</v>
      </c>
      <c r="C32" t="s">
        <v>40</v>
      </c>
      <c r="D32" t="s">
        <v>59</v>
      </c>
      <c r="E32" t="s">
        <v>26</v>
      </c>
      <c r="F32" t="s">
        <v>100</v>
      </c>
      <c r="G32" t="s">
        <v>19</v>
      </c>
      <c r="H32" t="s">
        <v>20</v>
      </c>
      <c r="I32">
        <v>23452</v>
      </c>
      <c r="J32">
        <v>2</v>
      </c>
      <c r="K32">
        <v>3.9</v>
      </c>
      <c r="L32">
        <v>7</v>
      </c>
      <c r="M32" t="s">
        <v>119</v>
      </c>
    </row>
    <row r="33" spans="1:13">
      <c r="A33" t="s">
        <v>138</v>
      </c>
      <c r="B33" t="s">
        <v>139</v>
      </c>
      <c r="C33" t="s">
        <v>133</v>
      </c>
      <c r="D33" t="s">
        <v>90</v>
      </c>
      <c r="E33" t="s">
        <v>42</v>
      </c>
      <c r="F33" t="s">
        <v>100</v>
      </c>
      <c r="G33" t="s">
        <v>104</v>
      </c>
      <c r="H33" t="s">
        <v>64</v>
      </c>
      <c r="I33">
        <v>15564</v>
      </c>
      <c r="J33">
        <v>3</v>
      </c>
      <c r="K33">
        <v>3.7</v>
      </c>
      <c r="L33">
        <v>4</v>
      </c>
      <c r="M33" t="s">
        <v>119</v>
      </c>
    </row>
    <row r="34" spans="1:13">
      <c r="A34" t="s">
        <v>140</v>
      </c>
      <c r="B34" t="s">
        <v>141</v>
      </c>
      <c r="C34" t="s">
        <v>75</v>
      </c>
      <c r="D34" t="s">
        <v>90</v>
      </c>
      <c r="E34" t="s">
        <v>42</v>
      </c>
      <c r="F34" t="s">
        <v>83</v>
      </c>
      <c r="G34" t="s">
        <v>104</v>
      </c>
      <c r="H34" t="s">
        <v>20</v>
      </c>
      <c r="I34">
        <v>5576</v>
      </c>
      <c r="J34">
        <v>4</v>
      </c>
      <c r="K34">
        <v>4.0999999999999996</v>
      </c>
      <c r="L34">
        <v>6</v>
      </c>
      <c r="M34" t="s">
        <v>119</v>
      </c>
    </row>
    <row r="35" spans="1:13">
      <c r="A35" t="s">
        <v>142</v>
      </c>
      <c r="B35" t="s">
        <v>143</v>
      </c>
      <c r="C35" t="s">
        <v>50</v>
      </c>
      <c r="D35" t="s">
        <v>63</v>
      </c>
      <c r="E35" t="s">
        <v>52</v>
      </c>
      <c r="F35" t="s">
        <v>60</v>
      </c>
      <c r="G35" t="s">
        <v>28</v>
      </c>
      <c r="H35" t="s">
        <v>20</v>
      </c>
      <c r="I35">
        <v>2196</v>
      </c>
      <c r="J35">
        <v>1</v>
      </c>
      <c r="K35">
        <v>3.9</v>
      </c>
      <c r="L35">
        <v>4</v>
      </c>
      <c r="M35" t="s">
        <v>144</v>
      </c>
    </row>
    <row r="36" spans="1:13">
      <c r="A36" t="s">
        <v>145</v>
      </c>
      <c r="B36" t="s">
        <v>111</v>
      </c>
      <c r="C36" t="s">
        <v>146</v>
      </c>
      <c r="D36" t="s">
        <v>147</v>
      </c>
      <c r="E36" t="s">
        <v>52</v>
      </c>
      <c r="F36" t="s">
        <v>83</v>
      </c>
      <c r="G36" t="s">
        <v>28</v>
      </c>
      <c r="H36" t="s">
        <v>29</v>
      </c>
      <c r="I36">
        <v>6790</v>
      </c>
      <c r="J36">
        <v>7</v>
      </c>
      <c r="K36">
        <v>4.2</v>
      </c>
      <c r="L36">
        <v>2</v>
      </c>
      <c r="M36" t="s">
        <v>87</v>
      </c>
    </row>
    <row r="37" spans="1:13">
      <c r="A37" t="s">
        <v>148</v>
      </c>
      <c r="B37" t="s">
        <v>149</v>
      </c>
      <c r="C37" t="s">
        <v>112</v>
      </c>
      <c r="D37" t="s">
        <v>90</v>
      </c>
      <c r="E37" t="s">
        <v>42</v>
      </c>
      <c r="F37" t="s">
        <v>60</v>
      </c>
      <c r="G37" t="s">
        <v>19</v>
      </c>
      <c r="H37" t="s">
        <v>29</v>
      </c>
      <c r="I37">
        <v>22584</v>
      </c>
      <c r="J37">
        <v>8</v>
      </c>
      <c r="K37">
        <v>4.7</v>
      </c>
      <c r="L37">
        <v>5</v>
      </c>
      <c r="M37" t="s">
        <v>30</v>
      </c>
    </row>
    <row r="38" spans="1:13">
      <c r="A38" t="s">
        <v>150</v>
      </c>
      <c r="B38" t="s">
        <v>96</v>
      </c>
      <c r="C38" t="s">
        <v>50</v>
      </c>
      <c r="D38" t="s">
        <v>41</v>
      </c>
      <c r="E38" t="s">
        <v>42</v>
      </c>
      <c r="F38" t="s">
        <v>27</v>
      </c>
      <c r="G38" t="s">
        <v>19</v>
      </c>
      <c r="H38" t="s">
        <v>20</v>
      </c>
      <c r="I38">
        <v>20496</v>
      </c>
      <c r="J38">
        <v>4</v>
      </c>
      <c r="K38">
        <v>3.4</v>
      </c>
      <c r="L38">
        <v>4</v>
      </c>
      <c r="M38" t="s">
        <v>21</v>
      </c>
    </row>
    <row r="39" spans="1:13">
      <c r="A39" t="s">
        <v>151</v>
      </c>
      <c r="B39" t="s">
        <v>152</v>
      </c>
      <c r="C39" t="s">
        <v>58</v>
      </c>
      <c r="D39" t="s">
        <v>116</v>
      </c>
      <c r="E39" t="s">
        <v>17</v>
      </c>
      <c r="F39" t="s">
        <v>27</v>
      </c>
      <c r="G39" t="s">
        <v>54</v>
      </c>
      <c r="H39" t="s">
        <v>64</v>
      </c>
      <c r="I39">
        <v>8466</v>
      </c>
      <c r="J39">
        <v>6</v>
      </c>
      <c r="K39">
        <v>4.7</v>
      </c>
      <c r="L39">
        <v>7</v>
      </c>
      <c r="M39" t="s">
        <v>55</v>
      </c>
    </row>
    <row r="40" spans="1:13">
      <c r="A40" t="s">
        <v>153</v>
      </c>
      <c r="B40" t="s">
        <v>154</v>
      </c>
      <c r="C40" t="s">
        <v>122</v>
      </c>
      <c r="D40" t="s">
        <v>41</v>
      </c>
      <c r="E40" t="s">
        <v>42</v>
      </c>
      <c r="F40" t="s">
        <v>53</v>
      </c>
      <c r="G40" t="s">
        <v>28</v>
      </c>
      <c r="H40" t="s">
        <v>64</v>
      </c>
      <c r="I40">
        <v>25865</v>
      </c>
      <c r="J40">
        <v>5</v>
      </c>
      <c r="K40">
        <v>4.8</v>
      </c>
      <c r="L40">
        <v>8</v>
      </c>
      <c r="M40" t="s">
        <v>126</v>
      </c>
    </row>
    <row r="41" spans="1:13">
      <c r="A41" t="s">
        <v>155</v>
      </c>
      <c r="B41" t="s">
        <v>156</v>
      </c>
      <c r="C41" t="s">
        <v>58</v>
      </c>
      <c r="D41" t="s">
        <v>116</v>
      </c>
      <c r="E41" t="s">
        <v>17</v>
      </c>
      <c r="F41" t="s">
        <v>100</v>
      </c>
      <c r="G41" t="s">
        <v>54</v>
      </c>
      <c r="H41" t="s">
        <v>36</v>
      </c>
      <c r="I41">
        <v>12481</v>
      </c>
      <c r="J41">
        <v>7</v>
      </c>
      <c r="K41">
        <v>4.2</v>
      </c>
      <c r="L41">
        <v>7</v>
      </c>
      <c r="M41" t="s">
        <v>126</v>
      </c>
    </row>
    <row r="42" spans="1:13">
      <c r="A42" t="s">
        <v>157</v>
      </c>
      <c r="B42" t="s">
        <v>158</v>
      </c>
      <c r="C42" t="s">
        <v>50</v>
      </c>
      <c r="D42" t="s">
        <v>159</v>
      </c>
      <c r="E42" t="s">
        <v>42</v>
      </c>
      <c r="F42" t="s">
        <v>53</v>
      </c>
      <c r="G42" t="s">
        <v>28</v>
      </c>
      <c r="H42" t="s">
        <v>29</v>
      </c>
      <c r="I42">
        <v>10143</v>
      </c>
      <c r="J42">
        <v>3</v>
      </c>
      <c r="K42">
        <v>4</v>
      </c>
      <c r="L42">
        <v>6</v>
      </c>
      <c r="M42" t="s">
        <v>47</v>
      </c>
    </row>
    <row r="43" spans="1:13">
      <c r="A43" t="s">
        <v>160</v>
      </c>
      <c r="B43" t="s">
        <v>161</v>
      </c>
      <c r="C43" t="s">
        <v>15</v>
      </c>
      <c r="D43" t="s">
        <v>116</v>
      </c>
      <c r="E43" t="s">
        <v>17</v>
      </c>
      <c r="F43" t="s">
        <v>100</v>
      </c>
      <c r="G43" t="s">
        <v>19</v>
      </c>
      <c r="H43" t="s">
        <v>20</v>
      </c>
      <c r="I43">
        <v>1016</v>
      </c>
      <c r="J43">
        <v>1</v>
      </c>
      <c r="K43">
        <v>4.9000000000000004</v>
      </c>
      <c r="L43">
        <v>4</v>
      </c>
      <c r="M43" t="s">
        <v>144</v>
      </c>
    </row>
    <row r="44" spans="1:13">
      <c r="A44" t="s">
        <v>162</v>
      </c>
      <c r="B44" t="s">
        <v>163</v>
      </c>
      <c r="C44" t="s">
        <v>24</v>
      </c>
      <c r="D44" t="s">
        <v>51</v>
      </c>
      <c r="E44" t="s">
        <v>52</v>
      </c>
      <c r="F44" t="s">
        <v>53</v>
      </c>
      <c r="G44" t="s">
        <v>54</v>
      </c>
      <c r="H44" t="s">
        <v>36</v>
      </c>
      <c r="I44">
        <v>2284</v>
      </c>
      <c r="J44">
        <v>2</v>
      </c>
      <c r="K44">
        <v>3.5</v>
      </c>
      <c r="L44">
        <v>2</v>
      </c>
      <c r="M44" t="s">
        <v>119</v>
      </c>
    </row>
    <row r="45" spans="1:13">
      <c r="A45" t="s">
        <v>164</v>
      </c>
      <c r="B45" t="s">
        <v>139</v>
      </c>
      <c r="C45" t="s">
        <v>45</v>
      </c>
      <c r="D45" t="s">
        <v>165</v>
      </c>
      <c r="E45" t="s">
        <v>35</v>
      </c>
      <c r="F45" t="s">
        <v>18</v>
      </c>
      <c r="G45" t="s">
        <v>54</v>
      </c>
      <c r="H45" t="s">
        <v>29</v>
      </c>
      <c r="I45">
        <v>87227</v>
      </c>
      <c r="J45">
        <v>7</v>
      </c>
      <c r="K45">
        <v>3.6</v>
      </c>
      <c r="L45">
        <v>5</v>
      </c>
      <c r="M45" t="s">
        <v>119</v>
      </c>
    </row>
    <row r="46" spans="1:13">
      <c r="A46" t="s">
        <v>166</v>
      </c>
      <c r="B46" t="s">
        <v>167</v>
      </c>
      <c r="C46" t="s">
        <v>133</v>
      </c>
      <c r="D46" t="s">
        <v>69</v>
      </c>
      <c r="E46" t="s">
        <v>26</v>
      </c>
      <c r="F46" t="s">
        <v>53</v>
      </c>
      <c r="G46" t="s">
        <v>28</v>
      </c>
      <c r="H46" t="s">
        <v>20</v>
      </c>
      <c r="I46">
        <v>46092</v>
      </c>
      <c r="J46">
        <v>6</v>
      </c>
      <c r="K46">
        <v>4.7</v>
      </c>
      <c r="L46">
        <v>2</v>
      </c>
      <c r="M46" t="s">
        <v>119</v>
      </c>
    </row>
    <row r="47" spans="1:13">
      <c r="A47" t="s">
        <v>168</v>
      </c>
      <c r="B47" t="s">
        <v>169</v>
      </c>
      <c r="C47" t="s">
        <v>170</v>
      </c>
      <c r="D47" t="s">
        <v>159</v>
      </c>
      <c r="E47" t="s">
        <v>42</v>
      </c>
      <c r="F47" t="s">
        <v>83</v>
      </c>
      <c r="G47" t="s">
        <v>54</v>
      </c>
      <c r="H47" t="s">
        <v>29</v>
      </c>
      <c r="I47">
        <v>22540</v>
      </c>
      <c r="J47">
        <v>5</v>
      </c>
      <c r="K47">
        <v>4.7</v>
      </c>
      <c r="L47">
        <v>5</v>
      </c>
      <c r="M47" t="s">
        <v>65</v>
      </c>
    </row>
    <row r="48" spans="1:13">
      <c r="A48" t="s">
        <v>171</v>
      </c>
      <c r="B48" t="s">
        <v>172</v>
      </c>
      <c r="C48" t="s">
        <v>103</v>
      </c>
      <c r="D48" t="s">
        <v>159</v>
      </c>
      <c r="E48" t="s">
        <v>42</v>
      </c>
      <c r="F48" t="s">
        <v>53</v>
      </c>
      <c r="G48" t="s">
        <v>104</v>
      </c>
      <c r="H48" t="s">
        <v>29</v>
      </c>
      <c r="I48">
        <v>23534</v>
      </c>
      <c r="J48">
        <v>7</v>
      </c>
      <c r="K48">
        <v>4.0999999999999996</v>
      </c>
      <c r="L48">
        <v>6</v>
      </c>
      <c r="M48" t="s">
        <v>47</v>
      </c>
    </row>
    <row r="49" spans="1:13">
      <c r="A49" t="s">
        <v>173</v>
      </c>
      <c r="B49" t="s">
        <v>174</v>
      </c>
      <c r="C49" t="s">
        <v>125</v>
      </c>
      <c r="D49" t="s">
        <v>25</v>
      </c>
      <c r="E49" t="s">
        <v>26</v>
      </c>
      <c r="F49" t="s">
        <v>60</v>
      </c>
      <c r="G49" t="s">
        <v>54</v>
      </c>
      <c r="H49" t="s">
        <v>36</v>
      </c>
      <c r="I49">
        <v>39584</v>
      </c>
      <c r="J49">
        <v>4</v>
      </c>
      <c r="K49">
        <v>4.5999999999999996</v>
      </c>
      <c r="L49">
        <v>8</v>
      </c>
      <c r="M49" t="s">
        <v>65</v>
      </c>
    </row>
    <row r="50" spans="1:13">
      <c r="A50" t="s">
        <v>175</v>
      </c>
      <c r="B50" t="s">
        <v>176</v>
      </c>
      <c r="C50" t="s">
        <v>129</v>
      </c>
      <c r="D50" t="s">
        <v>34</v>
      </c>
      <c r="E50" t="s">
        <v>35</v>
      </c>
      <c r="F50" t="s">
        <v>27</v>
      </c>
      <c r="G50" t="s">
        <v>28</v>
      </c>
      <c r="H50" t="s">
        <v>29</v>
      </c>
      <c r="I50">
        <v>258124</v>
      </c>
      <c r="J50">
        <v>4</v>
      </c>
      <c r="K50">
        <v>3.8</v>
      </c>
      <c r="L50">
        <v>6</v>
      </c>
      <c r="M50" t="s">
        <v>55</v>
      </c>
    </row>
    <row r="51" spans="1:13">
      <c r="A51" t="s">
        <v>177</v>
      </c>
      <c r="B51" t="s">
        <v>178</v>
      </c>
      <c r="C51" t="s">
        <v>179</v>
      </c>
      <c r="D51" t="s">
        <v>130</v>
      </c>
      <c r="E51" t="s">
        <v>35</v>
      </c>
      <c r="F51" t="s">
        <v>83</v>
      </c>
      <c r="G51" t="s">
        <v>28</v>
      </c>
      <c r="H51" t="s">
        <v>29</v>
      </c>
      <c r="I51">
        <v>87718</v>
      </c>
      <c r="J51">
        <v>2</v>
      </c>
      <c r="K51">
        <v>4.9000000000000004</v>
      </c>
      <c r="L51">
        <v>3</v>
      </c>
      <c r="M51" t="s">
        <v>37</v>
      </c>
    </row>
    <row r="52" spans="1:13">
      <c r="A52" t="s">
        <v>180</v>
      </c>
      <c r="B52" t="s">
        <v>181</v>
      </c>
      <c r="C52" t="s">
        <v>103</v>
      </c>
      <c r="D52" t="s">
        <v>59</v>
      </c>
      <c r="E52" t="s">
        <v>26</v>
      </c>
      <c r="F52" t="s">
        <v>18</v>
      </c>
      <c r="G52" t="s">
        <v>54</v>
      </c>
      <c r="H52" t="s">
        <v>29</v>
      </c>
      <c r="I52">
        <v>23008</v>
      </c>
      <c r="J52">
        <v>4</v>
      </c>
      <c r="K52">
        <v>3.2</v>
      </c>
      <c r="L52">
        <v>3</v>
      </c>
      <c r="M52" t="s">
        <v>87</v>
      </c>
    </row>
    <row r="53" spans="1:13">
      <c r="A53" t="s">
        <v>182</v>
      </c>
      <c r="B53" t="s">
        <v>183</v>
      </c>
      <c r="C53" t="s">
        <v>103</v>
      </c>
      <c r="D53" t="s">
        <v>51</v>
      </c>
      <c r="E53" t="s">
        <v>52</v>
      </c>
      <c r="F53" t="s">
        <v>60</v>
      </c>
      <c r="G53" t="s">
        <v>54</v>
      </c>
      <c r="H53" t="s">
        <v>36</v>
      </c>
      <c r="I53">
        <v>1414</v>
      </c>
      <c r="J53">
        <v>1</v>
      </c>
      <c r="K53">
        <v>3.8</v>
      </c>
      <c r="L53">
        <v>1</v>
      </c>
      <c r="M53" t="s">
        <v>87</v>
      </c>
    </row>
    <row r="54" spans="1:13">
      <c r="A54" t="s">
        <v>184</v>
      </c>
      <c r="B54" t="s">
        <v>185</v>
      </c>
      <c r="C54" t="s">
        <v>78</v>
      </c>
      <c r="D54" t="s">
        <v>90</v>
      </c>
      <c r="E54" t="s">
        <v>42</v>
      </c>
      <c r="F54" t="s">
        <v>60</v>
      </c>
      <c r="G54" t="s">
        <v>19</v>
      </c>
      <c r="H54" t="s">
        <v>64</v>
      </c>
      <c r="I54">
        <v>3189</v>
      </c>
      <c r="J54">
        <v>1</v>
      </c>
      <c r="K54">
        <v>5</v>
      </c>
      <c r="L54">
        <v>2</v>
      </c>
      <c r="M54" t="s">
        <v>87</v>
      </c>
    </row>
    <row r="55" spans="1:13">
      <c r="A55" t="s">
        <v>186</v>
      </c>
      <c r="B55" t="s">
        <v>187</v>
      </c>
      <c r="C55" t="s">
        <v>75</v>
      </c>
      <c r="D55" t="s">
        <v>90</v>
      </c>
      <c r="E55" t="s">
        <v>42</v>
      </c>
      <c r="F55" t="s">
        <v>83</v>
      </c>
      <c r="G55" t="s">
        <v>19</v>
      </c>
      <c r="H55" t="s">
        <v>20</v>
      </c>
      <c r="I55">
        <v>10584</v>
      </c>
      <c r="J55">
        <v>7</v>
      </c>
      <c r="K55">
        <v>4.3</v>
      </c>
      <c r="L55">
        <v>5</v>
      </c>
      <c r="M55" t="s">
        <v>126</v>
      </c>
    </row>
    <row r="56" spans="1:13">
      <c r="A56" t="s">
        <v>188</v>
      </c>
      <c r="B56" t="s">
        <v>189</v>
      </c>
      <c r="C56" t="s">
        <v>40</v>
      </c>
      <c r="D56" t="s">
        <v>25</v>
      </c>
      <c r="E56" t="s">
        <v>26</v>
      </c>
      <c r="F56" t="s">
        <v>27</v>
      </c>
      <c r="G56" t="s">
        <v>28</v>
      </c>
      <c r="H56" t="s">
        <v>36</v>
      </c>
      <c r="I56">
        <v>5571</v>
      </c>
      <c r="J56">
        <v>1</v>
      </c>
      <c r="K56">
        <v>3.3</v>
      </c>
      <c r="L56">
        <v>5</v>
      </c>
      <c r="M56" t="s">
        <v>80</v>
      </c>
    </row>
    <row r="57" spans="1:13">
      <c r="A57" t="s">
        <v>190</v>
      </c>
      <c r="B57" t="s">
        <v>191</v>
      </c>
      <c r="C57" t="s">
        <v>72</v>
      </c>
      <c r="D57" t="s">
        <v>109</v>
      </c>
      <c r="E57" t="s">
        <v>52</v>
      </c>
      <c r="F57" t="s">
        <v>18</v>
      </c>
      <c r="G57" t="s">
        <v>54</v>
      </c>
      <c r="H57" t="s">
        <v>20</v>
      </c>
      <c r="I57">
        <v>2880</v>
      </c>
      <c r="J57">
        <v>4</v>
      </c>
      <c r="K57">
        <v>3.5</v>
      </c>
      <c r="L57">
        <v>5</v>
      </c>
      <c r="M57" t="s">
        <v>192</v>
      </c>
    </row>
    <row r="58" spans="1:13">
      <c r="A58" t="s">
        <v>193</v>
      </c>
      <c r="B58" t="s">
        <v>102</v>
      </c>
      <c r="C58" t="s">
        <v>146</v>
      </c>
      <c r="D58" t="s">
        <v>165</v>
      </c>
      <c r="E58" t="s">
        <v>35</v>
      </c>
      <c r="F58" t="s">
        <v>18</v>
      </c>
      <c r="G58" t="s">
        <v>54</v>
      </c>
      <c r="H58" t="s">
        <v>64</v>
      </c>
      <c r="I58">
        <v>319665</v>
      </c>
      <c r="J58">
        <v>5</v>
      </c>
      <c r="K58">
        <v>4.9000000000000004</v>
      </c>
      <c r="L58">
        <v>8</v>
      </c>
      <c r="M58" t="s">
        <v>30</v>
      </c>
    </row>
    <row r="59" spans="1:13">
      <c r="A59" t="s">
        <v>194</v>
      </c>
      <c r="B59" t="s">
        <v>195</v>
      </c>
      <c r="C59" t="s">
        <v>58</v>
      </c>
      <c r="D59" t="s">
        <v>165</v>
      </c>
      <c r="E59" t="s">
        <v>35</v>
      </c>
      <c r="F59" t="s">
        <v>18</v>
      </c>
      <c r="G59" t="s">
        <v>19</v>
      </c>
      <c r="H59" t="s">
        <v>64</v>
      </c>
      <c r="I59">
        <v>77892</v>
      </c>
      <c r="J59">
        <v>1</v>
      </c>
      <c r="K59">
        <v>5</v>
      </c>
      <c r="L59">
        <v>5</v>
      </c>
      <c r="M59" t="s">
        <v>21</v>
      </c>
    </row>
    <row r="60" spans="1:13">
      <c r="A60" t="s">
        <v>196</v>
      </c>
      <c r="B60" t="s">
        <v>197</v>
      </c>
      <c r="C60" t="s">
        <v>170</v>
      </c>
      <c r="D60" t="s">
        <v>69</v>
      </c>
      <c r="E60" t="s">
        <v>26</v>
      </c>
      <c r="F60" t="s">
        <v>27</v>
      </c>
      <c r="G60" t="s">
        <v>54</v>
      </c>
      <c r="H60" t="s">
        <v>20</v>
      </c>
      <c r="I60">
        <v>25500</v>
      </c>
      <c r="J60">
        <v>3</v>
      </c>
      <c r="K60">
        <v>3.8</v>
      </c>
      <c r="L60">
        <v>6</v>
      </c>
      <c r="M60" t="s">
        <v>21</v>
      </c>
    </row>
    <row r="61" spans="1:13">
      <c r="A61" t="s">
        <v>198</v>
      </c>
      <c r="B61" t="s">
        <v>199</v>
      </c>
      <c r="C61" t="s">
        <v>170</v>
      </c>
      <c r="D61" t="s">
        <v>97</v>
      </c>
      <c r="E61" t="s">
        <v>35</v>
      </c>
      <c r="F61" t="s">
        <v>18</v>
      </c>
      <c r="G61" t="s">
        <v>28</v>
      </c>
      <c r="H61" t="s">
        <v>36</v>
      </c>
      <c r="I61">
        <v>596816</v>
      </c>
      <c r="J61">
        <v>8</v>
      </c>
      <c r="K61">
        <v>3.4</v>
      </c>
      <c r="L61">
        <v>5</v>
      </c>
      <c r="M61" t="s">
        <v>119</v>
      </c>
    </row>
    <row r="62" spans="1:13">
      <c r="A62" t="s">
        <v>200</v>
      </c>
      <c r="B62" t="s">
        <v>201</v>
      </c>
      <c r="C62" t="s">
        <v>179</v>
      </c>
      <c r="D62" t="s">
        <v>69</v>
      </c>
      <c r="E62" t="s">
        <v>26</v>
      </c>
      <c r="F62" t="s">
        <v>53</v>
      </c>
      <c r="G62" t="s">
        <v>19</v>
      </c>
      <c r="H62" t="s">
        <v>29</v>
      </c>
      <c r="I62">
        <v>8967</v>
      </c>
      <c r="J62">
        <v>1</v>
      </c>
      <c r="K62">
        <v>4.3</v>
      </c>
      <c r="L62">
        <v>1</v>
      </c>
      <c r="M62" t="s">
        <v>55</v>
      </c>
    </row>
    <row r="63" spans="1:13">
      <c r="A63" t="s">
        <v>202</v>
      </c>
      <c r="B63" t="s">
        <v>203</v>
      </c>
      <c r="C63" t="s">
        <v>75</v>
      </c>
      <c r="D63" t="s">
        <v>90</v>
      </c>
      <c r="E63" t="s">
        <v>42</v>
      </c>
      <c r="F63" t="s">
        <v>83</v>
      </c>
      <c r="G63" t="s">
        <v>54</v>
      </c>
      <c r="H63" t="s">
        <v>64</v>
      </c>
      <c r="I63">
        <v>3245</v>
      </c>
      <c r="J63">
        <v>1</v>
      </c>
      <c r="K63">
        <v>3.2</v>
      </c>
      <c r="L63">
        <v>7</v>
      </c>
      <c r="M63" t="s">
        <v>80</v>
      </c>
    </row>
    <row r="64" spans="1:13">
      <c r="A64" t="s">
        <v>204</v>
      </c>
      <c r="B64" t="s">
        <v>205</v>
      </c>
      <c r="C64" t="s">
        <v>50</v>
      </c>
      <c r="D64" t="s">
        <v>86</v>
      </c>
      <c r="E64" t="s">
        <v>17</v>
      </c>
      <c r="F64" t="s">
        <v>83</v>
      </c>
      <c r="G64" t="s">
        <v>19</v>
      </c>
      <c r="H64" t="s">
        <v>36</v>
      </c>
      <c r="I64">
        <v>6710</v>
      </c>
      <c r="J64">
        <v>5</v>
      </c>
      <c r="K64">
        <v>3.6</v>
      </c>
      <c r="L64">
        <v>3</v>
      </c>
      <c r="M64" t="s">
        <v>65</v>
      </c>
    </row>
    <row r="65" spans="1:13">
      <c r="A65" t="s">
        <v>206</v>
      </c>
      <c r="B65" t="s">
        <v>207</v>
      </c>
      <c r="C65" t="s">
        <v>72</v>
      </c>
      <c r="D65" t="s">
        <v>97</v>
      </c>
      <c r="E65" t="s">
        <v>35</v>
      </c>
      <c r="F65" t="s">
        <v>60</v>
      </c>
      <c r="G65" t="s">
        <v>28</v>
      </c>
      <c r="H65" t="s">
        <v>29</v>
      </c>
      <c r="I65">
        <v>208160</v>
      </c>
      <c r="J65">
        <v>5</v>
      </c>
      <c r="K65">
        <v>5</v>
      </c>
      <c r="L65">
        <v>8</v>
      </c>
      <c r="M65" t="s">
        <v>126</v>
      </c>
    </row>
    <row r="66" spans="1:13">
      <c r="A66" t="s">
        <v>208</v>
      </c>
      <c r="B66" t="s">
        <v>209</v>
      </c>
      <c r="C66" t="s">
        <v>33</v>
      </c>
      <c r="D66" t="s">
        <v>165</v>
      </c>
      <c r="E66" t="s">
        <v>35</v>
      </c>
      <c r="F66" t="s">
        <v>53</v>
      </c>
      <c r="G66" t="s">
        <v>28</v>
      </c>
      <c r="H66" t="s">
        <v>64</v>
      </c>
      <c r="I66">
        <v>190589</v>
      </c>
      <c r="J66">
        <v>7</v>
      </c>
      <c r="K66">
        <v>3.9</v>
      </c>
      <c r="L66">
        <v>7</v>
      </c>
      <c r="M66" t="s">
        <v>30</v>
      </c>
    </row>
    <row r="67" spans="1:13">
      <c r="A67" t="s">
        <v>210</v>
      </c>
      <c r="B67" t="s">
        <v>211</v>
      </c>
      <c r="C67" t="s">
        <v>68</v>
      </c>
      <c r="D67" t="s">
        <v>159</v>
      </c>
      <c r="E67" t="s">
        <v>42</v>
      </c>
      <c r="F67" t="s">
        <v>100</v>
      </c>
      <c r="G67" t="s">
        <v>28</v>
      </c>
      <c r="H67" t="s">
        <v>36</v>
      </c>
      <c r="I67">
        <v>3419</v>
      </c>
      <c r="J67">
        <v>1</v>
      </c>
      <c r="K67">
        <v>4.8</v>
      </c>
      <c r="L67">
        <v>8</v>
      </c>
      <c r="M67" t="s">
        <v>65</v>
      </c>
    </row>
    <row r="68" spans="1:13">
      <c r="A68" t="s">
        <v>212</v>
      </c>
      <c r="B68" t="s">
        <v>213</v>
      </c>
      <c r="C68" t="s">
        <v>170</v>
      </c>
      <c r="D68" t="s">
        <v>51</v>
      </c>
      <c r="E68" t="s">
        <v>52</v>
      </c>
      <c r="F68" t="s">
        <v>27</v>
      </c>
      <c r="G68" t="s">
        <v>28</v>
      </c>
      <c r="H68" t="s">
        <v>29</v>
      </c>
      <c r="I68">
        <v>6519</v>
      </c>
      <c r="J68">
        <v>3</v>
      </c>
      <c r="K68">
        <v>4.4000000000000004</v>
      </c>
      <c r="L68">
        <v>2</v>
      </c>
      <c r="M68" t="s">
        <v>119</v>
      </c>
    </row>
    <row r="69" spans="1:13">
      <c r="A69" t="s">
        <v>214</v>
      </c>
      <c r="B69" t="s">
        <v>215</v>
      </c>
      <c r="C69" t="s">
        <v>146</v>
      </c>
      <c r="D69" t="s">
        <v>41</v>
      </c>
      <c r="E69" t="s">
        <v>42</v>
      </c>
      <c r="F69" t="s">
        <v>83</v>
      </c>
      <c r="G69" t="s">
        <v>104</v>
      </c>
      <c r="H69" t="s">
        <v>36</v>
      </c>
      <c r="I69">
        <v>2880</v>
      </c>
      <c r="J69">
        <v>2</v>
      </c>
      <c r="K69">
        <v>5</v>
      </c>
      <c r="L69">
        <v>2</v>
      </c>
      <c r="M69" t="s">
        <v>192</v>
      </c>
    </row>
    <row r="70" spans="1:13">
      <c r="A70" t="s">
        <v>216</v>
      </c>
      <c r="B70" t="s">
        <v>217</v>
      </c>
      <c r="C70" t="s">
        <v>24</v>
      </c>
      <c r="D70" t="s">
        <v>218</v>
      </c>
      <c r="E70" t="s">
        <v>17</v>
      </c>
      <c r="F70" t="s">
        <v>83</v>
      </c>
      <c r="G70" t="s">
        <v>54</v>
      </c>
      <c r="H70" t="s">
        <v>64</v>
      </c>
      <c r="I70">
        <v>5170</v>
      </c>
      <c r="J70">
        <v>5</v>
      </c>
      <c r="K70">
        <v>4.2</v>
      </c>
      <c r="L70">
        <v>3</v>
      </c>
      <c r="M70" t="s">
        <v>144</v>
      </c>
    </row>
    <row r="71" spans="1:13">
      <c r="A71" t="s">
        <v>219</v>
      </c>
      <c r="B71" t="s">
        <v>220</v>
      </c>
      <c r="C71" t="s">
        <v>40</v>
      </c>
      <c r="D71" t="s">
        <v>79</v>
      </c>
      <c r="E71" t="s">
        <v>26</v>
      </c>
      <c r="F71" t="s">
        <v>27</v>
      </c>
      <c r="G71" t="s">
        <v>19</v>
      </c>
      <c r="H71" t="s">
        <v>36</v>
      </c>
      <c r="I71">
        <v>14949</v>
      </c>
      <c r="J71">
        <v>3</v>
      </c>
      <c r="K71">
        <v>4.4000000000000004</v>
      </c>
      <c r="L71">
        <v>8</v>
      </c>
      <c r="M71" t="s">
        <v>65</v>
      </c>
    </row>
    <row r="72" spans="1:13">
      <c r="A72" t="s">
        <v>221</v>
      </c>
      <c r="B72" t="s">
        <v>222</v>
      </c>
      <c r="C72" t="s">
        <v>125</v>
      </c>
      <c r="D72" t="s">
        <v>46</v>
      </c>
      <c r="E72" t="s">
        <v>42</v>
      </c>
      <c r="F72" t="s">
        <v>18</v>
      </c>
      <c r="G72" t="s">
        <v>19</v>
      </c>
      <c r="H72" t="s">
        <v>64</v>
      </c>
      <c r="I72">
        <v>22210</v>
      </c>
      <c r="J72">
        <v>5</v>
      </c>
      <c r="K72">
        <v>3.6</v>
      </c>
      <c r="L72">
        <v>7</v>
      </c>
      <c r="M72" t="s">
        <v>30</v>
      </c>
    </row>
    <row r="73" spans="1:13">
      <c r="A73" t="s">
        <v>223</v>
      </c>
      <c r="B73" t="s">
        <v>224</v>
      </c>
      <c r="C73" t="s">
        <v>45</v>
      </c>
      <c r="D73" t="s">
        <v>59</v>
      </c>
      <c r="E73" t="s">
        <v>26</v>
      </c>
      <c r="F73" t="s">
        <v>27</v>
      </c>
      <c r="G73" t="s">
        <v>28</v>
      </c>
      <c r="H73" t="s">
        <v>29</v>
      </c>
      <c r="I73">
        <v>26485</v>
      </c>
      <c r="J73">
        <v>5</v>
      </c>
      <c r="K73">
        <v>3.2</v>
      </c>
      <c r="L73">
        <v>1</v>
      </c>
      <c r="M73" t="s">
        <v>30</v>
      </c>
    </row>
    <row r="74" spans="1:13">
      <c r="A74" t="s">
        <v>225</v>
      </c>
      <c r="B74" t="s">
        <v>226</v>
      </c>
      <c r="C74" t="s">
        <v>40</v>
      </c>
      <c r="D74" t="s">
        <v>109</v>
      </c>
      <c r="E74" t="s">
        <v>52</v>
      </c>
      <c r="F74" t="s">
        <v>60</v>
      </c>
      <c r="G74" t="s">
        <v>54</v>
      </c>
      <c r="H74" t="s">
        <v>29</v>
      </c>
      <c r="I74">
        <v>5104</v>
      </c>
      <c r="J74">
        <v>4</v>
      </c>
      <c r="K74">
        <v>4.8</v>
      </c>
      <c r="L74">
        <v>1</v>
      </c>
      <c r="M74" t="s">
        <v>37</v>
      </c>
    </row>
    <row r="75" spans="1:13">
      <c r="A75" t="s">
        <v>227</v>
      </c>
      <c r="B75" t="s">
        <v>228</v>
      </c>
      <c r="C75" t="s">
        <v>112</v>
      </c>
      <c r="D75" t="s">
        <v>147</v>
      </c>
      <c r="E75" t="s">
        <v>52</v>
      </c>
      <c r="F75" t="s">
        <v>100</v>
      </c>
      <c r="G75" t="s">
        <v>104</v>
      </c>
      <c r="H75" t="s">
        <v>20</v>
      </c>
      <c r="I75">
        <v>5814</v>
      </c>
      <c r="J75">
        <v>6</v>
      </c>
      <c r="K75">
        <v>4.8</v>
      </c>
      <c r="L75">
        <v>6</v>
      </c>
      <c r="M75" t="s">
        <v>126</v>
      </c>
    </row>
    <row r="76" spans="1:13">
      <c r="A76" t="s">
        <v>229</v>
      </c>
      <c r="B76" t="s">
        <v>228</v>
      </c>
      <c r="C76" t="s">
        <v>78</v>
      </c>
      <c r="D76" t="s">
        <v>97</v>
      </c>
      <c r="E76" t="s">
        <v>35</v>
      </c>
      <c r="F76" t="s">
        <v>53</v>
      </c>
      <c r="G76" t="s">
        <v>54</v>
      </c>
      <c r="H76" t="s">
        <v>64</v>
      </c>
      <c r="I76">
        <v>74214</v>
      </c>
      <c r="J76">
        <v>6</v>
      </c>
      <c r="K76">
        <v>4.7</v>
      </c>
      <c r="L76">
        <v>7</v>
      </c>
      <c r="M76" t="s">
        <v>126</v>
      </c>
    </row>
    <row r="77" spans="1:13">
      <c r="A77" t="s">
        <v>230</v>
      </c>
      <c r="B77" t="s">
        <v>231</v>
      </c>
      <c r="C77" t="s">
        <v>68</v>
      </c>
      <c r="D77" t="s">
        <v>218</v>
      </c>
      <c r="E77" t="s">
        <v>17</v>
      </c>
      <c r="F77" t="s">
        <v>27</v>
      </c>
      <c r="G77" t="s">
        <v>19</v>
      </c>
      <c r="H77" t="s">
        <v>64</v>
      </c>
      <c r="I77">
        <v>2462</v>
      </c>
      <c r="J77">
        <v>2</v>
      </c>
      <c r="K77">
        <v>4.7</v>
      </c>
      <c r="L77">
        <v>6</v>
      </c>
      <c r="M77" t="s">
        <v>30</v>
      </c>
    </row>
    <row r="78" spans="1:13">
      <c r="A78" t="s">
        <v>232</v>
      </c>
      <c r="B78" t="s">
        <v>233</v>
      </c>
      <c r="C78" t="s">
        <v>33</v>
      </c>
      <c r="D78" t="s">
        <v>218</v>
      </c>
      <c r="E78" t="s">
        <v>17</v>
      </c>
      <c r="F78" t="s">
        <v>18</v>
      </c>
      <c r="G78" t="s">
        <v>104</v>
      </c>
      <c r="H78" t="s">
        <v>64</v>
      </c>
      <c r="I78">
        <v>6504</v>
      </c>
      <c r="J78">
        <v>4</v>
      </c>
      <c r="K78">
        <v>3.9</v>
      </c>
      <c r="L78">
        <v>3</v>
      </c>
      <c r="M78" t="s">
        <v>192</v>
      </c>
    </row>
    <row r="79" spans="1:13">
      <c r="A79" t="s">
        <v>234</v>
      </c>
      <c r="B79" t="s">
        <v>235</v>
      </c>
      <c r="C79" t="s">
        <v>133</v>
      </c>
      <c r="D79" t="s">
        <v>16</v>
      </c>
      <c r="E79" t="s">
        <v>17</v>
      </c>
      <c r="F79" t="s">
        <v>27</v>
      </c>
      <c r="G79" t="s">
        <v>54</v>
      </c>
      <c r="H79" t="s">
        <v>64</v>
      </c>
      <c r="I79">
        <v>3285</v>
      </c>
      <c r="J79">
        <v>3</v>
      </c>
      <c r="K79">
        <v>4.3</v>
      </c>
      <c r="L79">
        <v>3</v>
      </c>
      <c r="M79" t="s">
        <v>21</v>
      </c>
    </row>
    <row r="80" spans="1:13">
      <c r="A80" t="s">
        <v>236</v>
      </c>
      <c r="B80" t="s">
        <v>237</v>
      </c>
      <c r="C80" t="s">
        <v>68</v>
      </c>
      <c r="D80" t="s">
        <v>69</v>
      </c>
      <c r="E80" t="s">
        <v>26</v>
      </c>
      <c r="F80" t="s">
        <v>27</v>
      </c>
      <c r="G80" t="s">
        <v>104</v>
      </c>
      <c r="H80" t="s">
        <v>29</v>
      </c>
      <c r="I80">
        <v>8085</v>
      </c>
      <c r="J80">
        <v>1</v>
      </c>
      <c r="K80">
        <v>4.9000000000000004</v>
      </c>
      <c r="L80">
        <v>6</v>
      </c>
      <c r="M80" t="s">
        <v>21</v>
      </c>
    </row>
    <row r="81" spans="1:13">
      <c r="A81" t="s">
        <v>238</v>
      </c>
      <c r="B81" t="s">
        <v>115</v>
      </c>
      <c r="C81" t="s">
        <v>33</v>
      </c>
      <c r="D81" t="s">
        <v>116</v>
      </c>
      <c r="E81" t="s">
        <v>17</v>
      </c>
      <c r="F81" t="s">
        <v>53</v>
      </c>
      <c r="G81" t="s">
        <v>19</v>
      </c>
      <c r="H81" t="s">
        <v>20</v>
      </c>
      <c r="I81">
        <v>2200</v>
      </c>
      <c r="J81">
        <v>4</v>
      </c>
      <c r="K81">
        <v>4.4000000000000004</v>
      </c>
      <c r="L81">
        <v>1</v>
      </c>
      <c r="M81" t="s">
        <v>21</v>
      </c>
    </row>
    <row r="82" spans="1:13">
      <c r="A82" t="s">
        <v>239</v>
      </c>
      <c r="B82" t="s">
        <v>108</v>
      </c>
      <c r="C82" t="s">
        <v>103</v>
      </c>
      <c r="D82" t="s">
        <v>79</v>
      </c>
      <c r="E82" t="s">
        <v>26</v>
      </c>
      <c r="F82" t="s">
        <v>83</v>
      </c>
      <c r="G82" t="s">
        <v>19</v>
      </c>
      <c r="H82" t="s">
        <v>29</v>
      </c>
      <c r="I82">
        <v>12868</v>
      </c>
      <c r="J82">
        <v>4</v>
      </c>
      <c r="K82">
        <v>4.5999999999999996</v>
      </c>
      <c r="L82">
        <v>1</v>
      </c>
      <c r="M82" t="s">
        <v>87</v>
      </c>
    </row>
    <row r="83" spans="1:13">
      <c r="A83" t="s">
        <v>240</v>
      </c>
      <c r="B83" t="s">
        <v>167</v>
      </c>
      <c r="C83" t="s">
        <v>103</v>
      </c>
      <c r="D83" t="s">
        <v>147</v>
      </c>
      <c r="E83" t="s">
        <v>52</v>
      </c>
      <c r="F83" t="s">
        <v>18</v>
      </c>
      <c r="G83" t="s">
        <v>19</v>
      </c>
      <c r="H83" t="s">
        <v>64</v>
      </c>
      <c r="I83">
        <v>310</v>
      </c>
      <c r="J83">
        <v>1</v>
      </c>
      <c r="K83">
        <v>3.8</v>
      </c>
      <c r="L83">
        <v>3</v>
      </c>
      <c r="M83" t="s">
        <v>119</v>
      </c>
    </row>
    <row r="84" spans="1:13">
      <c r="A84" t="s">
        <v>241</v>
      </c>
      <c r="B84" t="s">
        <v>242</v>
      </c>
      <c r="C84" t="s">
        <v>45</v>
      </c>
      <c r="D84" t="s">
        <v>25</v>
      </c>
      <c r="E84" t="s">
        <v>26</v>
      </c>
      <c r="F84" t="s">
        <v>18</v>
      </c>
      <c r="G84" t="s">
        <v>104</v>
      </c>
      <c r="H84" t="s">
        <v>64</v>
      </c>
      <c r="I84">
        <v>20688</v>
      </c>
      <c r="J84">
        <v>8</v>
      </c>
      <c r="K84">
        <v>4</v>
      </c>
      <c r="L84">
        <v>4</v>
      </c>
      <c r="M84" t="s">
        <v>87</v>
      </c>
    </row>
    <row r="85" spans="1:13">
      <c r="A85" t="s">
        <v>243</v>
      </c>
      <c r="B85" t="s">
        <v>244</v>
      </c>
      <c r="C85" t="s">
        <v>45</v>
      </c>
      <c r="D85" t="s">
        <v>16</v>
      </c>
      <c r="E85" t="s">
        <v>17</v>
      </c>
      <c r="F85" t="s">
        <v>83</v>
      </c>
      <c r="G85" t="s">
        <v>54</v>
      </c>
      <c r="H85" t="s">
        <v>20</v>
      </c>
      <c r="I85">
        <v>8211</v>
      </c>
      <c r="J85">
        <v>7</v>
      </c>
      <c r="K85">
        <v>4.8</v>
      </c>
      <c r="L85">
        <v>6</v>
      </c>
      <c r="M85" t="s">
        <v>65</v>
      </c>
    </row>
    <row r="86" spans="1:13">
      <c r="A86" t="s">
        <v>245</v>
      </c>
      <c r="B86" t="s">
        <v>246</v>
      </c>
      <c r="C86" t="s">
        <v>68</v>
      </c>
      <c r="D86" t="s">
        <v>165</v>
      </c>
      <c r="E86" t="s">
        <v>35</v>
      </c>
      <c r="F86" t="s">
        <v>27</v>
      </c>
      <c r="G86" t="s">
        <v>19</v>
      </c>
      <c r="H86" t="s">
        <v>64</v>
      </c>
      <c r="I86">
        <v>246912</v>
      </c>
      <c r="J86">
        <v>6</v>
      </c>
      <c r="K86">
        <v>4.3</v>
      </c>
      <c r="L86">
        <v>2</v>
      </c>
      <c r="M86" t="s">
        <v>192</v>
      </c>
    </row>
    <row r="87" spans="1:13">
      <c r="A87" t="s">
        <v>247</v>
      </c>
      <c r="B87" t="s">
        <v>201</v>
      </c>
      <c r="C87" t="s">
        <v>129</v>
      </c>
      <c r="D87" t="s">
        <v>159</v>
      </c>
      <c r="E87" t="s">
        <v>42</v>
      </c>
      <c r="F87" t="s">
        <v>83</v>
      </c>
      <c r="G87" t="s">
        <v>28</v>
      </c>
      <c r="H87" t="s">
        <v>36</v>
      </c>
      <c r="I87">
        <v>8868</v>
      </c>
      <c r="J87">
        <v>6</v>
      </c>
      <c r="K87">
        <v>4</v>
      </c>
      <c r="L87">
        <v>5</v>
      </c>
      <c r="M87" t="s">
        <v>55</v>
      </c>
    </row>
    <row r="88" spans="1:13">
      <c r="A88" t="s">
        <v>248</v>
      </c>
      <c r="B88" t="s">
        <v>94</v>
      </c>
      <c r="C88" t="s">
        <v>68</v>
      </c>
      <c r="D88" t="s">
        <v>16</v>
      </c>
      <c r="E88" t="s">
        <v>17</v>
      </c>
      <c r="F88" t="s">
        <v>60</v>
      </c>
      <c r="G88" t="s">
        <v>104</v>
      </c>
      <c r="H88" t="s">
        <v>64</v>
      </c>
      <c r="I88">
        <v>3479</v>
      </c>
      <c r="J88">
        <v>7</v>
      </c>
      <c r="K88">
        <v>4.3</v>
      </c>
      <c r="L88">
        <v>6</v>
      </c>
      <c r="M88" t="s">
        <v>87</v>
      </c>
    </row>
    <row r="89" spans="1:13">
      <c r="A89" t="s">
        <v>249</v>
      </c>
      <c r="B89" t="s">
        <v>250</v>
      </c>
      <c r="C89" t="s">
        <v>122</v>
      </c>
      <c r="D89" t="s">
        <v>218</v>
      </c>
      <c r="E89" t="s">
        <v>17</v>
      </c>
      <c r="F89" t="s">
        <v>18</v>
      </c>
      <c r="G89" t="s">
        <v>104</v>
      </c>
      <c r="H89" t="s">
        <v>29</v>
      </c>
      <c r="I89">
        <v>5100</v>
      </c>
      <c r="J89">
        <v>5</v>
      </c>
      <c r="K89">
        <v>3.5</v>
      </c>
      <c r="L89">
        <v>8</v>
      </c>
      <c r="M89" t="s">
        <v>192</v>
      </c>
    </row>
    <row r="90" spans="1:13">
      <c r="A90" t="s">
        <v>251</v>
      </c>
      <c r="B90" t="s">
        <v>252</v>
      </c>
      <c r="C90" t="s">
        <v>170</v>
      </c>
      <c r="D90" t="s">
        <v>218</v>
      </c>
      <c r="E90" t="s">
        <v>17</v>
      </c>
      <c r="F90" t="s">
        <v>53</v>
      </c>
      <c r="G90" t="s">
        <v>54</v>
      </c>
      <c r="H90" t="s">
        <v>20</v>
      </c>
      <c r="I90">
        <v>4712</v>
      </c>
      <c r="J90">
        <v>4</v>
      </c>
      <c r="K90">
        <v>3.5</v>
      </c>
      <c r="L90">
        <v>5</v>
      </c>
      <c r="M90" t="s">
        <v>30</v>
      </c>
    </row>
    <row r="91" spans="1:13">
      <c r="A91" t="s">
        <v>253</v>
      </c>
      <c r="B91" t="s">
        <v>108</v>
      </c>
      <c r="C91" t="s">
        <v>170</v>
      </c>
      <c r="D91" t="s">
        <v>51</v>
      </c>
      <c r="E91" t="s">
        <v>52</v>
      </c>
      <c r="F91" t="s">
        <v>83</v>
      </c>
      <c r="G91" t="s">
        <v>104</v>
      </c>
      <c r="H91" t="s">
        <v>29</v>
      </c>
      <c r="I91">
        <v>1125</v>
      </c>
      <c r="J91">
        <v>3</v>
      </c>
      <c r="K91">
        <v>3.9</v>
      </c>
      <c r="L91">
        <v>8</v>
      </c>
      <c r="M91" t="s">
        <v>87</v>
      </c>
    </row>
    <row r="92" spans="1:13">
      <c r="A92" t="s">
        <v>254</v>
      </c>
      <c r="B92" t="s">
        <v>255</v>
      </c>
      <c r="C92" t="s">
        <v>146</v>
      </c>
      <c r="D92" t="s">
        <v>165</v>
      </c>
      <c r="E92" t="s">
        <v>35</v>
      </c>
      <c r="F92" t="s">
        <v>27</v>
      </c>
      <c r="G92" t="s">
        <v>28</v>
      </c>
      <c r="H92" t="s">
        <v>64</v>
      </c>
      <c r="I92">
        <v>46264</v>
      </c>
      <c r="J92">
        <v>2</v>
      </c>
      <c r="K92">
        <v>4.4000000000000004</v>
      </c>
      <c r="L92">
        <v>5</v>
      </c>
      <c r="M92" t="s">
        <v>192</v>
      </c>
    </row>
    <row r="93" spans="1:13">
      <c r="A93" t="s">
        <v>256</v>
      </c>
      <c r="B93" t="s">
        <v>257</v>
      </c>
      <c r="C93" t="s">
        <v>112</v>
      </c>
      <c r="D93" t="s">
        <v>69</v>
      </c>
      <c r="E93" t="s">
        <v>26</v>
      </c>
      <c r="F93" t="s">
        <v>27</v>
      </c>
      <c r="G93" t="s">
        <v>104</v>
      </c>
      <c r="H93" t="s">
        <v>36</v>
      </c>
      <c r="I93">
        <v>39215</v>
      </c>
      <c r="J93">
        <v>5</v>
      </c>
      <c r="K93">
        <v>3.4</v>
      </c>
      <c r="L93">
        <v>8</v>
      </c>
      <c r="M93" t="s">
        <v>47</v>
      </c>
    </row>
    <row r="94" spans="1:13">
      <c r="A94" t="s">
        <v>258</v>
      </c>
      <c r="B94" t="s">
        <v>259</v>
      </c>
      <c r="C94" t="s">
        <v>170</v>
      </c>
      <c r="D94" t="s">
        <v>51</v>
      </c>
      <c r="E94" t="s">
        <v>52</v>
      </c>
      <c r="F94" t="s">
        <v>18</v>
      </c>
      <c r="G94" t="s">
        <v>54</v>
      </c>
      <c r="H94" t="s">
        <v>64</v>
      </c>
      <c r="I94">
        <v>1087</v>
      </c>
      <c r="J94">
        <v>1</v>
      </c>
      <c r="K94">
        <v>4.5999999999999996</v>
      </c>
      <c r="L94">
        <v>5</v>
      </c>
      <c r="M94" t="s">
        <v>192</v>
      </c>
    </row>
    <row r="95" spans="1:13">
      <c r="A95" t="s">
        <v>260</v>
      </c>
      <c r="B95" t="s">
        <v>261</v>
      </c>
      <c r="C95" t="s">
        <v>50</v>
      </c>
      <c r="D95" t="s">
        <v>159</v>
      </c>
      <c r="E95" t="s">
        <v>42</v>
      </c>
      <c r="F95" t="s">
        <v>27</v>
      </c>
      <c r="G95" t="s">
        <v>54</v>
      </c>
      <c r="H95" t="s">
        <v>64</v>
      </c>
      <c r="I95">
        <v>36939</v>
      </c>
      <c r="J95">
        <v>7</v>
      </c>
      <c r="K95">
        <v>4.7</v>
      </c>
      <c r="L95">
        <v>2</v>
      </c>
      <c r="M95" t="s">
        <v>80</v>
      </c>
    </row>
    <row r="96" spans="1:13">
      <c r="A96" t="s">
        <v>262</v>
      </c>
      <c r="B96" t="s">
        <v>263</v>
      </c>
      <c r="C96" t="s">
        <v>50</v>
      </c>
      <c r="D96" t="s">
        <v>116</v>
      </c>
      <c r="E96" t="s">
        <v>17</v>
      </c>
      <c r="F96" t="s">
        <v>18</v>
      </c>
      <c r="G96" t="s">
        <v>104</v>
      </c>
      <c r="H96" t="s">
        <v>20</v>
      </c>
      <c r="I96">
        <v>8874</v>
      </c>
      <c r="J96">
        <v>6</v>
      </c>
      <c r="K96">
        <v>4</v>
      </c>
      <c r="L96">
        <v>2</v>
      </c>
      <c r="M96" t="s">
        <v>87</v>
      </c>
    </row>
    <row r="97" spans="1:13">
      <c r="A97" t="s">
        <v>264</v>
      </c>
      <c r="B97" t="s">
        <v>118</v>
      </c>
      <c r="C97" t="s">
        <v>50</v>
      </c>
      <c r="D97" t="s">
        <v>69</v>
      </c>
      <c r="E97" t="s">
        <v>26</v>
      </c>
      <c r="F97" t="s">
        <v>53</v>
      </c>
      <c r="G97" t="s">
        <v>104</v>
      </c>
      <c r="H97" t="s">
        <v>20</v>
      </c>
      <c r="I97">
        <v>47628</v>
      </c>
      <c r="J97">
        <v>6</v>
      </c>
      <c r="K97">
        <v>4.3</v>
      </c>
      <c r="L97">
        <v>2</v>
      </c>
      <c r="M97" t="s">
        <v>119</v>
      </c>
    </row>
    <row r="98" spans="1:13">
      <c r="A98" t="s">
        <v>265</v>
      </c>
      <c r="B98" t="s">
        <v>263</v>
      </c>
      <c r="C98" t="s">
        <v>122</v>
      </c>
      <c r="D98" t="s">
        <v>34</v>
      </c>
      <c r="E98" t="s">
        <v>35</v>
      </c>
      <c r="F98" t="s">
        <v>18</v>
      </c>
      <c r="G98" t="s">
        <v>19</v>
      </c>
      <c r="H98" t="s">
        <v>29</v>
      </c>
      <c r="I98">
        <v>55830</v>
      </c>
      <c r="J98">
        <v>2</v>
      </c>
      <c r="K98">
        <v>4.5</v>
      </c>
      <c r="L98">
        <v>3</v>
      </c>
      <c r="M98" t="s">
        <v>87</v>
      </c>
    </row>
    <row r="99" spans="1:13">
      <c r="A99" t="s">
        <v>266</v>
      </c>
      <c r="B99" t="s">
        <v>267</v>
      </c>
      <c r="C99" t="s">
        <v>58</v>
      </c>
      <c r="D99" t="s">
        <v>63</v>
      </c>
      <c r="E99" t="s">
        <v>52</v>
      </c>
      <c r="F99" t="s">
        <v>27</v>
      </c>
      <c r="G99" t="s">
        <v>104</v>
      </c>
      <c r="H99" t="s">
        <v>29</v>
      </c>
      <c r="I99">
        <v>1674</v>
      </c>
      <c r="J99">
        <v>3</v>
      </c>
      <c r="K99">
        <v>4</v>
      </c>
      <c r="L99">
        <v>8</v>
      </c>
      <c r="M99" t="s">
        <v>192</v>
      </c>
    </row>
    <row r="100" spans="1:13">
      <c r="A100" t="s">
        <v>268</v>
      </c>
      <c r="B100" t="s">
        <v>85</v>
      </c>
      <c r="C100" t="s">
        <v>40</v>
      </c>
      <c r="D100" t="s">
        <v>51</v>
      </c>
      <c r="E100" t="s">
        <v>52</v>
      </c>
      <c r="F100" t="s">
        <v>60</v>
      </c>
      <c r="G100" t="s">
        <v>28</v>
      </c>
      <c r="H100" t="s">
        <v>36</v>
      </c>
      <c r="I100">
        <v>11920</v>
      </c>
      <c r="J100">
        <v>8</v>
      </c>
      <c r="K100">
        <v>3.8</v>
      </c>
      <c r="L100">
        <v>2</v>
      </c>
      <c r="M100" t="s">
        <v>87</v>
      </c>
    </row>
    <row r="101" spans="1:13">
      <c r="A101" t="s">
        <v>269</v>
      </c>
      <c r="B101" t="s">
        <v>96</v>
      </c>
      <c r="C101" t="s">
        <v>146</v>
      </c>
      <c r="D101" t="s">
        <v>218</v>
      </c>
      <c r="E101" t="s">
        <v>17</v>
      </c>
      <c r="F101" t="s">
        <v>100</v>
      </c>
      <c r="G101" t="s">
        <v>19</v>
      </c>
      <c r="H101" t="s">
        <v>29</v>
      </c>
      <c r="I101">
        <v>3240</v>
      </c>
      <c r="J101">
        <v>2</v>
      </c>
      <c r="K101">
        <v>3.9</v>
      </c>
      <c r="L101">
        <v>1</v>
      </c>
      <c r="M101" t="s">
        <v>21</v>
      </c>
    </row>
    <row r="102" spans="1:13">
      <c r="A102" t="s">
        <v>270</v>
      </c>
      <c r="B102" t="s">
        <v>271</v>
      </c>
      <c r="C102" t="s">
        <v>33</v>
      </c>
      <c r="D102" t="s">
        <v>69</v>
      </c>
      <c r="E102" t="s">
        <v>26</v>
      </c>
      <c r="F102" t="s">
        <v>83</v>
      </c>
      <c r="G102" t="s">
        <v>28</v>
      </c>
      <c r="H102" t="s">
        <v>64</v>
      </c>
      <c r="I102">
        <v>6543</v>
      </c>
      <c r="J102">
        <v>3</v>
      </c>
      <c r="K102">
        <v>4.0999999999999996</v>
      </c>
      <c r="L102">
        <v>3</v>
      </c>
      <c r="M102" t="s">
        <v>65</v>
      </c>
    </row>
    <row r="103" spans="1:13">
      <c r="A103" t="s">
        <v>272</v>
      </c>
      <c r="B103" t="s">
        <v>273</v>
      </c>
      <c r="C103" t="s">
        <v>75</v>
      </c>
      <c r="D103" t="s">
        <v>79</v>
      </c>
      <c r="E103" t="s">
        <v>26</v>
      </c>
      <c r="F103" t="s">
        <v>53</v>
      </c>
      <c r="G103" t="s">
        <v>54</v>
      </c>
      <c r="H103" t="s">
        <v>64</v>
      </c>
      <c r="I103">
        <v>71538</v>
      </c>
      <c r="J103">
        <v>6</v>
      </c>
      <c r="K103">
        <v>4.3</v>
      </c>
      <c r="L103">
        <v>6</v>
      </c>
      <c r="M103" t="s">
        <v>55</v>
      </c>
    </row>
    <row r="104" spans="1:13">
      <c r="A104" t="s">
        <v>274</v>
      </c>
      <c r="B104" t="s">
        <v>275</v>
      </c>
      <c r="C104" t="s">
        <v>72</v>
      </c>
      <c r="D104" t="s">
        <v>130</v>
      </c>
      <c r="E104" t="s">
        <v>35</v>
      </c>
      <c r="F104" t="s">
        <v>100</v>
      </c>
      <c r="G104" t="s">
        <v>54</v>
      </c>
      <c r="H104" t="s">
        <v>29</v>
      </c>
      <c r="I104">
        <v>236640</v>
      </c>
      <c r="J104">
        <v>3</v>
      </c>
      <c r="K104">
        <v>3.8</v>
      </c>
      <c r="L104">
        <v>7</v>
      </c>
      <c r="M104" t="s">
        <v>119</v>
      </c>
    </row>
    <row r="105" spans="1:13">
      <c r="A105" t="s">
        <v>276</v>
      </c>
      <c r="B105" t="s">
        <v>277</v>
      </c>
      <c r="C105" t="s">
        <v>15</v>
      </c>
      <c r="D105" t="s">
        <v>69</v>
      </c>
      <c r="E105" t="s">
        <v>26</v>
      </c>
      <c r="F105" t="s">
        <v>53</v>
      </c>
      <c r="G105" t="s">
        <v>104</v>
      </c>
      <c r="H105" t="s">
        <v>20</v>
      </c>
      <c r="I105">
        <v>70704</v>
      </c>
      <c r="J105">
        <v>6</v>
      </c>
      <c r="K105">
        <v>4</v>
      </c>
      <c r="L105">
        <v>6</v>
      </c>
      <c r="M105" t="s">
        <v>192</v>
      </c>
    </row>
    <row r="106" spans="1:13">
      <c r="A106" t="s">
        <v>278</v>
      </c>
      <c r="B106" t="s">
        <v>279</v>
      </c>
      <c r="C106" t="s">
        <v>112</v>
      </c>
      <c r="D106" t="s">
        <v>109</v>
      </c>
      <c r="E106" t="s">
        <v>52</v>
      </c>
      <c r="F106" t="s">
        <v>100</v>
      </c>
      <c r="G106" t="s">
        <v>54</v>
      </c>
      <c r="H106" t="s">
        <v>29</v>
      </c>
      <c r="I106">
        <v>3252</v>
      </c>
      <c r="J106">
        <v>4</v>
      </c>
      <c r="K106">
        <v>4.7</v>
      </c>
      <c r="L106">
        <v>2</v>
      </c>
      <c r="M106" t="s">
        <v>65</v>
      </c>
    </row>
    <row r="107" spans="1:13">
      <c r="A107" t="s">
        <v>280</v>
      </c>
      <c r="B107" t="s">
        <v>255</v>
      </c>
      <c r="C107" t="s">
        <v>133</v>
      </c>
      <c r="D107" t="s">
        <v>79</v>
      </c>
      <c r="E107" t="s">
        <v>26</v>
      </c>
      <c r="F107" t="s">
        <v>53</v>
      </c>
      <c r="G107" t="s">
        <v>19</v>
      </c>
      <c r="H107" t="s">
        <v>64</v>
      </c>
      <c r="I107">
        <v>24584</v>
      </c>
      <c r="J107">
        <v>7</v>
      </c>
      <c r="K107">
        <v>4.5</v>
      </c>
      <c r="L107">
        <v>1</v>
      </c>
      <c r="M107" t="s">
        <v>192</v>
      </c>
    </row>
    <row r="108" spans="1:13">
      <c r="A108" t="s">
        <v>281</v>
      </c>
      <c r="B108" t="s">
        <v>282</v>
      </c>
      <c r="C108" t="s">
        <v>146</v>
      </c>
      <c r="D108" t="s">
        <v>59</v>
      </c>
      <c r="E108" t="s">
        <v>26</v>
      </c>
      <c r="F108" t="s">
        <v>53</v>
      </c>
      <c r="G108" t="s">
        <v>28</v>
      </c>
      <c r="H108" t="s">
        <v>64</v>
      </c>
      <c r="I108">
        <v>15912</v>
      </c>
      <c r="J108">
        <v>4</v>
      </c>
      <c r="K108">
        <v>3.9</v>
      </c>
      <c r="L108">
        <v>8</v>
      </c>
      <c r="M108" t="s">
        <v>47</v>
      </c>
    </row>
    <row r="109" spans="1:13">
      <c r="A109" t="s">
        <v>283</v>
      </c>
      <c r="B109" t="s">
        <v>284</v>
      </c>
      <c r="C109" t="s">
        <v>40</v>
      </c>
      <c r="D109" t="s">
        <v>63</v>
      </c>
      <c r="E109" t="s">
        <v>52</v>
      </c>
      <c r="F109" t="s">
        <v>18</v>
      </c>
      <c r="G109" t="s">
        <v>19</v>
      </c>
      <c r="H109" t="s">
        <v>29</v>
      </c>
      <c r="I109">
        <v>1389</v>
      </c>
      <c r="J109">
        <v>3</v>
      </c>
      <c r="K109">
        <v>4.9000000000000004</v>
      </c>
      <c r="L109">
        <v>2</v>
      </c>
      <c r="M109" t="s">
        <v>192</v>
      </c>
    </row>
    <row r="110" spans="1:13">
      <c r="A110" t="s">
        <v>285</v>
      </c>
      <c r="B110" t="s">
        <v>286</v>
      </c>
      <c r="C110" t="s">
        <v>122</v>
      </c>
      <c r="D110" t="s">
        <v>159</v>
      </c>
      <c r="E110" t="s">
        <v>42</v>
      </c>
      <c r="F110" t="s">
        <v>60</v>
      </c>
      <c r="G110" t="s">
        <v>54</v>
      </c>
      <c r="H110" t="s">
        <v>29</v>
      </c>
      <c r="I110">
        <v>1836</v>
      </c>
      <c r="J110">
        <v>2</v>
      </c>
      <c r="K110">
        <v>3.3</v>
      </c>
      <c r="L110">
        <v>6</v>
      </c>
      <c r="M110" t="s">
        <v>47</v>
      </c>
    </row>
    <row r="111" spans="1:13">
      <c r="A111" t="s">
        <v>287</v>
      </c>
      <c r="B111" t="s">
        <v>288</v>
      </c>
      <c r="C111" t="s">
        <v>72</v>
      </c>
      <c r="D111" t="s">
        <v>147</v>
      </c>
      <c r="E111" t="s">
        <v>52</v>
      </c>
      <c r="F111" t="s">
        <v>27</v>
      </c>
      <c r="G111" t="s">
        <v>28</v>
      </c>
      <c r="H111" t="s">
        <v>64</v>
      </c>
      <c r="I111">
        <v>3246</v>
      </c>
      <c r="J111">
        <v>2</v>
      </c>
      <c r="K111">
        <v>3.7</v>
      </c>
      <c r="L111">
        <v>8</v>
      </c>
      <c r="M111" t="s">
        <v>126</v>
      </c>
    </row>
    <row r="112" spans="1:13">
      <c r="A112" t="s">
        <v>289</v>
      </c>
      <c r="B112" t="s">
        <v>290</v>
      </c>
      <c r="C112" t="s">
        <v>40</v>
      </c>
      <c r="D112" t="s">
        <v>25</v>
      </c>
      <c r="E112" t="s">
        <v>26</v>
      </c>
      <c r="F112" t="s">
        <v>83</v>
      </c>
      <c r="G112" t="s">
        <v>104</v>
      </c>
      <c r="H112" t="s">
        <v>36</v>
      </c>
      <c r="I112">
        <v>10775</v>
      </c>
      <c r="J112">
        <v>1</v>
      </c>
      <c r="K112">
        <v>4.0999999999999996</v>
      </c>
      <c r="L112">
        <v>2</v>
      </c>
      <c r="M112" t="s">
        <v>87</v>
      </c>
    </row>
    <row r="113" spans="1:13">
      <c r="A113" t="s">
        <v>291</v>
      </c>
      <c r="B113" t="s">
        <v>292</v>
      </c>
      <c r="C113" t="s">
        <v>72</v>
      </c>
      <c r="D113" t="s">
        <v>86</v>
      </c>
      <c r="E113" t="s">
        <v>17</v>
      </c>
      <c r="F113" t="s">
        <v>53</v>
      </c>
      <c r="G113" t="s">
        <v>28</v>
      </c>
      <c r="H113" t="s">
        <v>36</v>
      </c>
      <c r="I113">
        <v>3424</v>
      </c>
      <c r="J113">
        <v>8</v>
      </c>
      <c r="K113">
        <v>3.2</v>
      </c>
      <c r="L113">
        <v>4</v>
      </c>
      <c r="M113" t="s">
        <v>47</v>
      </c>
    </row>
    <row r="114" spans="1:13">
      <c r="A114" t="s">
        <v>293</v>
      </c>
      <c r="B114" t="s">
        <v>294</v>
      </c>
      <c r="C114" t="s">
        <v>50</v>
      </c>
      <c r="D114" t="s">
        <v>59</v>
      </c>
      <c r="E114" t="s">
        <v>26</v>
      </c>
      <c r="F114" t="s">
        <v>60</v>
      </c>
      <c r="G114" t="s">
        <v>54</v>
      </c>
      <c r="H114" t="s">
        <v>64</v>
      </c>
      <c r="I114">
        <v>13356</v>
      </c>
      <c r="J114">
        <v>7</v>
      </c>
      <c r="K114">
        <v>4.9000000000000004</v>
      </c>
      <c r="L114">
        <v>1</v>
      </c>
      <c r="M114" t="s">
        <v>21</v>
      </c>
    </row>
    <row r="115" spans="1:13">
      <c r="A115" t="s">
        <v>295</v>
      </c>
      <c r="B115" t="s">
        <v>296</v>
      </c>
      <c r="C115" t="s">
        <v>72</v>
      </c>
      <c r="D115" t="s">
        <v>130</v>
      </c>
      <c r="E115" t="s">
        <v>35</v>
      </c>
      <c r="F115" t="s">
        <v>18</v>
      </c>
      <c r="G115" t="s">
        <v>104</v>
      </c>
      <c r="H115" t="s">
        <v>29</v>
      </c>
      <c r="I115">
        <v>204624</v>
      </c>
      <c r="J115">
        <v>6</v>
      </c>
      <c r="K115">
        <v>4.5999999999999996</v>
      </c>
      <c r="L115">
        <v>6</v>
      </c>
      <c r="M115" t="s">
        <v>144</v>
      </c>
    </row>
    <row r="116" spans="1:13">
      <c r="A116" t="s">
        <v>297</v>
      </c>
      <c r="B116" t="s">
        <v>298</v>
      </c>
      <c r="C116" t="s">
        <v>33</v>
      </c>
      <c r="D116" t="s">
        <v>51</v>
      </c>
      <c r="E116" t="s">
        <v>52</v>
      </c>
      <c r="F116" t="s">
        <v>83</v>
      </c>
      <c r="G116" t="s">
        <v>54</v>
      </c>
      <c r="H116" t="s">
        <v>29</v>
      </c>
      <c r="I116">
        <v>7968</v>
      </c>
      <c r="J116">
        <v>8</v>
      </c>
      <c r="K116">
        <v>3.3</v>
      </c>
      <c r="L116">
        <v>4</v>
      </c>
      <c r="M116" t="s">
        <v>119</v>
      </c>
    </row>
    <row r="117" spans="1:13">
      <c r="A117" t="s">
        <v>299</v>
      </c>
      <c r="B117" t="s">
        <v>300</v>
      </c>
      <c r="C117" t="s">
        <v>170</v>
      </c>
      <c r="D117" t="s">
        <v>165</v>
      </c>
      <c r="E117" t="s">
        <v>35</v>
      </c>
      <c r="F117" t="s">
        <v>53</v>
      </c>
      <c r="G117" t="s">
        <v>54</v>
      </c>
      <c r="H117" t="s">
        <v>29</v>
      </c>
      <c r="I117">
        <v>220384</v>
      </c>
      <c r="J117">
        <v>8</v>
      </c>
      <c r="K117">
        <v>4.8</v>
      </c>
      <c r="L117">
        <v>1</v>
      </c>
      <c r="M117" t="s">
        <v>55</v>
      </c>
    </row>
    <row r="118" spans="1:13">
      <c r="A118" t="s">
        <v>301</v>
      </c>
      <c r="B118" t="s">
        <v>302</v>
      </c>
      <c r="C118" t="s">
        <v>75</v>
      </c>
      <c r="D118" t="s">
        <v>90</v>
      </c>
      <c r="E118" t="s">
        <v>42</v>
      </c>
      <c r="F118" t="s">
        <v>27</v>
      </c>
      <c r="G118" t="s">
        <v>28</v>
      </c>
      <c r="H118" t="s">
        <v>36</v>
      </c>
      <c r="I118">
        <v>33425</v>
      </c>
      <c r="J118">
        <v>7</v>
      </c>
      <c r="K118">
        <v>4.9000000000000004</v>
      </c>
      <c r="L118">
        <v>5</v>
      </c>
      <c r="M118" t="s">
        <v>47</v>
      </c>
    </row>
    <row r="119" spans="1:13">
      <c r="A119" t="s">
        <v>303</v>
      </c>
      <c r="B119" t="s">
        <v>304</v>
      </c>
      <c r="C119" t="s">
        <v>45</v>
      </c>
      <c r="D119" t="s">
        <v>159</v>
      </c>
      <c r="E119" t="s">
        <v>42</v>
      </c>
      <c r="F119" t="s">
        <v>27</v>
      </c>
      <c r="G119" t="s">
        <v>28</v>
      </c>
      <c r="H119" t="s">
        <v>20</v>
      </c>
      <c r="I119">
        <v>16930</v>
      </c>
      <c r="J119">
        <v>5</v>
      </c>
      <c r="K119">
        <v>3.7</v>
      </c>
      <c r="L119">
        <v>8</v>
      </c>
      <c r="M119" t="s">
        <v>30</v>
      </c>
    </row>
    <row r="120" spans="1:13">
      <c r="A120" t="s">
        <v>305</v>
      </c>
      <c r="B120" t="s">
        <v>306</v>
      </c>
      <c r="C120" t="s">
        <v>75</v>
      </c>
      <c r="D120" t="s">
        <v>46</v>
      </c>
      <c r="E120" t="s">
        <v>42</v>
      </c>
      <c r="F120" t="s">
        <v>27</v>
      </c>
      <c r="G120" t="s">
        <v>28</v>
      </c>
      <c r="H120" t="s">
        <v>29</v>
      </c>
      <c r="I120">
        <v>4263</v>
      </c>
      <c r="J120">
        <v>1</v>
      </c>
      <c r="K120">
        <v>4.4000000000000004</v>
      </c>
      <c r="L120">
        <v>1</v>
      </c>
      <c r="M120" t="s">
        <v>47</v>
      </c>
    </row>
    <row r="121" spans="1:13">
      <c r="A121" t="s">
        <v>307</v>
      </c>
      <c r="B121" t="s">
        <v>308</v>
      </c>
      <c r="C121" t="s">
        <v>129</v>
      </c>
      <c r="D121" t="s">
        <v>79</v>
      </c>
      <c r="E121" t="s">
        <v>26</v>
      </c>
      <c r="F121" t="s">
        <v>60</v>
      </c>
      <c r="G121" t="s">
        <v>54</v>
      </c>
      <c r="H121" t="s">
        <v>20</v>
      </c>
      <c r="I121">
        <v>5703</v>
      </c>
      <c r="J121">
        <v>3</v>
      </c>
      <c r="K121">
        <v>3.6</v>
      </c>
      <c r="L121">
        <v>6</v>
      </c>
      <c r="M121" t="s">
        <v>144</v>
      </c>
    </row>
    <row r="122" spans="1:13">
      <c r="A122" t="s">
        <v>309</v>
      </c>
      <c r="B122" t="s">
        <v>310</v>
      </c>
      <c r="C122" t="s">
        <v>122</v>
      </c>
      <c r="D122" t="s">
        <v>46</v>
      </c>
      <c r="E122" t="s">
        <v>42</v>
      </c>
      <c r="F122" t="s">
        <v>18</v>
      </c>
      <c r="G122" t="s">
        <v>54</v>
      </c>
      <c r="H122" t="s">
        <v>20</v>
      </c>
      <c r="I122">
        <v>29648</v>
      </c>
      <c r="J122">
        <v>8</v>
      </c>
      <c r="K122">
        <v>3.8</v>
      </c>
      <c r="L122">
        <v>5</v>
      </c>
      <c r="M122" t="s">
        <v>55</v>
      </c>
    </row>
    <row r="123" spans="1:13">
      <c r="A123" t="s">
        <v>311</v>
      </c>
      <c r="B123" t="s">
        <v>23</v>
      </c>
      <c r="C123" t="s">
        <v>179</v>
      </c>
      <c r="D123" t="s">
        <v>90</v>
      </c>
      <c r="E123" t="s">
        <v>42</v>
      </c>
      <c r="F123" t="s">
        <v>18</v>
      </c>
      <c r="G123" t="s">
        <v>19</v>
      </c>
      <c r="H123" t="s">
        <v>36</v>
      </c>
      <c r="I123">
        <v>4914</v>
      </c>
      <c r="J123">
        <v>2</v>
      </c>
      <c r="K123">
        <v>3.7</v>
      </c>
      <c r="L123">
        <v>8</v>
      </c>
      <c r="M123" t="s">
        <v>30</v>
      </c>
    </row>
    <row r="124" spans="1:13">
      <c r="A124" t="s">
        <v>312</v>
      </c>
      <c r="B124" t="s">
        <v>313</v>
      </c>
      <c r="C124" t="s">
        <v>24</v>
      </c>
      <c r="D124" t="s">
        <v>159</v>
      </c>
      <c r="E124" t="s">
        <v>42</v>
      </c>
      <c r="F124" t="s">
        <v>27</v>
      </c>
      <c r="G124" t="s">
        <v>19</v>
      </c>
      <c r="H124" t="s">
        <v>29</v>
      </c>
      <c r="I124">
        <v>2462</v>
      </c>
      <c r="J124">
        <v>2</v>
      </c>
      <c r="K124">
        <v>4.2</v>
      </c>
      <c r="L124">
        <v>5</v>
      </c>
      <c r="M124" t="s">
        <v>47</v>
      </c>
    </row>
    <row r="125" spans="1:13">
      <c r="A125" t="s">
        <v>314</v>
      </c>
      <c r="B125" t="s">
        <v>203</v>
      </c>
      <c r="C125" t="s">
        <v>146</v>
      </c>
      <c r="D125" t="s">
        <v>79</v>
      </c>
      <c r="E125" t="s">
        <v>26</v>
      </c>
      <c r="F125" t="s">
        <v>100</v>
      </c>
      <c r="G125" t="s">
        <v>19</v>
      </c>
      <c r="H125" t="s">
        <v>36</v>
      </c>
      <c r="I125">
        <v>26848</v>
      </c>
      <c r="J125">
        <v>4</v>
      </c>
      <c r="K125">
        <v>4.2</v>
      </c>
      <c r="L125">
        <v>6</v>
      </c>
      <c r="M125" t="s">
        <v>80</v>
      </c>
    </row>
    <row r="126" spans="1:13">
      <c r="A126" t="s">
        <v>315</v>
      </c>
      <c r="B126" t="s">
        <v>300</v>
      </c>
      <c r="C126" t="s">
        <v>75</v>
      </c>
      <c r="D126" t="s">
        <v>218</v>
      </c>
      <c r="E126" t="s">
        <v>17</v>
      </c>
      <c r="F126" t="s">
        <v>60</v>
      </c>
      <c r="G126" t="s">
        <v>28</v>
      </c>
      <c r="H126" t="s">
        <v>29</v>
      </c>
      <c r="I126">
        <v>11008</v>
      </c>
      <c r="J126">
        <v>8</v>
      </c>
      <c r="K126">
        <v>3.4</v>
      </c>
      <c r="L126">
        <v>6</v>
      </c>
      <c r="M126" t="s">
        <v>55</v>
      </c>
    </row>
    <row r="127" spans="1:13">
      <c r="A127" t="s">
        <v>316</v>
      </c>
      <c r="B127" t="s">
        <v>261</v>
      </c>
      <c r="C127" t="s">
        <v>170</v>
      </c>
      <c r="D127" t="s">
        <v>63</v>
      </c>
      <c r="E127" t="s">
        <v>52</v>
      </c>
      <c r="F127" t="s">
        <v>27</v>
      </c>
      <c r="G127" t="s">
        <v>19</v>
      </c>
      <c r="H127" t="s">
        <v>29</v>
      </c>
      <c r="I127">
        <v>3332</v>
      </c>
      <c r="J127">
        <v>7</v>
      </c>
      <c r="K127">
        <v>3.7</v>
      </c>
      <c r="L127">
        <v>3</v>
      </c>
      <c r="M127" t="s">
        <v>80</v>
      </c>
    </row>
    <row r="128" spans="1:13">
      <c r="A128" t="s">
        <v>317</v>
      </c>
      <c r="B128" t="s">
        <v>290</v>
      </c>
      <c r="C128" t="s">
        <v>112</v>
      </c>
      <c r="D128" t="s">
        <v>59</v>
      </c>
      <c r="E128" t="s">
        <v>26</v>
      </c>
      <c r="F128" t="s">
        <v>27</v>
      </c>
      <c r="G128" t="s">
        <v>19</v>
      </c>
      <c r="H128" t="s">
        <v>20</v>
      </c>
      <c r="I128">
        <v>28805</v>
      </c>
      <c r="J128">
        <v>5</v>
      </c>
      <c r="K128">
        <v>4.3</v>
      </c>
      <c r="L128">
        <v>2</v>
      </c>
      <c r="M128" t="s">
        <v>87</v>
      </c>
    </row>
    <row r="129" spans="1:13">
      <c r="A129" t="s">
        <v>318</v>
      </c>
      <c r="B129" t="s">
        <v>319</v>
      </c>
      <c r="C129" t="s">
        <v>58</v>
      </c>
      <c r="D129" t="s">
        <v>109</v>
      </c>
      <c r="E129" t="s">
        <v>52</v>
      </c>
      <c r="F129" t="s">
        <v>60</v>
      </c>
      <c r="G129" t="s">
        <v>54</v>
      </c>
      <c r="H129" t="s">
        <v>64</v>
      </c>
      <c r="I129">
        <v>582</v>
      </c>
      <c r="J129">
        <v>1</v>
      </c>
      <c r="K129">
        <v>3.7</v>
      </c>
      <c r="L129">
        <v>4</v>
      </c>
      <c r="M129" t="s">
        <v>30</v>
      </c>
    </row>
    <row r="130" spans="1:13">
      <c r="A130" t="s">
        <v>320</v>
      </c>
      <c r="B130" t="s">
        <v>321</v>
      </c>
      <c r="C130" t="s">
        <v>24</v>
      </c>
      <c r="D130" t="s">
        <v>59</v>
      </c>
      <c r="E130" t="s">
        <v>26</v>
      </c>
      <c r="F130" t="s">
        <v>60</v>
      </c>
      <c r="G130" t="s">
        <v>28</v>
      </c>
      <c r="H130" t="s">
        <v>64</v>
      </c>
      <c r="I130">
        <v>41150</v>
      </c>
      <c r="J130">
        <v>5</v>
      </c>
      <c r="K130">
        <v>3.3</v>
      </c>
      <c r="L130">
        <v>1</v>
      </c>
      <c r="M130" t="s">
        <v>192</v>
      </c>
    </row>
    <row r="131" spans="1:13">
      <c r="A131" t="s">
        <v>322</v>
      </c>
      <c r="B131" t="s">
        <v>207</v>
      </c>
      <c r="C131" t="s">
        <v>170</v>
      </c>
      <c r="D131" t="s">
        <v>159</v>
      </c>
      <c r="E131" t="s">
        <v>42</v>
      </c>
      <c r="F131" t="s">
        <v>83</v>
      </c>
      <c r="G131" t="s">
        <v>28</v>
      </c>
      <c r="H131" t="s">
        <v>36</v>
      </c>
      <c r="I131">
        <v>11898</v>
      </c>
      <c r="J131">
        <v>3</v>
      </c>
      <c r="K131">
        <v>4.5999999999999996</v>
      </c>
      <c r="L131">
        <v>2</v>
      </c>
      <c r="M131" t="s">
        <v>126</v>
      </c>
    </row>
    <row r="132" spans="1:13">
      <c r="A132" t="s">
        <v>323</v>
      </c>
      <c r="B132" t="s">
        <v>324</v>
      </c>
      <c r="C132" t="s">
        <v>170</v>
      </c>
      <c r="D132" t="s">
        <v>97</v>
      </c>
      <c r="E132" t="s">
        <v>35</v>
      </c>
      <c r="F132" t="s">
        <v>100</v>
      </c>
      <c r="G132" t="s">
        <v>104</v>
      </c>
      <c r="H132" t="s">
        <v>20</v>
      </c>
      <c r="I132">
        <v>121614</v>
      </c>
      <c r="J132">
        <v>3</v>
      </c>
      <c r="K132">
        <v>4</v>
      </c>
      <c r="L132">
        <v>3</v>
      </c>
      <c r="M132" t="s">
        <v>21</v>
      </c>
    </row>
    <row r="133" spans="1:13">
      <c r="A133" t="s">
        <v>325</v>
      </c>
      <c r="B133" t="s">
        <v>326</v>
      </c>
      <c r="C133" t="s">
        <v>122</v>
      </c>
      <c r="D133" t="s">
        <v>51</v>
      </c>
      <c r="E133" t="s">
        <v>52</v>
      </c>
      <c r="F133" t="s">
        <v>83</v>
      </c>
      <c r="G133" t="s">
        <v>104</v>
      </c>
      <c r="H133" t="s">
        <v>36</v>
      </c>
      <c r="I133">
        <v>12104</v>
      </c>
      <c r="J133">
        <v>8</v>
      </c>
      <c r="K133">
        <v>4.9000000000000004</v>
      </c>
      <c r="L133">
        <v>8</v>
      </c>
      <c r="M133" t="s">
        <v>65</v>
      </c>
    </row>
    <row r="134" spans="1:13">
      <c r="A134" t="s">
        <v>327</v>
      </c>
      <c r="B134" t="s">
        <v>211</v>
      </c>
      <c r="C134" t="s">
        <v>129</v>
      </c>
      <c r="D134" t="s">
        <v>218</v>
      </c>
      <c r="E134" t="s">
        <v>17</v>
      </c>
      <c r="F134" t="s">
        <v>60</v>
      </c>
      <c r="G134" t="s">
        <v>104</v>
      </c>
      <c r="H134" t="s">
        <v>36</v>
      </c>
      <c r="I134">
        <v>7080</v>
      </c>
      <c r="J134">
        <v>8</v>
      </c>
      <c r="K134">
        <v>3.4</v>
      </c>
      <c r="L134">
        <v>5</v>
      </c>
      <c r="M134" t="s">
        <v>65</v>
      </c>
    </row>
    <row r="135" spans="1:13">
      <c r="A135" t="s">
        <v>328</v>
      </c>
      <c r="B135" t="s">
        <v>102</v>
      </c>
      <c r="C135" t="s">
        <v>45</v>
      </c>
      <c r="D135" t="s">
        <v>41</v>
      </c>
      <c r="E135" t="s">
        <v>42</v>
      </c>
      <c r="F135" t="s">
        <v>27</v>
      </c>
      <c r="G135" t="s">
        <v>54</v>
      </c>
      <c r="H135" t="s">
        <v>20</v>
      </c>
      <c r="I135">
        <v>15456</v>
      </c>
      <c r="J135">
        <v>4</v>
      </c>
      <c r="K135">
        <v>4</v>
      </c>
      <c r="L135">
        <v>5</v>
      </c>
      <c r="M135" t="s">
        <v>30</v>
      </c>
    </row>
    <row r="136" spans="1:13">
      <c r="A136" t="s">
        <v>329</v>
      </c>
      <c r="B136" t="s">
        <v>330</v>
      </c>
      <c r="C136" t="s">
        <v>33</v>
      </c>
      <c r="D136" t="s">
        <v>116</v>
      </c>
      <c r="E136" t="s">
        <v>17</v>
      </c>
      <c r="F136" t="s">
        <v>18</v>
      </c>
      <c r="G136" t="s">
        <v>19</v>
      </c>
      <c r="H136" t="s">
        <v>29</v>
      </c>
      <c r="I136">
        <v>8652</v>
      </c>
      <c r="J136">
        <v>6</v>
      </c>
      <c r="K136">
        <v>4.0999999999999996</v>
      </c>
      <c r="L136">
        <v>1</v>
      </c>
      <c r="M136" t="s">
        <v>55</v>
      </c>
    </row>
    <row r="137" spans="1:13">
      <c r="A137" t="s">
        <v>331</v>
      </c>
      <c r="B137" t="s">
        <v>332</v>
      </c>
      <c r="C137" t="s">
        <v>58</v>
      </c>
      <c r="D137" t="s">
        <v>90</v>
      </c>
      <c r="E137" t="s">
        <v>42</v>
      </c>
      <c r="F137" t="s">
        <v>53</v>
      </c>
      <c r="G137" t="s">
        <v>28</v>
      </c>
      <c r="H137" t="s">
        <v>29</v>
      </c>
      <c r="I137">
        <v>11757</v>
      </c>
      <c r="J137">
        <v>3</v>
      </c>
      <c r="K137">
        <v>4.5</v>
      </c>
      <c r="L137">
        <v>5</v>
      </c>
      <c r="M137" t="s">
        <v>80</v>
      </c>
    </row>
    <row r="138" spans="1:13">
      <c r="A138" t="s">
        <v>333</v>
      </c>
      <c r="B138" t="s">
        <v>334</v>
      </c>
      <c r="C138" t="s">
        <v>45</v>
      </c>
      <c r="D138" t="s">
        <v>41</v>
      </c>
      <c r="E138" t="s">
        <v>42</v>
      </c>
      <c r="F138" t="s">
        <v>60</v>
      </c>
      <c r="G138" t="s">
        <v>104</v>
      </c>
      <c r="H138" t="s">
        <v>20</v>
      </c>
      <c r="I138">
        <v>32886</v>
      </c>
      <c r="J138">
        <v>6</v>
      </c>
      <c r="K138">
        <v>4.5999999999999996</v>
      </c>
      <c r="L138">
        <v>1</v>
      </c>
      <c r="M138" t="s">
        <v>55</v>
      </c>
    </row>
    <row r="139" spans="1:13">
      <c r="A139" t="s">
        <v>335</v>
      </c>
      <c r="B139" t="s">
        <v>336</v>
      </c>
      <c r="C139" t="s">
        <v>170</v>
      </c>
      <c r="D139" t="s">
        <v>116</v>
      </c>
      <c r="E139" t="s">
        <v>17</v>
      </c>
      <c r="F139" t="s">
        <v>60</v>
      </c>
      <c r="G139" t="s">
        <v>19</v>
      </c>
      <c r="H139" t="s">
        <v>64</v>
      </c>
      <c r="I139">
        <v>4214</v>
      </c>
      <c r="J139">
        <v>7</v>
      </c>
      <c r="K139">
        <v>3.5</v>
      </c>
      <c r="L139">
        <v>8</v>
      </c>
      <c r="M139" t="s">
        <v>80</v>
      </c>
    </row>
    <row r="140" spans="1:13">
      <c r="A140" t="s">
        <v>337</v>
      </c>
      <c r="B140" t="s">
        <v>271</v>
      </c>
      <c r="C140" t="s">
        <v>112</v>
      </c>
      <c r="D140" t="s">
        <v>51</v>
      </c>
      <c r="E140" t="s">
        <v>52</v>
      </c>
      <c r="F140" t="s">
        <v>60</v>
      </c>
      <c r="G140" t="s">
        <v>104</v>
      </c>
      <c r="H140" t="s">
        <v>20</v>
      </c>
      <c r="I140">
        <v>4040</v>
      </c>
      <c r="J140">
        <v>8</v>
      </c>
      <c r="K140">
        <v>4.2</v>
      </c>
      <c r="L140">
        <v>8</v>
      </c>
      <c r="M140" t="s">
        <v>65</v>
      </c>
    </row>
    <row r="141" spans="1:13">
      <c r="A141" t="s">
        <v>338</v>
      </c>
      <c r="B141" t="s">
        <v>304</v>
      </c>
      <c r="C141" t="s">
        <v>78</v>
      </c>
      <c r="D141" t="s">
        <v>46</v>
      </c>
      <c r="E141" t="s">
        <v>42</v>
      </c>
      <c r="F141" t="s">
        <v>53</v>
      </c>
      <c r="G141" t="s">
        <v>19</v>
      </c>
      <c r="H141" t="s">
        <v>29</v>
      </c>
      <c r="I141">
        <v>27996</v>
      </c>
      <c r="J141">
        <v>6</v>
      </c>
      <c r="K141">
        <v>4.9000000000000004</v>
      </c>
      <c r="L141">
        <v>5</v>
      </c>
      <c r="M141" t="s">
        <v>30</v>
      </c>
    </row>
    <row r="142" spans="1:13">
      <c r="A142" t="s">
        <v>339</v>
      </c>
      <c r="B142" t="s">
        <v>118</v>
      </c>
      <c r="C142" t="s">
        <v>50</v>
      </c>
      <c r="D142" t="s">
        <v>34</v>
      </c>
      <c r="E142" t="s">
        <v>35</v>
      </c>
      <c r="F142" t="s">
        <v>53</v>
      </c>
      <c r="G142" t="s">
        <v>19</v>
      </c>
      <c r="H142" t="s">
        <v>29</v>
      </c>
      <c r="I142">
        <v>385744</v>
      </c>
      <c r="J142">
        <v>8</v>
      </c>
      <c r="K142">
        <v>3.7</v>
      </c>
      <c r="L142">
        <v>7</v>
      </c>
      <c r="M142" t="s">
        <v>119</v>
      </c>
    </row>
    <row r="143" spans="1:13">
      <c r="A143" t="s">
        <v>340</v>
      </c>
      <c r="B143" t="s">
        <v>290</v>
      </c>
      <c r="C143" t="s">
        <v>78</v>
      </c>
      <c r="D143" t="s">
        <v>218</v>
      </c>
      <c r="E143" t="s">
        <v>17</v>
      </c>
      <c r="F143" t="s">
        <v>27</v>
      </c>
      <c r="G143" t="s">
        <v>104</v>
      </c>
      <c r="H143" t="s">
        <v>20</v>
      </c>
      <c r="I143">
        <v>7230</v>
      </c>
      <c r="J143">
        <v>6</v>
      </c>
      <c r="K143">
        <v>4.7</v>
      </c>
      <c r="L143">
        <v>5</v>
      </c>
      <c r="M143" t="s">
        <v>87</v>
      </c>
    </row>
    <row r="144" spans="1:13">
      <c r="A144" t="s">
        <v>341</v>
      </c>
      <c r="B144" t="s">
        <v>342</v>
      </c>
      <c r="C144" t="s">
        <v>170</v>
      </c>
      <c r="D144" t="s">
        <v>86</v>
      </c>
      <c r="E144" t="s">
        <v>17</v>
      </c>
      <c r="F144" t="s">
        <v>27</v>
      </c>
      <c r="G144" t="s">
        <v>28</v>
      </c>
      <c r="H144" t="s">
        <v>36</v>
      </c>
      <c r="I144">
        <v>1671</v>
      </c>
      <c r="J144">
        <v>1</v>
      </c>
      <c r="K144">
        <v>3.3</v>
      </c>
      <c r="L144">
        <v>7</v>
      </c>
      <c r="M144" t="s">
        <v>21</v>
      </c>
    </row>
    <row r="145" spans="1:13">
      <c r="A145" t="s">
        <v>343</v>
      </c>
      <c r="B145" t="s">
        <v>344</v>
      </c>
      <c r="C145" t="s">
        <v>75</v>
      </c>
      <c r="D145" t="s">
        <v>147</v>
      </c>
      <c r="E145" t="s">
        <v>52</v>
      </c>
      <c r="F145" t="s">
        <v>27</v>
      </c>
      <c r="G145" t="s">
        <v>19</v>
      </c>
      <c r="H145" t="s">
        <v>36</v>
      </c>
      <c r="I145">
        <v>6594</v>
      </c>
      <c r="J145">
        <v>3</v>
      </c>
      <c r="K145">
        <v>3.8</v>
      </c>
      <c r="L145">
        <v>1</v>
      </c>
      <c r="M145" t="s">
        <v>30</v>
      </c>
    </row>
    <row r="146" spans="1:13">
      <c r="A146" t="s">
        <v>345</v>
      </c>
      <c r="B146" t="s">
        <v>346</v>
      </c>
      <c r="C146" t="s">
        <v>170</v>
      </c>
      <c r="D146" t="s">
        <v>51</v>
      </c>
      <c r="E146" t="s">
        <v>52</v>
      </c>
      <c r="F146" t="s">
        <v>53</v>
      </c>
      <c r="G146" t="s">
        <v>28</v>
      </c>
      <c r="H146" t="s">
        <v>64</v>
      </c>
      <c r="I146">
        <v>2279</v>
      </c>
      <c r="J146">
        <v>1</v>
      </c>
      <c r="K146">
        <v>3.2</v>
      </c>
      <c r="L146">
        <v>2</v>
      </c>
      <c r="M146" t="s">
        <v>37</v>
      </c>
    </row>
    <row r="147" spans="1:13">
      <c r="A147" t="s">
        <v>347</v>
      </c>
      <c r="B147" t="s">
        <v>348</v>
      </c>
      <c r="C147" t="s">
        <v>15</v>
      </c>
      <c r="D147" t="s">
        <v>51</v>
      </c>
      <c r="E147" t="s">
        <v>52</v>
      </c>
      <c r="F147" t="s">
        <v>27</v>
      </c>
      <c r="G147" t="s">
        <v>104</v>
      </c>
      <c r="H147" t="s">
        <v>29</v>
      </c>
      <c r="I147">
        <v>6416</v>
      </c>
      <c r="J147">
        <v>4</v>
      </c>
      <c r="K147">
        <v>3.7</v>
      </c>
      <c r="L147">
        <v>3</v>
      </c>
      <c r="M147" t="s">
        <v>21</v>
      </c>
    </row>
    <row r="148" spans="1:13">
      <c r="A148" t="s">
        <v>349</v>
      </c>
      <c r="B148" t="s">
        <v>350</v>
      </c>
      <c r="C148" t="s">
        <v>72</v>
      </c>
      <c r="D148" t="s">
        <v>79</v>
      </c>
      <c r="E148" t="s">
        <v>26</v>
      </c>
      <c r="F148" t="s">
        <v>60</v>
      </c>
      <c r="G148" t="s">
        <v>104</v>
      </c>
      <c r="H148" t="s">
        <v>20</v>
      </c>
      <c r="I148">
        <v>51569</v>
      </c>
      <c r="J148">
        <v>7</v>
      </c>
      <c r="K148">
        <v>4.4000000000000004</v>
      </c>
      <c r="L148">
        <v>3</v>
      </c>
      <c r="M148" t="s">
        <v>80</v>
      </c>
    </row>
    <row r="149" spans="1:13">
      <c r="A149" t="s">
        <v>351</v>
      </c>
      <c r="B149" t="s">
        <v>352</v>
      </c>
      <c r="C149" t="s">
        <v>103</v>
      </c>
      <c r="D149" t="s">
        <v>218</v>
      </c>
      <c r="E149" t="s">
        <v>17</v>
      </c>
      <c r="F149" t="s">
        <v>27</v>
      </c>
      <c r="G149" t="s">
        <v>104</v>
      </c>
      <c r="H149" t="s">
        <v>20</v>
      </c>
      <c r="I149">
        <v>4856</v>
      </c>
      <c r="J149">
        <v>4</v>
      </c>
      <c r="K149">
        <v>4.5</v>
      </c>
      <c r="L149">
        <v>1</v>
      </c>
      <c r="M149" t="s">
        <v>55</v>
      </c>
    </row>
    <row r="150" spans="1:13">
      <c r="A150" t="s">
        <v>353</v>
      </c>
      <c r="B150" t="s">
        <v>354</v>
      </c>
      <c r="C150" t="s">
        <v>129</v>
      </c>
      <c r="D150" t="s">
        <v>16</v>
      </c>
      <c r="E150" t="s">
        <v>17</v>
      </c>
      <c r="F150" t="s">
        <v>100</v>
      </c>
      <c r="G150" t="s">
        <v>19</v>
      </c>
      <c r="H150" t="s">
        <v>20</v>
      </c>
      <c r="I150">
        <v>3135</v>
      </c>
      <c r="J150">
        <v>5</v>
      </c>
      <c r="K150">
        <v>4.3</v>
      </c>
      <c r="L150">
        <v>5</v>
      </c>
      <c r="M150" t="s">
        <v>47</v>
      </c>
    </row>
    <row r="151" spans="1:13">
      <c r="A151" t="s">
        <v>355</v>
      </c>
      <c r="B151" t="s">
        <v>356</v>
      </c>
      <c r="C151" t="s">
        <v>122</v>
      </c>
      <c r="D151" t="s">
        <v>51</v>
      </c>
      <c r="E151" t="s">
        <v>52</v>
      </c>
      <c r="F151" t="s">
        <v>27</v>
      </c>
      <c r="G151" t="s">
        <v>54</v>
      </c>
      <c r="H151" t="s">
        <v>64</v>
      </c>
      <c r="I151">
        <v>14240</v>
      </c>
      <c r="J151">
        <v>8</v>
      </c>
      <c r="K151">
        <v>4.5999999999999996</v>
      </c>
      <c r="L151">
        <v>4</v>
      </c>
      <c r="M151" t="s">
        <v>80</v>
      </c>
    </row>
    <row r="152" spans="1:13">
      <c r="A152" t="s">
        <v>357</v>
      </c>
      <c r="B152" t="s">
        <v>263</v>
      </c>
      <c r="C152" t="s">
        <v>170</v>
      </c>
      <c r="D152" t="s">
        <v>59</v>
      </c>
      <c r="E152" t="s">
        <v>26</v>
      </c>
      <c r="F152" t="s">
        <v>100</v>
      </c>
      <c r="G152" t="s">
        <v>28</v>
      </c>
      <c r="H152" t="s">
        <v>36</v>
      </c>
      <c r="I152">
        <v>20366</v>
      </c>
      <c r="J152">
        <v>2</v>
      </c>
      <c r="K152">
        <v>4.2</v>
      </c>
      <c r="L152">
        <v>3</v>
      </c>
      <c r="M152" t="s">
        <v>87</v>
      </c>
    </row>
    <row r="153" spans="1:13">
      <c r="A153" t="s">
        <v>358</v>
      </c>
      <c r="B153" t="s">
        <v>359</v>
      </c>
      <c r="C153" t="s">
        <v>78</v>
      </c>
      <c r="D153" t="s">
        <v>51</v>
      </c>
      <c r="E153" t="s">
        <v>52</v>
      </c>
      <c r="F153" t="s">
        <v>60</v>
      </c>
      <c r="G153" t="s">
        <v>104</v>
      </c>
      <c r="H153" t="s">
        <v>36</v>
      </c>
      <c r="I153">
        <v>16856</v>
      </c>
      <c r="J153">
        <v>8</v>
      </c>
      <c r="K153">
        <v>4</v>
      </c>
      <c r="L153">
        <v>1</v>
      </c>
      <c r="M153" t="s">
        <v>87</v>
      </c>
    </row>
    <row r="154" spans="1:13">
      <c r="A154" t="s">
        <v>360</v>
      </c>
      <c r="B154" t="s">
        <v>361</v>
      </c>
      <c r="C154" t="s">
        <v>75</v>
      </c>
      <c r="D154" t="s">
        <v>46</v>
      </c>
      <c r="E154" t="s">
        <v>42</v>
      </c>
      <c r="F154" t="s">
        <v>60</v>
      </c>
      <c r="G154" t="s">
        <v>54</v>
      </c>
      <c r="H154" t="s">
        <v>29</v>
      </c>
      <c r="I154">
        <v>16680</v>
      </c>
      <c r="J154">
        <v>4</v>
      </c>
      <c r="K154">
        <v>4.5</v>
      </c>
      <c r="L154">
        <v>1</v>
      </c>
      <c r="M154" t="s">
        <v>144</v>
      </c>
    </row>
    <row r="155" spans="1:13">
      <c r="A155" t="s">
        <v>362</v>
      </c>
      <c r="B155" t="s">
        <v>363</v>
      </c>
      <c r="C155" t="s">
        <v>129</v>
      </c>
      <c r="D155" t="s">
        <v>159</v>
      </c>
      <c r="E155" t="s">
        <v>42</v>
      </c>
      <c r="F155" t="s">
        <v>18</v>
      </c>
      <c r="G155" t="s">
        <v>19</v>
      </c>
      <c r="H155" t="s">
        <v>64</v>
      </c>
      <c r="I155">
        <v>26544</v>
      </c>
      <c r="J155">
        <v>7</v>
      </c>
      <c r="K155">
        <v>3.3</v>
      </c>
      <c r="L155">
        <v>3</v>
      </c>
      <c r="M155" t="s">
        <v>80</v>
      </c>
    </row>
    <row r="156" spans="1:13">
      <c r="A156" t="s">
        <v>364</v>
      </c>
      <c r="B156" t="s">
        <v>365</v>
      </c>
      <c r="C156" t="s">
        <v>122</v>
      </c>
      <c r="D156" t="s">
        <v>79</v>
      </c>
      <c r="E156" t="s">
        <v>26</v>
      </c>
      <c r="F156" t="s">
        <v>60</v>
      </c>
      <c r="G156" t="s">
        <v>104</v>
      </c>
      <c r="H156" t="s">
        <v>20</v>
      </c>
      <c r="I156">
        <v>7748</v>
      </c>
      <c r="J156">
        <v>1</v>
      </c>
      <c r="K156">
        <v>4.2</v>
      </c>
      <c r="L156">
        <v>4</v>
      </c>
      <c r="M156" t="s">
        <v>37</v>
      </c>
    </row>
    <row r="157" spans="1:13">
      <c r="A157" t="s">
        <v>366</v>
      </c>
      <c r="B157" t="s">
        <v>367</v>
      </c>
      <c r="C157" t="s">
        <v>45</v>
      </c>
      <c r="D157" t="s">
        <v>34</v>
      </c>
      <c r="E157" t="s">
        <v>35</v>
      </c>
      <c r="F157" t="s">
        <v>18</v>
      </c>
      <c r="G157" t="s">
        <v>28</v>
      </c>
      <c r="H157" t="s">
        <v>36</v>
      </c>
      <c r="I157">
        <v>83099</v>
      </c>
      <c r="J157">
        <v>1</v>
      </c>
      <c r="K157">
        <v>3.6</v>
      </c>
      <c r="L157">
        <v>2</v>
      </c>
      <c r="M157" t="s">
        <v>87</v>
      </c>
    </row>
    <row r="158" spans="1:13">
      <c r="A158" t="s">
        <v>368</v>
      </c>
      <c r="B158" t="s">
        <v>369</v>
      </c>
      <c r="C158" t="s">
        <v>122</v>
      </c>
      <c r="D158" t="s">
        <v>147</v>
      </c>
      <c r="E158" t="s">
        <v>52</v>
      </c>
      <c r="F158" t="s">
        <v>27</v>
      </c>
      <c r="G158" t="s">
        <v>104</v>
      </c>
      <c r="H158" t="s">
        <v>29</v>
      </c>
      <c r="I158">
        <v>19680</v>
      </c>
      <c r="J158">
        <v>8</v>
      </c>
      <c r="K158">
        <v>4.0999999999999996</v>
      </c>
      <c r="L158">
        <v>5</v>
      </c>
      <c r="M158" t="s">
        <v>55</v>
      </c>
    </row>
    <row r="159" spans="1:13">
      <c r="A159" t="s">
        <v>370</v>
      </c>
      <c r="B159" t="s">
        <v>371</v>
      </c>
      <c r="C159" t="s">
        <v>133</v>
      </c>
      <c r="D159" t="s">
        <v>109</v>
      </c>
      <c r="E159" t="s">
        <v>52</v>
      </c>
      <c r="F159" t="s">
        <v>100</v>
      </c>
      <c r="G159" t="s">
        <v>28</v>
      </c>
      <c r="H159" t="s">
        <v>36</v>
      </c>
      <c r="I159">
        <v>5920</v>
      </c>
      <c r="J159">
        <v>4</v>
      </c>
      <c r="K159">
        <v>4.9000000000000004</v>
      </c>
      <c r="L159">
        <v>3</v>
      </c>
      <c r="M159" t="s">
        <v>80</v>
      </c>
    </row>
    <row r="160" spans="1:13">
      <c r="A160" t="s">
        <v>372</v>
      </c>
      <c r="B160" t="s">
        <v>373</v>
      </c>
      <c r="C160" t="s">
        <v>122</v>
      </c>
      <c r="D160" t="s">
        <v>97</v>
      </c>
      <c r="E160" t="s">
        <v>35</v>
      </c>
      <c r="F160" t="s">
        <v>83</v>
      </c>
      <c r="G160" t="s">
        <v>104</v>
      </c>
      <c r="H160" t="s">
        <v>20</v>
      </c>
      <c r="I160">
        <v>336066</v>
      </c>
      <c r="J160">
        <v>6</v>
      </c>
      <c r="K160">
        <v>3.9</v>
      </c>
      <c r="L160">
        <v>8</v>
      </c>
      <c r="M160" t="s">
        <v>65</v>
      </c>
    </row>
    <row r="161" spans="1:13">
      <c r="A161" t="s">
        <v>374</v>
      </c>
      <c r="B161" t="s">
        <v>23</v>
      </c>
      <c r="C161" t="s">
        <v>75</v>
      </c>
      <c r="D161" t="s">
        <v>41</v>
      </c>
      <c r="E161" t="s">
        <v>42</v>
      </c>
      <c r="F161" t="s">
        <v>60</v>
      </c>
      <c r="G161" t="s">
        <v>104</v>
      </c>
      <c r="H161" t="s">
        <v>36</v>
      </c>
      <c r="I161">
        <v>27167</v>
      </c>
      <c r="J161">
        <v>7</v>
      </c>
      <c r="K161">
        <v>3.7</v>
      </c>
      <c r="L161">
        <v>6</v>
      </c>
      <c r="M161" t="s">
        <v>30</v>
      </c>
    </row>
    <row r="162" spans="1:13">
      <c r="A162" t="s">
        <v>375</v>
      </c>
      <c r="B162" t="s">
        <v>376</v>
      </c>
      <c r="C162" t="s">
        <v>125</v>
      </c>
      <c r="D162" t="s">
        <v>79</v>
      </c>
      <c r="E162" t="s">
        <v>26</v>
      </c>
      <c r="F162" t="s">
        <v>83</v>
      </c>
      <c r="G162" t="s">
        <v>104</v>
      </c>
      <c r="H162" t="s">
        <v>29</v>
      </c>
      <c r="I162">
        <v>52130</v>
      </c>
      <c r="J162">
        <v>5</v>
      </c>
      <c r="K162">
        <v>4.5</v>
      </c>
      <c r="L162">
        <v>4</v>
      </c>
      <c r="M162" t="s">
        <v>144</v>
      </c>
    </row>
    <row r="163" spans="1:13">
      <c r="A163" t="s">
        <v>377</v>
      </c>
      <c r="B163" t="s">
        <v>89</v>
      </c>
      <c r="C163" t="s">
        <v>40</v>
      </c>
      <c r="D163" t="s">
        <v>86</v>
      </c>
      <c r="E163" t="s">
        <v>17</v>
      </c>
      <c r="F163" t="s">
        <v>60</v>
      </c>
      <c r="G163" t="s">
        <v>28</v>
      </c>
      <c r="H163" t="s">
        <v>29</v>
      </c>
      <c r="I163">
        <v>2560</v>
      </c>
      <c r="J163">
        <v>2</v>
      </c>
      <c r="K163">
        <v>4.8</v>
      </c>
      <c r="L163">
        <v>6</v>
      </c>
      <c r="M163" t="s">
        <v>37</v>
      </c>
    </row>
    <row r="164" spans="1:13">
      <c r="A164" t="s">
        <v>378</v>
      </c>
      <c r="B164" t="s">
        <v>379</v>
      </c>
      <c r="C164" t="s">
        <v>33</v>
      </c>
      <c r="D164" t="s">
        <v>130</v>
      </c>
      <c r="E164" t="s">
        <v>35</v>
      </c>
      <c r="F164" t="s">
        <v>100</v>
      </c>
      <c r="G164" t="s">
        <v>19</v>
      </c>
      <c r="H164" t="s">
        <v>20</v>
      </c>
      <c r="I164">
        <v>512296</v>
      </c>
      <c r="J164">
        <v>8</v>
      </c>
      <c r="K164">
        <v>3.9</v>
      </c>
      <c r="L164">
        <v>7</v>
      </c>
      <c r="M164" t="s">
        <v>55</v>
      </c>
    </row>
    <row r="165" spans="1:13">
      <c r="A165" t="s">
        <v>380</v>
      </c>
      <c r="B165" t="s">
        <v>381</v>
      </c>
      <c r="C165" t="s">
        <v>125</v>
      </c>
      <c r="D165" t="s">
        <v>218</v>
      </c>
      <c r="E165" t="s">
        <v>17</v>
      </c>
      <c r="F165" t="s">
        <v>100</v>
      </c>
      <c r="G165" t="s">
        <v>104</v>
      </c>
      <c r="H165" t="s">
        <v>29</v>
      </c>
      <c r="I165">
        <v>6328</v>
      </c>
      <c r="J165">
        <v>7</v>
      </c>
      <c r="K165">
        <v>3.9</v>
      </c>
      <c r="L165">
        <v>4</v>
      </c>
      <c r="M165" t="s">
        <v>30</v>
      </c>
    </row>
    <row r="166" spans="1:13">
      <c r="A166" t="s">
        <v>382</v>
      </c>
      <c r="B166" t="s">
        <v>383</v>
      </c>
      <c r="C166" t="s">
        <v>112</v>
      </c>
      <c r="D166" t="s">
        <v>90</v>
      </c>
      <c r="E166" t="s">
        <v>42</v>
      </c>
      <c r="F166" t="s">
        <v>18</v>
      </c>
      <c r="G166" t="s">
        <v>54</v>
      </c>
      <c r="H166" t="s">
        <v>36</v>
      </c>
      <c r="I166">
        <v>5538</v>
      </c>
      <c r="J166">
        <v>3</v>
      </c>
      <c r="K166">
        <v>4.0999999999999996</v>
      </c>
      <c r="L166">
        <v>1</v>
      </c>
      <c r="M166" t="s">
        <v>47</v>
      </c>
    </row>
    <row r="167" spans="1:13">
      <c r="A167" t="s">
        <v>384</v>
      </c>
      <c r="B167" t="s">
        <v>385</v>
      </c>
      <c r="C167" t="s">
        <v>45</v>
      </c>
      <c r="D167" t="s">
        <v>116</v>
      </c>
      <c r="E167" t="s">
        <v>17</v>
      </c>
      <c r="F167" t="s">
        <v>27</v>
      </c>
      <c r="G167" t="s">
        <v>28</v>
      </c>
      <c r="H167" t="s">
        <v>64</v>
      </c>
      <c r="I167">
        <v>1756</v>
      </c>
      <c r="J167">
        <v>4</v>
      </c>
      <c r="K167">
        <v>4</v>
      </c>
      <c r="L167">
        <v>1</v>
      </c>
      <c r="M167" t="s">
        <v>80</v>
      </c>
    </row>
    <row r="168" spans="1:13">
      <c r="A168" t="s">
        <v>386</v>
      </c>
      <c r="B168" t="s">
        <v>387</v>
      </c>
      <c r="C168" t="s">
        <v>112</v>
      </c>
      <c r="D168" t="s">
        <v>16</v>
      </c>
      <c r="E168" t="s">
        <v>17</v>
      </c>
      <c r="F168" t="s">
        <v>27</v>
      </c>
      <c r="G168" t="s">
        <v>28</v>
      </c>
      <c r="H168" t="s">
        <v>20</v>
      </c>
      <c r="I168">
        <v>2268</v>
      </c>
      <c r="J168">
        <v>7</v>
      </c>
      <c r="K168">
        <v>5</v>
      </c>
      <c r="L168">
        <v>1</v>
      </c>
      <c r="M168" t="s">
        <v>65</v>
      </c>
    </row>
    <row r="169" spans="1:13">
      <c r="A169" t="s">
        <v>388</v>
      </c>
      <c r="B169" t="s">
        <v>373</v>
      </c>
      <c r="C169" t="s">
        <v>50</v>
      </c>
      <c r="D169" t="s">
        <v>16</v>
      </c>
      <c r="E169" t="s">
        <v>17</v>
      </c>
      <c r="F169" t="s">
        <v>18</v>
      </c>
      <c r="G169" t="s">
        <v>104</v>
      </c>
      <c r="H169" t="s">
        <v>64</v>
      </c>
      <c r="I169">
        <v>2379</v>
      </c>
      <c r="J169">
        <v>3</v>
      </c>
      <c r="K169">
        <v>4.7</v>
      </c>
      <c r="L169">
        <v>5</v>
      </c>
      <c r="M169" t="s">
        <v>65</v>
      </c>
    </row>
    <row r="170" spans="1:13">
      <c r="A170" t="s">
        <v>389</v>
      </c>
      <c r="B170" t="s">
        <v>298</v>
      </c>
      <c r="C170" t="s">
        <v>33</v>
      </c>
      <c r="D170" t="s">
        <v>159</v>
      </c>
      <c r="E170" t="s">
        <v>42</v>
      </c>
      <c r="F170" t="s">
        <v>27</v>
      </c>
      <c r="G170" t="s">
        <v>54</v>
      </c>
      <c r="H170" t="s">
        <v>20</v>
      </c>
      <c r="I170">
        <v>5860</v>
      </c>
      <c r="J170">
        <v>4</v>
      </c>
      <c r="K170">
        <v>3.9</v>
      </c>
      <c r="L170">
        <v>8</v>
      </c>
      <c r="M170" t="s">
        <v>119</v>
      </c>
    </row>
    <row r="171" spans="1:13">
      <c r="A171" t="s">
        <v>390</v>
      </c>
      <c r="B171" t="s">
        <v>391</v>
      </c>
      <c r="C171" t="s">
        <v>103</v>
      </c>
      <c r="D171" t="s">
        <v>116</v>
      </c>
      <c r="E171" t="s">
        <v>17</v>
      </c>
      <c r="F171" t="s">
        <v>18</v>
      </c>
      <c r="G171" t="s">
        <v>54</v>
      </c>
      <c r="H171" t="s">
        <v>29</v>
      </c>
      <c r="I171">
        <v>8748</v>
      </c>
      <c r="J171">
        <v>6</v>
      </c>
      <c r="K171">
        <v>3.6</v>
      </c>
      <c r="L171">
        <v>8</v>
      </c>
      <c r="M171" t="s">
        <v>47</v>
      </c>
    </row>
    <row r="172" spans="1:13">
      <c r="A172" t="s">
        <v>392</v>
      </c>
      <c r="B172" t="s">
        <v>393</v>
      </c>
      <c r="C172" t="s">
        <v>24</v>
      </c>
      <c r="D172" t="s">
        <v>25</v>
      </c>
      <c r="E172" t="s">
        <v>26</v>
      </c>
      <c r="F172" t="s">
        <v>100</v>
      </c>
      <c r="G172" t="s">
        <v>19</v>
      </c>
      <c r="H172" t="s">
        <v>64</v>
      </c>
      <c r="I172">
        <v>43950</v>
      </c>
      <c r="J172">
        <v>6</v>
      </c>
      <c r="K172">
        <v>4.9000000000000004</v>
      </c>
      <c r="L172">
        <v>5</v>
      </c>
      <c r="M172" t="s">
        <v>37</v>
      </c>
    </row>
    <row r="173" spans="1:13">
      <c r="A173" t="s">
        <v>394</v>
      </c>
      <c r="B173" t="s">
        <v>352</v>
      </c>
      <c r="C173" t="s">
        <v>75</v>
      </c>
      <c r="D173" t="s">
        <v>59</v>
      </c>
      <c r="E173" t="s">
        <v>26</v>
      </c>
      <c r="F173" t="s">
        <v>53</v>
      </c>
      <c r="G173" t="s">
        <v>28</v>
      </c>
      <c r="H173" t="s">
        <v>29</v>
      </c>
      <c r="I173">
        <v>5037</v>
      </c>
      <c r="J173">
        <v>3</v>
      </c>
      <c r="K173">
        <v>3.4</v>
      </c>
      <c r="L173">
        <v>4</v>
      </c>
      <c r="M173" t="s">
        <v>55</v>
      </c>
    </row>
    <row r="174" spans="1:13">
      <c r="A174" t="s">
        <v>395</v>
      </c>
      <c r="B174" t="s">
        <v>396</v>
      </c>
      <c r="C174" t="s">
        <v>75</v>
      </c>
      <c r="D174" t="s">
        <v>218</v>
      </c>
      <c r="E174" t="s">
        <v>17</v>
      </c>
      <c r="F174" t="s">
        <v>100</v>
      </c>
      <c r="G174" t="s">
        <v>104</v>
      </c>
      <c r="H174" t="s">
        <v>20</v>
      </c>
      <c r="I174">
        <v>6136</v>
      </c>
      <c r="J174">
        <v>8</v>
      </c>
      <c r="K174">
        <v>3.5</v>
      </c>
      <c r="L174">
        <v>7</v>
      </c>
      <c r="M174" t="s">
        <v>47</v>
      </c>
    </row>
    <row r="175" spans="1:13">
      <c r="A175" t="s">
        <v>397</v>
      </c>
      <c r="B175" t="s">
        <v>398</v>
      </c>
      <c r="C175" t="s">
        <v>40</v>
      </c>
      <c r="D175" t="s">
        <v>16</v>
      </c>
      <c r="E175" t="s">
        <v>17</v>
      </c>
      <c r="F175" t="s">
        <v>60</v>
      </c>
      <c r="G175" t="s">
        <v>104</v>
      </c>
      <c r="H175" t="s">
        <v>29</v>
      </c>
      <c r="I175">
        <v>3234</v>
      </c>
      <c r="J175">
        <v>3</v>
      </c>
      <c r="K175">
        <v>3.4</v>
      </c>
      <c r="L175">
        <v>1</v>
      </c>
      <c r="M175" t="s">
        <v>21</v>
      </c>
    </row>
    <row r="176" spans="1:13">
      <c r="A176" t="s">
        <v>399</v>
      </c>
      <c r="B176" t="s">
        <v>400</v>
      </c>
      <c r="C176" t="s">
        <v>75</v>
      </c>
      <c r="D176" t="s">
        <v>86</v>
      </c>
      <c r="E176" t="s">
        <v>17</v>
      </c>
      <c r="F176" t="s">
        <v>53</v>
      </c>
      <c r="G176" t="s">
        <v>54</v>
      </c>
      <c r="H176" t="s">
        <v>29</v>
      </c>
      <c r="I176">
        <v>3546</v>
      </c>
      <c r="J176">
        <v>3</v>
      </c>
      <c r="K176">
        <v>3.9</v>
      </c>
      <c r="L176">
        <v>1</v>
      </c>
      <c r="M176" t="s">
        <v>87</v>
      </c>
    </row>
    <row r="177" spans="1:13">
      <c r="A177" t="s">
        <v>401</v>
      </c>
      <c r="B177" t="s">
        <v>402</v>
      </c>
      <c r="C177" t="s">
        <v>24</v>
      </c>
      <c r="D177" t="s">
        <v>41</v>
      </c>
      <c r="E177" t="s">
        <v>42</v>
      </c>
      <c r="F177" t="s">
        <v>83</v>
      </c>
      <c r="G177" t="s">
        <v>104</v>
      </c>
      <c r="H177" t="s">
        <v>29</v>
      </c>
      <c r="I177">
        <v>18816</v>
      </c>
      <c r="J177">
        <v>7</v>
      </c>
      <c r="K177">
        <v>4.0999999999999996</v>
      </c>
      <c r="L177">
        <v>7</v>
      </c>
      <c r="M177" t="s">
        <v>21</v>
      </c>
    </row>
    <row r="178" spans="1:13">
      <c r="A178" t="s">
        <v>403</v>
      </c>
      <c r="B178" t="s">
        <v>404</v>
      </c>
      <c r="C178" t="s">
        <v>129</v>
      </c>
      <c r="D178" t="s">
        <v>97</v>
      </c>
      <c r="E178" t="s">
        <v>35</v>
      </c>
      <c r="F178" t="s">
        <v>53</v>
      </c>
      <c r="G178" t="s">
        <v>19</v>
      </c>
      <c r="H178" t="s">
        <v>64</v>
      </c>
      <c r="I178">
        <v>77340</v>
      </c>
      <c r="J178">
        <v>2</v>
      </c>
      <c r="K178">
        <v>4.0999999999999996</v>
      </c>
      <c r="L178">
        <v>2</v>
      </c>
      <c r="M178" t="s">
        <v>80</v>
      </c>
    </row>
    <row r="179" spans="1:13">
      <c r="A179" t="s">
        <v>405</v>
      </c>
      <c r="B179" t="s">
        <v>406</v>
      </c>
      <c r="C179" t="s">
        <v>170</v>
      </c>
      <c r="D179" t="s">
        <v>79</v>
      </c>
      <c r="E179" t="s">
        <v>26</v>
      </c>
      <c r="F179" t="s">
        <v>60</v>
      </c>
      <c r="G179" t="s">
        <v>104</v>
      </c>
      <c r="H179" t="s">
        <v>64</v>
      </c>
      <c r="I179">
        <v>12486</v>
      </c>
      <c r="J179">
        <v>2</v>
      </c>
      <c r="K179">
        <v>4.7</v>
      </c>
      <c r="L179">
        <v>7</v>
      </c>
      <c r="M179" t="s">
        <v>47</v>
      </c>
    </row>
    <row r="180" spans="1:13">
      <c r="A180" t="s">
        <v>407</v>
      </c>
      <c r="B180" t="s">
        <v>408</v>
      </c>
      <c r="C180" t="s">
        <v>40</v>
      </c>
      <c r="D180" t="s">
        <v>79</v>
      </c>
      <c r="E180" t="s">
        <v>26</v>
      </c>
      <c r="F180" t="s">
        <v>27</v>
      </c>
      <c r="G180" t="s">
        <v>28</v>
      </c>
      <c r="H180" t="s">
        <v>20</v>
      </c>
      <c r="I180">
        <v>22260</v>
      </c>
      <c r="J180">
        <v>6</v>
      </c>
      <c r="K180">
        <v>4.9000000000000004</v>
      </c>
      <c r="L180">
        <v>6</v>
      </c>
      <c r="M180" t="s">
        <v>126</v>
      </c>
    </row>
    <row r="181" spans="1:13">
      <c r="A181" t="s">
        <v>409</v>
      </c>
      <c r="B181" t="s">
        <v>237</v>
      </c>
      <c r="C181" t="s">
        <v>78</v>
      </c>
      <c r="D181" t="s">
        <v>97</v>
      </c>
      <c r="E181" t="s">
        <v>35</v>
      </c>
      <c r="F181" t="s">
        <v>18</v>
      </c>
      <c r="G181" t="s">
        <v>28</v>
      </c>
      <c r="H181" t="s">
        <v>20</v>
      </c>
      <c r="I181">
        <v>534835</v>
      </c>
      <c r="J181">
        <v>7</v>
      </c>
      <c r="K181">
        <v>5</v>
      </c>
      <c r="L181">
        <v>3</v>
      </c>
      <c r="M181" t="s">
        <v>21</v>
      </c>
    </row>
    <row r="182" spans="1:13">
      <c r="A182" t="s">
        <v>410</v>
      </c>
      <c r="B182" t="s">
        <v>411</v>
      </c>
      <c r="C182" t="s">
        <v>133</v>
      </c>
      <c r="D182" t="s">
        <v>46</v>
      </c>
      <c r="E182" t="s">
        <v>42</v>
      </c>
      <c r="F182" t="s">
        <v>60</v>
      </c>
      <c r="G182" t="s">
        <v>54</v>
      </c>
      <c r="H182" t="s">
        <v>64</v>
      </c>
      <c r="I182">
        <v>11776</v>
      </c>
      <c r="J182">
        <v>2</v>
      </c>
      <c r="K182">
        <v>3.6</v>
      </c>
      <c r="L182">
        <v>3</v>
      </c>
      <c r="M182" t="s">
        <v>119</v>
      </c>
    </row>
    <row r="183" spans="1:13">
      <c r="A183" t="s">
        <v>412</v>
      </c>
      <c r="B183" t="s">
        <v>413</v>
      </c>
      <c r="C183" t="s">
        <v>78</v>
      </c>
      <c r="D183" t="s">
        <v>69</v>
      </c>
      <c r="E183" t="s">
        <v>26</v>
      </c>
      <c r="F183" t="s">
        <v>100</v>
      </c>
      <c r="G183" t="s">
        <v>54</v>
      </c>
      <c r="H183" t="s">
        <v>36</v>
      </c>
      <c r="I183">
        <v>9814</v>
      </c>
      <c r="J183">
        <v>7</v>
      </c>
      <c r="K183">
        <v>4.5999999999999996</v>
      </c>
      <c r="L183">
        <v>6</v>
      </c>
      <c r="M183" t="s">
        <v>30</v>
      </c>
    </row>
    <row r="184" spans="1:13">
      <c r="A184" t="s">
        <v>414</v>
      </c>
      <c r="B184" t="s">
        <v>415</v>
      </c>
      <c r="C184" t="s">
        <v>122</v>
      </c>
      <c r="D184" t="s">
        <v>109</v>
      </c>
      <c r="E184" t="s">
        <v>52</v>
      </c>
      <c r="F184" t="s">
        <v>100</v>
      </c>
      <c r="G184" t="s">
        <v>19</v>
      </c>
      <c r="H184" t="s">
        <v>64</v>
      </c>
      <c r="I184">
        <v>1886</v>
      </c>
      <c r="J184">
        <v>1</v>
      </c>
      <c r="K184">
        <v>3.2</v>
      </c>
      <c r="L184">
        <v>5</v>
      </c>
      <c r="M184" t="s">
        <v>80</v>
      </c>
    </row>
    <row r="185" spans="1:13">
      <c r="A185" t="s">
        <v>416</v>
      </c>
      <c r="B185" t="s">
        <v>172</v>
      </c>
      <c r="C185" t="s">
        <v>68</v>
      </c>
      <c r="D185" t="s">
        <v>97</v>
      </c>
      <c r="E185" t="s">
        <v>35</v>
      </c>
      <c r="F185" t="s">
        <v>27</v>
      </c>
      <c r="G185" t="s">
        <v>19</v>
      </c>
      <c r="H185" t="s">
        <v>29</v>
      </c>
      <c r="I185">
        <v>197331</v>
      </c>
      <c r="J185">
        <v>3</v>
      </c>
      <c r="K185">
        <v>3.9</v>
      </c>
      <c r="L185">
        <v>2</v>
      </c>
      <c r="M185" t="s">
        <v>47</v>
      </c>
    </row>
    <row r="186" spans="1:13">
      <c r="A186" t="s">
        <v>417</v>
      </c>
      <c r="B186" t="s">
        <v>418</v>
      </c>
      <c r="C186" t="s">
        <v>170</v>
      </c>
      <c r="D186" t="s">
        <v>130</v>
      </c>
      <c r="E186" t="s">
        <v>35</v>
      </c>
      <c r="F186" t="s">
        <v>18</v>
      </c>
      <c r="G186" t="s">
        <v>104</v>
      </c>
      <c r="H186" t="s">
        <v>36</v>
      </c>
      <c r="I186">
        <v>192608</v>
      </c>
      <c r="J186">
        <v>4</v>
      </c>
      <c r="K186">
        <v>4</v>
      </c>
      <c r="L186">
        <v>8</v>
      </c>
      <c r="M186" t="s">
        <v>47</v>
      </c>
    </row>
    <row r="187" spans="1:13">
      <c r="A187" t="s">
        <v>419</v>
      </c>
      <c r="B187" t="s">
        <v>420</v>
      </c>
      <c r="C187" t="s">
        <v>78</v>
      </c>
      <c r="D187" t="s">
        <v>16</v>
      </c>
      <c r="E187" t="s">
        <v>17</v>
      </c>
      <c r="F187" t="s">
        <v>60</v>
      </c>
      <c r="G187" t="s">
        <v>28</v>
      </c>
      <c r="H187" t="s">
        <v>20</v>
      </c>
      <c r="I187">
        <v>3372</v>
      </c>
      <c r="J187">
        <v>2</v>
      </c>
      <c r="K187">
        <v>4.2</v>
      </c>
      <c r="L187">
        <v>6</v>
      </c>
      <c r="M187" t="s">
        <v>126</v>
      </c>
    </row>
    <row r="188" spans="1:13">
      <c r="A188" t="s">
        <v>421</v>
      </c>
      <c r="B188" t="s">
        <v>422</v>
      </c>
      <c r="C188" t="s">
        <v>15</v>
      </c>
      <c r="D188" t="s">
        <v>159</v>
      </c>
      <c r="E188" t="s">
        <v>42</v>
      </c>
      <c r="F188" t="s">
        <v>27</v>
      </c>
      <c r="G188" t="s">
        <v>19</v>
      </c>
      <c r="H188" t="s">
        <v>20</v>
      </c>
      <c r="I188">
        <v>16212</v>
      </c>
      <c r="J188">
        <v>7</v>
      </c>
      <c r="K188">
        <v>4.3</v>
      </c>
      <c r="L188">
        <v>7</v>
      </c>
      <c r="M188" t="s">
        <v>37</v>
      </c>
    </row>
    <row r="189" spans="1:13">
      <c r="A189" t="s">
        <v>423</v>
      </c>
      <c r="B189" t="s">
        <v>424</v>
      </c>
      <c r="C189" t="s">
        <v>125</v>
      </c>
      <c r="D189" t="s">
        <v>113</v>
      </c>
      <c r="E189" t="s">
        <v>35</v>
      </c>
      <c r="F189" t="s">
        <v>100</v>
      </c>
      <c r="G189" t="s">
        <v>104</v>
      </c>
      <c r="H189" t="s">
        <v>64</v>
      </c>
      <c r="I189">
        <v>100890</v>
      </c>
      <c r="J189">
        <v>2</v>
      </c>
      <c r="K189">
        <v>4</v>
      </c>
      <c r="L189">
        <v>5</v>
      </c>
      <c r="M189" t="s">
        <v>30</v>
      </c>
    </row>
    <row r="190" spans="1:13">
      <c r="A190" t="s">
        <v>425</v>
      </c>
      <c r="B190" t="s">
        <v>222</v>
      </c>
      <c r="C190" t="s">
        <v>45</v>
      </c>
      <c r="D190" t="s">
        <v>69</v>
      </c>
      <c r="E190" t="s">
        <v>26</v>
      </c>
      <c r="F190" t="s">
        <v>100</v>
      </c>
      <c r="G190" t="s">
        <v>54</v>
      </c>
      <c r="H190" t="s">
        <v>20</v>
      </c>
      <c r="I190">
        <v>7252</v>
      </c>
      <c r="J190">
        <v>2</v>
      </c>
      <c r="K190">
        <v>4.7</v>
      </c>
      <c r="L190">
        <v>5</v>
      </c>
      <c r="M190" t="s">
        <v>30</v>
      </c>
    </row>
    <row r="191" spans="1:13">
      <c r="A191" t="s">
        <v>426</v>
      </c>
      <c r="B191" t="s">
        <v>427</v>
      </c>
      <c r="C191" t="s">
        <v>58</v>
      </c>
      <c r="D191" t="s">
        <v>113</v>
      </c>
      <c r="E191" t="s">
        <v>35</v>
      </c>
      <c r="F191" t="s">
        <v>60</v>
      </c>
      <c r="G191" t="s">
        <v>28</v>
      </c>
      <c r="H191" t="s">
        <v>20</v>
      </c>
      <c r="I191">
        <v>257145</v>
      </c>
      <c r="J191">
        <v>5</v>
      </c>
      <c r="K191">
        <v>3.9</v>
      </c>
      <c r="L191">
        <v>3</v>
      </c>
      <c r="M191" t="s">
        <v>21</v>
      </c>
    </row>
    <row r="192" spans="1:13">
      <c r="A192" t="s">
        <v>428</v>
      </c>
      <c r="B192" t="s">
        <v>429</v>
      </c>
      <c r="C192" t="s">
        <v>129</v>
      </c>
      <c r="D192" t="s">
        <v>159</v>
      </c>
      <c r="E192" t="s">
        <v>42</v>
      </c>
      <c r="F192" t="s">
        <v>18</v>
      </c>
      <c r="G192" t="s">
        <v>28</v>
      </c>
      <c r="H192" t="s">
        <v>20</v>
      </c>
      <c r="I192">
        <v>6696</v>
      </c>
      <c r="J192">
        <v>3</v>
      </c>
      <c r="K192">
        <v>4.7</v>
      </c>
      <c r="L192">
        <v>1</v>
      </c>
      <c r="M192" t="s">
        <v>30</v>
      </c>
    </row>
    <row r="193" spans="1:13">
      <c r="A193" t="s">
        <v>430</v>
      </c>
      <c r="B193" t="s">
        <v>23</v>
      </c>
      <c r="C193" t="s">
        <v>122</v>
      </c>
      <c r="D193" t="s">
        <v>51</v>
      </c>
      <c r="E193" t="s">
        <v>52</v>
      </c>
      <c r="F193" t="s">
        <v>53</v>
      </c>
      <c r="G193" t="s">
        <v>54</v>
      </c>
      <c r="H193" t="s">
        <v>29</v>
      </c>
      <c r="I193">
        <v>18112</v>
      </c>
      <c r="J193">
        <v>8</v>
      </c>
      <c r="K193">
        <v>3.5</v>
      </c>
      <c r="L193">
        <v>1</v>
      </c>
      <c r="M193" t="s">
        <v>30</v>
      </c>
    </row>
    <row r="194" spans="1:13">
      <c r="A194" t="s">
        <v>431</v>
      </c>
      <c r="B194" t="s">
        <v>432</v>
      </c>
      <c r="C194" t="s">
        <v>78</v>
      </c>
      <c r="D194" t="s">
        <v>109</v>
      </c>
      <c r="E194" t="s">
        <v>52</v>
      </c>
      <c r="F194" t="s">
        <v>53</v>
      </c>
      <c r="G194" t="s">
        <v>54</v>
      </c>
      <c r="H194" t="s">
        <v>64</v>
      </c>
      <c r="I194">
        <v>18224</v>
      </c>
      <c r="J194">
        <v>8</v>
      </c>
      <c r="K194">
        <v>4.2</v>
      </c>
      <c r="L194">
        <v>5</v>
      </c>
      <c r="M194" t="s">
        <v>80</v>
      </c>
    </row>
    <row r="195" spans="1:13">
      <c r="A195" t="s">
        <v>433</v>
      </c>
      <c r="B195" t="s">
        <v>434</v>
      </c>
      <c r="C195" t="s">
        <v>146</v>
      </c>
      <c r="D195" t="s">
        <v>79</v>
      </c>
      <c r="E195" t="s">
        <v>26</v>
      </c>
      <c r="F195" t="s">
        <v>18</v>
      </c>
      <c r="G195" t="s">
        <v>19</v>
      </c>
      <c r="H195" t="s">
        <v>20</v>
      </c>
      <c r="I195">
        <v>16336</v>
      </c>
      <c r="J195">
        <v>2</v>
      </c>
      <c r="K195">
        <v>3.7</v>
      </c>
      <c r="L195">
        <v>2</v>
      </c>
      <c r="M195" t="s">
        <v>47</v>
      </c>
    </row>
    <row r="196" spans="1:13">
      <c r="A196" t="s">
        <v>435</v>
      </c>
      <c r="B196" t="s">
        <v>436</v>
      </c>
      <c r="C196" t="s">
        <v>45</v>
      </c>
      <c r="D196" t="s">
        <v>59</v>
      </c>
      <c r="E196" t="s">
        <v>26</v>
      </c>
      <c r="F196" t="s">
        <v>100</v>
      </c>
      <c r="G196" t="s">
        <v>19</v>
      </c>
      <c r="H196" t="s">
        <v>29</v>
      </c>
      <c r="I196">
        <v>12404</v>
      </c>
      <c r="J196">
        <v>7</v>
      </c>
      <c r="K196">
        <v>4.2</v>
      </c>
      <c r="L196">
        <v>5</v>
      </c>
      <c r="M196" t="s">
        <v>119</v>
      </c>
    </row>
    <row r="197" spans="1:13">
      <c r="A197" t="s">
        <v>437</v>
      </c>
      <c r="B197" t="s">
        <v>252</v>
      </c>
      <c r="C197" t="s">
        <v>72</v>
      </c>
      <c r="D197" t="s">
        <v>130</v>
      </c>
      <c r="E197" t="s">
        <v>35</v>
      </c>
      <c r="F197" t="s">
        <v>83</v>
      </c>
      <c r="G197" t="s">
        <v>19</v>
      </c>
      <c r="H197" t="s">
        <v>29</v>
      </c>
      <c r="I197">
        <v>101355</v>
      </c>
      <c r="J197">
        <v>5</v>
      </c>
      <c r="K197">
        <v>5</v>
      </c>
      <c r="L197">
        <v>3</v>
      </c>
      <c r="M197" t="s">
        <v>30</v>
      </c>
    </row>
    <row r="198" spans="1:13">
      <c r="A198" t="s">
        <v>438</v>
      </c>
      <c r="B198" t="s">
        <v>74</v>
      </c>
      <c r="C198" t="s">
        <v>50</v>
      </c>
      <c r="D198" t="s">
        <v>51</v>
      </c>
      <c r="E198" t="s">
        <v>52</v>
      </c>
      <c r="F198" t="s">
        <v>100</v>
      </c>
      <c r="G198" t="s">
        <v>104</v>
      </c>
      <c r="H198" t="s">
        <v>29</v>
      </c>
      <c r="I198">
        <v>4050</v>
      </c>
      <c r="J198">
        <v>3</v>
      </c>
      <c r="K198">
        <v>4</v>
      </c>
      <c r="L198">
        <v>2</v>
      </c>
      <c r="M198" t="s">
        <v>65</v>
      </c>
    </row>
    <row r="199" spans="1:13">
      <c r="A199" t="s">
        <v>439</v>
      </c>
      <c r="B199" t="s">
        <v>440</v>
      </c>
      <c r="C199" t="s">
        <v>78</v>
      </c>
      <c r="D199" t="s">
        <v>90</v>
      </c>
      <c r="E199" t="s">
        <v>42</v>
      </c>
      <c r="F199" t="s">
        <v>60</v>
      </c>
      <c r="G199" t="s">
        <v>19</v>
      </c>
      <c r="H199" t="s">
        <v>64</v>
      </c>
      <c r="I199">
        <v>5900</v>
      </c>
      <c r="J199">
        <v>1</v>
      </c>
      <c r="K199">
        <v>4.5</v>
      </c>
      <c r="L199">
        <v>2</v>
      </c>
      <c r="M199" t="s">
        <v>126</v>
      </c>
    </row>
    <row r="200" spans="1:13">
      <c r="A200" t="s">
        <v>441</v>
      </c>
      <c r="B200" t="s">
        <v>398</v>
      </c>
      <c r="C200" t="s">
        <v>170</v>
      </c>
      <c r="D200" t="s">
        <v>51</v>
      </c>
      <c r="E200" t="s">
        <v>52</v>
      </c>
      <c r="F200" t="s">
        <v>27</v>
      </c>
      <c r="G200" t="s">
        <v>54</v>
      </c>
      <c r="H200" t="s">
        <v>36</v>
      </c>
      <c r="I200">
        <v>9798</v>
      </c>
      <c r="J200">
        <v>6</v>
      </c>
      <c r="K200">
        <v>4.2</v>
      </c>
      <c r="L200">
        <v>8</v>
      </c>
      <c r="M200" t="s">
        <v>21</v>
      </c>
    </row>
    <row r="201" spans="1:13">
      <c r="A201" t="s">
        <v>442</v>
      </c>
      <c r="B201" t="s">
        <v>296</v>
      </c>
      <c r="C201" t="s">
        <v>40</v>
      </c>
      <c r="D201" t="s">
        <v>116</v>
      </c>
      <c r="E201" t="s">
        <v>17</v>
      </c>
      <c r="F201" t="s">
        <v>83</v>
      </c>
      <c r="G201" t="s">
        <v>104</v>
      </c>
      <c r="H201" t="s">
        <v>36</v>
      </c>
      <c r="I201">
        <v>1246</v>
      </c>
      <c r="J201">
        <v>2</v>
      </c>
      <c r="K201">
        <v>3.6</v>
      </c>
      <c r="L201">
        <v>3</v>
      </c>
      <c r="M201" t="s">
        <v>144</v>
      </c>
    </row>
    <row r="202" spans="1:13">
      <c r="A202" t="s">
        <v>443</v>
      </c>
      <c r="B202" t="s">
        <v>444</v>
      </c>
      <c r="C202" t="s">
        <v>133</v>
      </c>
      <c r="D202" t="s">
        <v>130</v>
      </c>
      <c r="E202" t="s">
        <v>35</v>
      </c>
      <c r="F202" t="s">
        <v>27</v>
      </c>
      <c r="G202" t="s">
        <v>54</v>
      </c>
      <c r="H202" t="s">
        <v>36</v>
      </c>
      <c r="I202">
        <v>55722</v>
      </c>
      <c r="J202">
        <v>6</v>
      </c>
      <c r="K202">
        <v>3.7</v>
      </c>
      <c r="L202">
        <v>4</v>
      </c>
      <c r="M202" t="s">
        <v>87</v>
      </c>
    </row>
    <row r="203" spans="1:13">
      <c r="A203" t="s">
        <v>445</v>
      </c>
      <c r="B203" t="s">
        <v>446</v>
      </c>
      <c r="C203" t="s">
        <v>68</v>
      </c>
      <c r="D203" t="s">
        <v>86</v>
      </c>
      <c r="E203" t="s">
        <v>17</v>
      </c>
      <c r="F203" t="s">
        <v>60</v>
      </c>
      <c r="G203" t="s">
        <v>19</v>
      </c>
      <c r="H203" t="s">
        <v>64</v>
      </c>
      <c r="I203">
        <v>1142</v>
      </c>
      <c r="J203">
        <v>2</v>
      </c>
      <c r="K203">
        <v>3.2</v>
      </c>
      <c r="L203">
        <v>6</v>
      </c>
      <c r="M203" t="s">
        <v>65</v>
      </c>
    </row>
    <row r="204" spans="1:13">
      <c r="A204" t="s">
        <v>447</v>
      </c>
      <c r="B204" t="s">
        <v>352</v>
      </c>
      <c r="C204" t="s">
        <v>50</v>
      </c>
      <c r="D204" t="s">
        <v>86</v>
      </c>
      <c r="E204" t="s">
        <v>17</v>
      </c>
      <c r="F204" t="s">
        <v>83</v>
      </c>
      <c r="G204" t="s">
        <v>19</v>
      </c>
      <c r="H204" t="s">
        <v>36</v>
      </c>
      <c r="I204">
        <v>3592</v>
      </c>
      <c r="J204">
        <v>2</v>
      </c>
      <c r="K204">
        <v>4.8</v>
      </c>
      <c r="L204">
        <v>3</v>
      </c>
      <c r="M204" t="s">
        <v>55</v>
      </c>
    </row>
    <row r="205" spans="1:13">
      <c r="A205" t="s">
        <v>448</v>
      </c>
      <c r="B205" t="s">
        <v>233</v>
      </c>
      <c r="C205" t="s">
        <v>179</v>
      </c>
      <c r="D205" t="s">
        <v>25</v>
      </c>
      <c r="E205" t="s">
        <v>26</v>
      </c>
      <c r="F205" t="s">
        <v>18</v>
      </c>
      <c r="G205" t="s">
        <v>54</v>
      </c>
      <c r="H205" t="s">
        <v>20</v>
      </c>
      <c r="I205">
        <v>9840</v>
      </c>
      <c r="J205">
        <v>3</v>
      </c>
      <c r="K205">
        <v>4.9000000000000004</v>
      </c>
      <c r="L205">
        <v>8</v>
      </c>
      <c r="M205" t="s">
        <v>192</v>
      </c>
    </row>
    <row r="206" spans="1:13">
      <c r="A206" t="s">
        <v>449</v>
      </c>
      <c r="B206" t="s">
        <v>450</v>
      </c>
      <c r="C206" t="s">
        <v>15</v>
      </c>
      <c r="D206" t="s">
        <v>116</v>
      </c>
      <c r="E206" t="s">
        <v>17</v>
      </c>
      <c r="F206" t="s">
        <v>27</v>
      </c>
      <c r="G206" t="s">
        <v>104</v>
      </c>
      <c r="H206" t="s">
        <v>20</v>
      </c>
      <c r="I206">
        <v>6608</v>
      </c>
      <c r="J206">
        <v>7</v>
      </c>
      <c r="K206">
        <v>3.4</v>
      </c>
      <c r="L206">
        <v>5</v>
      </c>
      <c r="M206" t="s">
        <v>126</v>
      </c>
    </row>
    <row r="207" spans="1:13">
      <c r="A207" t="s">
        <v>451</v>
      </c>
      <c r="B207" t="s">
        <v>452</v>
      </c>
      <c r="C207" t="s">
        <v>45</v>
      </c>
      <c r="D207" t="s">
        <v>79</v>
      </c>
      <c r="E207" t="s">
        <v>26</v>
      </c>
      <c r="F207" t="s">
        <v>18</v>
      </c>
      <c r="G207" t="s">
        <v>54</v>
      </c>
      <c r="H207" t="s">
        <v>29</v>
      </c>
      <c r="I207">
        <v>35610</v>
      </c>
      <c r="J207">
        <v>5</v>
      </c>
      <c r="K207">
        <v>3.4</v>
      </c>
      <c r="L207">
        <v>8</v>
      </c>
      <c r="M207" t="s">
        <v>55</v>
      </c>
    </row>
    <row r="208" spans="1:13">
      <c r="A208" t="s">
        <v>453</v>
      </c>
      <c r="B208" t="s">
        <v>454</v>
      </c>
      <c r="C208" t="s">
        <v>15</v>
      </c>
      <c r="D208" t="s">
        <v>34</v>
      </c>
      <c r="E208" t="s">
        <v>35</v>
      </c>
      <c r="F208" t="s">
        <v>53</v>
      </c>
      <c r="G208" t="s">
        <v>19</v>
      </c>
      <c r="H208" t="s">
        <v>36</v>
      </c>
      <c r="I208">
        <v>176015</v>
      </c>
      <c r="J208">
        <v>7</v>
      </c>
      <c r="K208">
        <v>3.2</v>
      </c>
      <c r="L208">
        <v>2</v>
      </c>
      <c r="M208" t="s">
        <v>55</v>
      </c>
    </row>
    <row r="209" spans="1:13">
      <c r="A209" t="s">
        <v>455</v>
      </c>
      <c r="B209" t="s">
        <v>456</v>
      </c>
      <c r="C209" t="s">
        <v>103</v>
      </c>
      <c r="D209" t="s">
        <v>116</v>
      </c>
      <c r="E209" t="s">
        <v>17</v>
      </c>
      <c r="F209" t="s">
        <v>18</v>
      </c>
      <c r="G209" t="s">
        <v>104</v>
      </c>
      <c r="H209" t="s">
        <v>36</v>
      </c>
      <c r="I209">
        <v>7935</v>
      </c>
      <c r="J209">
        <v>5</v>
      </c>
      <c r="K209">
        <v>3.3</v>
      </c>
      <c r="L209">
        <v>3</v>
      </c>
      <c r="M209" t="s">
        <v>65</v>
      </c>
    </row>
    <row r="210" spans="1:13">
      <c r="A210" t="s">
        <v>457</v>
      </c>
      <c r="B210" t="s">
        <v>458</v>
      </c>
      <c r="C210" t="s">
        <v>133</v>
      </c>
      <c r="D210" t="s">
        <v>79</v>
      </c>
      <c r="E210" t="s">
        <v>26</v>
      </c>
      <c r="F210" t="s">
        <v>18</v>
      </c>
      <c r="G210" t="s">
        <v>28</v>
      </c>
      <c r="H210" t="s">
        <v>36</v>
      </c>
      <c r="I210">
        <v>28254</v>
      </c>
      <c r="J210">
        <v>6</v>
      </c>
      <c r="K210">
        <v>3.3</v>
      </c>
      <c r="L210">
        <v>2</v>
      </c>
      <c r="M210" t="s">
        <v>80</v>
      </c>
    </row>
    <row r="211" spans="1:13">
      <c r="A211" t="s">
        <v>459</v>
      </c>
      <c r="B211" t="s">
        <v>460</v>
      </c>
      <c r="C211" t="s">
        <v>24</v>
      </c>
      <c r="D211" t="s">
        <v>34</v>
      </c>
      <c r="E211" t="s">
        <v>35</v>
      </c>
      <c r="F211" t="s">
        <v>53</v>
      </c>
      <c r="G211" t="s">
        <v>19</v>
      </c>
      <c r="H211" t="s">
        <v>29</v>
      </c>
      <c r="I211">
        <v>3987</v>
      </c>
      <c r="J211">
        <v>1</v>
      </c>
      <c r="K211">
        <v>4.9000000000000004</v>
      </c>
      <c r="L211">
        <v>5</v>
      </c>
      <c r="M211" t="s">
        <v>80</v>
      </c>
    </row>
    <row r="212" spans="1:13">
      <c r="A212" t="s">
        <v>461</v>
      </c>
      <c r="B212" t="s">
        <v>462</v>
      </c>
      <c r="C212" t="s">
        <v>146</v>
      </c>
      <c r="D212" t="s">
        <v>16</v>
      </c>
      <c r="E212" t="s">
        <v>17</v>
      </c>
      <c r="F212" t="s">
        <v>100</v>
      </c>
      <c r="G212" t="s">
        <v>104</v>
      </c>
      <c r="H212" t="s">
        <v>36</v>
      </c>
      <c r="I212">
        <v>5999</v>
      </c>
      <c r="J212">
        <v>7</v>
      </c>
      <c r="K212">
        <v>4.3</v>
      </c>
      <c r="L212">
        <v>8</v>
      </c>
      <c r="M212" t="s">
        <v>126</v>
      </c>
    </row>
    <row r="213" spans="1:13">
      <c r="A213" t="s">
        <v>463</v>
      </c>
      <c r="B213" t="s">
        <v>334</v>
      </c>
      <c r="C213" t="s">
        <v>33</v>
      </c>
      <c r="D213" t="s">
        <v>159</v>
      </c>
      <c r="E213" t="s">
        <v>42</v>
      </c>
      <c r="F213" t="s">
        <v>18</v>
      </c>
      <c r="G213" t="s">
        <v>19</v>
      </c>
      <c r="H213" t="s">
        <v>36</v>
      </c>
      <c r="I213">
        <v>4932</v>
      </c>
      <c r="J213">
        <v>3</v>
      </c>
      <c r="K213">
        <v>4.5</v>
      </c>
      <c r="L213">
        <v>1</v>
      </c>
      <c r="M213" t="s">
        <v>55</v>
      </c>
    </row>
    <row r="214" spans="1:13">
      <c r="A214" t="s">
        <v>464</v>
      </c>
      <c r="B214" t="s">
        <v>352</v>
      </c>
      <c r="C214" t="s">
        <v>170</v>
      </c>
      <c r="D214" t="s">
        <v>46</v>
      </c>
      <c r="E214" t="s">
        <v>42</v>
      </c>
      <c r="F214" t="s">
        <v>53</v>
      </c>
      <c r="G214" t="s">
        <v>54</v>
      </c>
      <c r="H214" t="s">
        <v>29</v>
      </c>
      <c r="I214">
        <v>12405</v>
      </c>
      <c r="J214">
        <v>3</v>
      </c>
      <c r="K214">
        <v>3.8</v>
      </c>
      <c r="L214">
        <v>7</v>
      </c>
      <c r="M214" t="s">
        <v>55</v>
      </c>
    </row>
    <row r="215" spans="1:13">
      <c r="A215" t="s">
        <v>465</v>
      </c>
      <c r="B215" t="s">
        <v>393</v>
      </c>
      <c r="C215" t="s">
        <v>170</v>
      </c>
      <c r="D215" t="s">
        <v>16</v>
      </c>
      <c r="E215" t="s">
        <v>17</v>
      </c>
      <c r="F215" t="s">
        <v>18</v>
      </c>
      <c r="G215" t="s">
        <v>28</v>
      </c>
      <c r="H215" t="s">
        <v>36</v>
      </c>
      <c r="I215">
        <v>5424</v>
      </c>
      <c r="J215">
        <v>4</v>
      </c>
      <c r="K215">
        <v>4.8</v>
      </c>
      <c r="L215">
        <v>5</v>
      </c>
      <c r="M215" t="s">
        <v>37</v>
      </c>
    </row>
    <row r="216" spans="1:13">
      <c r="A216" t="s">
        <v>466</v>
      </c>
      <c r="B216" t="s">
        <v>402</v>
      </c>
      <c r="C216" t="s">
        <v>78</v>
      </c>
      <c r="D216" t="s">
        <v>34</v>
      </c>
      <c r="E216" t="s">
        <v>35</v>
      </c>
      <c r="F216" t="s">
        <v>83</v>
      </c>
      <c r="G216" t="s">
        <v>19</v>
      </c>
      <c r="H216" t="s">
        <v>36</v>
      </c>
      <c r="I216">
        <v>316535</v>
      </c>
      <c r="J216">
        <v>5</v>
      </c>
      <c r="K216">
        <v>4.9000000000000004</v>
      </c>
      <c r="L216">
        <v>4</v>
      </c>
      <c r="M216" t="s">
        <v>21</v>
      </c>
    </row>
    <row r="217" spans="1:13">
      <c r="A217" t="s">
        <v>467</v>
      </c>
      <c r="B217" t="s">
        <v>468</v>
      </c>
      <c r="C217" t="s">
        <v>68</v>
      </c>
      <c r="D217" t="s">
        <v>41</v>
      </c>
      <c r="E217" t="s">
        <v>42</v>
      </c>
      <c r="F217" t="s">
        <v>83</v>
      </c>
      <c r="G217" t="s">
        <v>19</v>
      </c>
      <c r="H217" t="s">
        <v>64</v>
      </c>
      <c r="I217">
        <v>4266</v>
      </c>
      <c r="J217">
        <v>6</v>
      </c>
      <c r="K217">
        <v>3.9</v>
      </c>
      <c r="L217">
        <v>5</v>
      </c>
      <c r="M217" t="s">
        <v>37</v>
      </c>
    </row>
    <row r="218" spans="1:13">
      <c r="A218" t="s">
        <v>469</v>
      </c>
      <c r="B218" t="s">
        <v>470</v>
      </c>
      <c r="C218" t="s">
        <v>146</v>
      </c>
      <c r="D218" t="s">
        <v>41</v>
      </c>
      <c r="E218" t="s">
        <v>42</v>
      </c>
      <c r="F218" t="s">
        <v>27</v>
      </c>
      <c r="G218" t="s">
        <v>54</v>
      </c>
      <c r="H218" t="s">
        <v>36</v>
      </c>
      <c r="I218">
        <v>24785</v>
      </c>
      <c r="J218">
        <v>5</v>
      </c>
      <c r="K218">
        <v>4.5</v>
      </c>
      <c r="L218">
        <v>6</v>
      </c>
      <c r="M218" t="s">
        <v>80</v>
      </c>
    </row>
    <row r="219" spans="1:13">
      <c r="A219" t="s">
        <v>471</v>
      </c>
      <c r="B219" t="s">
        <v>472</v>
      </c>
      <c r="C219" t="s">
        <v>50</v>
      </c>
      <c r="D219" t="s">
        <v>79</v>
      </c>
      <c r="E219" t="s">
        <v>26</v>
      </c>
      <c r="F219" t="s">
        <v>27</v>
      </c>
      <c r="G219" t="s">
        <v>104</v>
      </c>
      <c r="H219" t="s">
        <v>29</v>
      </c>
      <c r="I219">
        <v>32753</v>
      </c>
      <c r="J219">
        <v>7</v>
      </c>
      <c r="K219">
        <v>3.7</v>
      </c>
      <c r="L219">
        <v>6</v>
      </c>
      <c r="M219" t="s">
        <v>192</v>
      </c>
    </row>
    <row r="220" spans="1:13">
      <c r="A220" t="s">
        <v>473</v>
      </c>
      <c r="B220" t="s">
        <v>468</v>
      </c>
      <c r="C220" t="s">
        <v>146</v>
      </c>
      <c r="D220" t="s">
        <v>46</v>
      </c>
      <c r="E220" t="s">
        <v>42</v>
      </c>
      <c r="F220" t="s">
        <v>53</v>
      </c>
      <c r="G220" t="s">
        <v>28</v>
      </c>
      <c r="H220" t="s">
        <v>36</v>
      </c>
      <c r="I220">
        <v>3184</v>
      </c>
      <c r="J220">
        <v>2</v>
      </c>
      <c r="K220">
        <v>3.4</v>
      </c>
      <c r="L220">
        <v>8</v>
      </c>
      <c r="M220" t="s">
        <v>37</v>
      </c>
    </row>
    <row r="221" spans="1:13">
      <c r="A221" t="s">
        <v>474</v>
      </c>
      <c r="B221" t="s">
        <v>475</v>
      </c>
      <c r="C221" t="s">
        <v>45</v>
      </c>
      <c r="D221" t="s">
        <v>59</v>
      </c>
      <c r="E221" t="s">
        <v>26</v>
      </c>
      <c r="F221" t="s">
        <v>18</v>
      </c>
      <c r="G221" t="s">
        <v>19</v>
      </c>
      <c r="H221" t="s">
        <v>29</v>
      </c>
      <c r="I221">
        <v>18248</v>
      </c>
      <c r="J221">
        <v>8</v>
      </c>
      <c r="K221">
        <v>3.5</v>
      </c>
      <c r="L221">
        <v>5</v>
      </c>
      <c r="M221" t="s">
        <v>37</v>
      </c>
    </row>
    <row r="222" spans="1:13">
      <c r="A222" t="s">
        <v>476</v>
      </c>
      <c r="B222" t="s">
        <v>477</v>
      </c>
      <c r="C222" t="s">
        <v>15</v>
      </c>
      <c r="D222" t="s">
        <v>147</v>
      </c>
      <c r="E222" t="s">
        <v>52</v>
      </c>
      <c r="F222" t="s">
        <v>60</v>
      </c>
      <c r="G222" t="s">
        <v>28</v>
      </c>
      <c r="H222" t="s">
        <v>20</v>
      </c>
      <c r="I222">
        <v>7492</v>
      </c>
      <c r="J222">
        <v>4</v>
      </c>
      <c r="K222">
        <v>3.7</v>
      </c>
      <c r="L222">
        <v>3</v>
      </c>
      <c r="M222" t="s">
        <v>119</v>
      </c>
    </row>
    <row r="223" spans="1:13">
      <c r="A223" t="s">
        <v>478</v>
      </c>
      <c r="B223" t="s">
        <v>183</v>
      </c>
      <c r="C223" t="s">
        <v>129</v>
      </c>
      <c r="D223" t="s">
        <v>116</v>
      </c>
      <c r="E223" t="s">
        <v>17</v>
      </c>
      <c r="F223" t="s">
        <v>27</v>
      </c>
      <c r="G223" t="s">
        <v>54</v>
      </c>
      <c r="H223" t="s">
        <v>29</v>
      </c>
      <c r="I223">
        <v>1644</v>
      </c>
      <c r="J223">
        <v>3</v>
      </c>
      <c r="K223">
        <v>3.6</v>
      </c>
      <c r="L223">
        <v>7</v>
      </c>
      <c r="M223" t="s">
        <v>87</v>
      </c>
    </row>
    <row r="224" spans="1:13">
      <c r="A224" t="s">
        <v>479</v>
      </c>
      <c r="B224" t="s">
        <v>480</v>
      </c>
      <c r="C224" t="s">
        <v>33</v>
      </c>
      <c r="D224" t="s">
        <v>16</v>
      </c>
      <c r="E224" t="s">
        <v>17</v>
      </c>
      <c r="F224" t="s">
        <v>83</v>
      </c>
      <c r="G224" t="s">
        <v>28</v>
      </c>
      <c r="H224" t="s">
        <v>64</v>
      </c>
      <c r="I224">
        <v>6488</v>
      </c>
      <c r="J224">
        <v>4</v>
      </c>
      <c r="K224">
        <v>3.4</v>
      </c>
      <c r="L224">
        <v>8</v>
      </c>
      <c r="M224" t="s">
        <v>87</v>
      </c>
    </row>
    <row r="225" spans="1:13">
      <c r="A225" t="s">
        <v>481</v>
      </c>
      <c r="B225" t="s">
        <v>482</v>
      </c>
      <c r="C225" t="s">
        <v>33</v>
      </c>
      <c r="D225" t="s">
        <v>41</v>
      </c>
      <c r="E225" t="s">
        <v>42</v>
      </c>
      <c r="F225" t="s">
        <v>100</v>
      </c>
      <c r="G225" t="s">
        <v>19</v>
      </c>
      <c r="H225" t="s">
        <v>29</v>
      </c>
      <c r="I225">
        <v>15631</v>
      </c>
      <c r="J225">
        <v>7</v>
      </c>
      <c r="K225">
        <v>3.7</v>
      </c>
      <c r="L225">
        <v>3</v>
      </c>
      <c r="M225" t="s">
        <v>55</v>
      </c>
    </row>
    <row r="226" spans="1:13">
      <c r="A226" t="s">
        <v>483</v>
      </c>
      <c r="B226" t="s">
        <v>344</v>
      </c>
      <c r="C226" t="s">
        <v>78</v>
      </c>
      <c r="D226" t="s">
        <v>90</v>
      </c>
      <c r="E226" t="s">
        <v>42</v>
      </c>
      <c r="F226" t="s">
        <v>18</v>
      </c>
      <c r="G226" t="s">
        <v>28</v>
      </c>
      <c r="H226" t="s">
        <v>29</v>
      </c>
      <c r="I226">
        <v>30696</v>
      </c>
      <c r="J226">
        <v>8</v>
      </c>
      <c r="K226">
        <v>4</v>
      </c>
      <c r="L226">
        <v>4</v>
      </c>
      <c r="M226" t="s">
        <v>30</v>
      </c>
    </row>
    <row r="227" spans="1:13">
      <c r="A227" t="s">
        <v>484</v>
      </c>
      <c r="B227" t="s">
        <v>485</v>
      </c>
      <c r="C227" t="s">
        <v>103</v>
      </c>
      <c r="D227" t="s">
        <v>90</v>
      </c>
      <c r="E227" t="s">
        <v>42</v>
      </c>
      <c r="F227" t="s">
        <v>18</v>
      </c>
      <c r="G227" t="s">
        <v>28</v>
      </c>
      <c r="H227" t="s">
        <v>29</v>
      </c>
      <c r="I227">
        <v>5478</v>
      </c>
      <c r="J227">
        <v>6</v>
      </c>
      <c r="K227">
        <v>4.3</v>
      </c>
      <c r="L227">
        <v>1</v>
      </c>
      <c r="M227" t="s">
        <v>126</v>
      </c>
    </row>
    <row r="228" spans="1:13">
      <c r="A228" t="s">
        <v>486</v>
      </c>
      <c r="B228" t="s">
        <v>487</v>
      </c>
      <c r="C228" t="s">
        <v>58</v>
      </c>
      <c r="D228" t="s">
        <v>79</v>
      </c>
      <c r="E228" t="s">
        <v>26</v>
      </c>
      <c r="F228" t="s">
        <v>60</v>
      </c>
      <c r="G228" t="s">
        <v>104</v>
      </c>
      <c r="H228" t="s">
        <v>20</v>
      </c>
      <c r="I228">
        <v>3432</v>
      </c>
      <c r="J228">
        <v>2</v>
      </c>
      <c r="K228">
        <v>4.5999999999999996</v>
      </c>
      <c r="L228">
        <v>4</v>
      </c>
      <c r="M228" t="s">
        <v>80</v>
      </c>
    </row>
    <row r="229" spans="1:13">
      <c r="A229" t="s">
        <v>488</v>
      </c>
      <c r="B229" t="s">
        <v>489</v>
      </c>
      <c r="C229" t="s">
        <v>58</v>
      </c>
      <c r="D229" t="s">
        <v>63</v>
      </c>
      <c r="E229" t="s">
        <v>52</v>
      </c>
      <c r="F229" t="s">
        <v>83</v>
      </c>
      <c r="G229" t="s">
        <v>28</v>
      </c>
      <c r="H229" t="s">
        <v>29</v>
      </c>
      <c r="I229">
        <v>10314</v>
      </c>
      <c r="J229">
        <v>6</v>
      </c>
      <c r="K229">
        <v>4.9000000000000004</v>
      </c>
      <c r="L229">
        <v>3</v>
      </c>
      <c r="M229" t="s">
        <v>30</v>
      </c>
    </row>
    <row r="230" spans="1:13">
      <c r="A230" t="s">
        <v>490</v>
      </c>
      <c r="B230" t="s">
        <v>491</v>
      </c>
      <c r="C230" t="s">
        <v>170</v>
      </c>
      <c r="D230" t="s">
        <v>51</v>
      </c>
      <c r="E230" t="s">
        <v>52</v>
      </c>
      <c r="F230" t="s">
        <v>100</v>
      </c>
      <c r="G230" t="s">
        <v>19</v>
      </c>
      <c r="H230" t="s">
        <v>20</v>
      </c>
      <c r="I230">
        <v>2404</v>
      </c>
      <c r="J230">
        <v>2</v>
      </c>
      <c r="K230">
        <v>4.0999999999999996</v>
      </c>
      <c r="L230">
        <v>1</v>
      </c>
      <c r="M230" t="s">
        <v>144</v>
      </c>
    </row>
    <row r="231" spans="1:13">
      <c r="A231" t="s">
        <v>492</v>
      </c>
      <c r="B231" t="s">
        <v>493</v>
      </c>
      <c r="C231" t="s">
        <v>75</v>
      </c>
      <c r="D231" t="s">
        <v>34</v>
      </c>
      <c r="E231" t="s">
        <v>35</v>
      </c>
      <c r="F231" t="s">
        <v>53</v>
      </c>
      <c r="G231" t="s">
        <v>28</v>
      </c>
      <c r="H231" t="s">
        <v>36</v>
      </c>
      <c r="I231">
        <v>79388</v>
      </c>
      <c r="J231">
        <v>1</v>
      </c>
      <c r="K231">
        <v>4.7</v>
      </c>
      <c r="L231">
        <v>6</v>
      </c>
      <c r="M231" t="s">
        <v>126</v>
      </c>
    </row>
    <row r="232" spans="1:13">
      <c r="A232" t="s">
        <v>494</v>
      </c>
      <c r="B232" t="s">
        <v>493</v>
      </c>
      <c r="C232" t="s">
        <v>122</v>
      </c>
      <c r="D232" t="s">
        <v>130</v>
      </c>
      <c r="E232" t="s">
        <v>35</v>
      </c>
      <c r="F232" t="s">
        <v>27</v>
      </c>
      <c r="G232" t="s">
        <v>19</v>
      </c>
      <c r="H232" t="s">
        <v>64</v>
      </c>
      <c r="I232">
        <v>199074</v>
      </c>
      <c r="J232">
        <v>3</v>
      </c>
      <c r="K232">
        <v>4.5</v>
      </c>
      <c r="L232">
        <v>6</v>
      </c>
      <c r="M232" t="s">
        <v>126</v>
      </c>
    </row>
    <row r="233" spans="1:13">
      <c r="A233" t="s">
        <v>495</v>
      </c>
      <c r="B233" t="s">
        <v>77</v>
      </c>
      <c r="C233" t="s">
        <v>45</v>
      </c>
      <c r="D233" t="s">
        <v>130</v>
      </c>
      <c r="E233" t="s">
        <v>35</v>
      </c>
      <c r="F233" t="s">
        <v>83</v>
      </c>
      <c r="G233" t="s">
        <v>54</v>
      </c>
      <c r="H233" t="s">
        <v>64</v>
      </c>
      <c r="I233">
        <v>232746</v>
      </c>
      <c r="J233">
        <v>3</v>
      </c>
      <c r="K233">
        <v>3.3</v>
      </c>
      <c r="L233">
        <v>6</v>
      </c>
      <c r="M233" t="s">
        <v>80</v>
      </c>
    </row>
    <row r="234" spans="1:13">
      <c r="A234" t="s">
        <v>496</v>
      </c>
      <c r="B234" t="s">
        <v>263</v>
      </c>
      <c r="C234" t="s">
        <v>146</v>
      </c>
      <c r="D234" t="s">
        <v>109</v>
      </c>
      <c r="E234" t="s">
        <v>52</v>
      </c>
      <c r="F234" t="s">
        <v>18</v>
      </c>
      <c r="G234" t="s">
        <v>104</v>
      </c>
      <c r="H234" t="s">
        <v>20</v>
      </c>
      <c r="I234">
        <v>6232</v>
      </c>
      <c r="J234">
        <v>4</v>
      </c>
      <c r="K234">
        <v>4.7</v>
      </c>
      <c r="L234">
        <v>6</v>
      </c>
      <c r="M234" t="s">
        <v>87</v>
      </c>
    </row>
    <row r="235" spans="1:13">
      <c r="A235" t="s">
        <v>497</v>
      </c>
      <c r="B235" t="s">
        <v>450</v>
      </c>
      <c r="C235" t="s">
        <v>133</v>
      </c>
      <c r="D235" t="s">
        <v>147</v>
      </c>
      <c r="E235" t="s">
        <v>52</v>
      </c>
      <c r="F235" t="s">
        <v>60</v>
      </c>
      <c r="G235" t="s">
        <v>28</v>
      </c>
      <c r="H235" t="s">
        <v>29</v>
      </c>
      <c r="I235">
        <v>1275</v>
      </c>
      <c r="J235">
        <v>5</v>
      </c>
      <c r="K235">
        <v>4.5</v>
      </c>
      <c r="L235">
        <v>3</v>
      </c>
      <c r="M235" t="s">
        <v>126</v>
      </c>
    </row>
    <row r="236" spans="1:13">
      <c r="A236" t="s">
        <v>498</v>
      </c>
      <c r="B236" t="s">
        <v>181</v>
      </c>
      <c r="C236" t="s">
        <v>40</v>
      </c>
      <c r="D236" t="s">
        <v>69</v>
      </c>
      <c r="E236" t="s">
        <v>26</v>
      </c>
      <c r="F236" t="s">
        <v>18</v>
      </c>
      <c r="G236" t="s">
        <v>104</v>
      </c>
      <c r="H236" t="s">
        <v>29</v>
      </c>
      <c r="I236">
        <v>16056</v>
      </c>
      <c r="J236">
        <v>8</v>
      </c>
      <c r="K236">
        <v>4.5999999999999996</v>
      </c>
      <c r="L236">
        <v>1</v>
      </c>
      <c r="M236" t="s">
        <v>87</v>
      </c>
    </row>
    <row r="237" spans="1:13">
      <c r="A237" t="s">
        <v>499</v>
      </c>
      <c r="B237" t="s">
        <v>420</v>
      </c>
      <c r="C237" t="s">
        <v>15</v>
      </c>
      <c r="D237" t="s">
        <v>16</v>
      </c>
      <c r="E237" t="s">
        <v>17</v>
      </c>
      <c r="F237" t="s">
        <v>60</v>
      </c>
      <c r="G237" t="s">
        <v>19</v>
      </c>
      <c r="H237" t="s">
        <v>64</v>
      </c>
      <c r="I237">
        <v>3204</v>
      </c>
      <c r="J237">
        <v>3</v>
      </c>
      <c r="K237">
        <v>3.8</v>
      </c>
      <c r="L237">
        <v>8</v>
      </c>
      <c r="M237" t="s">
        <v>126</v>
      </c>
    </row>
    <row r="238" spans="1:13">
      <c r="A238" t="s">
        <v>500</v>
      </c>
      <c r="B238" t="s">
        <v>181</v>
      </c>
      <c r="C238" t="s">
        <v>40</v>
      </c>
      <c r="D238" t="s">
        <v>147</v>
      </c>
      <c r="E238" t="s">
        <v>52</v>
      </c>
      <c r="F238" t="s">
        <v>83</v>
      </c>
      <c r="G238" t="s">
        <v>54</v>
      </c>
      <c r="H238" t="s">
        <v>36</v>
      </c>
      <c r="I238">
        <v>6168</v>
      </c>
      <c r="J238">
        <v>6</v>
      </c>
      <c r="K238">
        <v>3.7</v>
      </c>
      <c r="L238">
        <v>5</v>
      </c>
      <c r="M238" t="s">
        <v>87</v>
      </c>
    </row>
    <row r="239" spans="1:13">
      <c r="A239" t="s">
        <v>501</v>
      </c>
      <c r="B239" t="s">
        <v>356</v>
      </c>
      <c r="C239" t="s">
        <v>179</v>
      </c>
      <c r="D239" t="s">
        <v>90</v>
      </c>
      <c r="E239" t="s">
        <v>42</v>
      </c>
      <c r="F239" t="s">
        <v>18</v>
      </c>
      <c r="G239" t="s">
        <v>54</v>
      </c>
      <c r="H239" t="s">
        <v>20</v>
      </c>
      <c r="I239">
        <v>1417</v>
      </c>
      <c r="J239">
        <v>1</v>
      </c>
      <c r="K239">
        <v>4.7</v>
      </c>
      <c r="L239">
        <v>8</v>
      </c>
      <c r="M239" t="s">
        <v>80</v>
      </c>
    </row>
    <row r="240" spans="1:13">
      <c r="A240" t="s">
        <v>502</v>
      </c>
      <c r="B240" t="s">
        <v>503</v>
      </c>
      <c r="C240" t="s">
        <v>75</v>
      </c>
      <c r="D240" t="s">
        <v>109</v>
      </c>
      <c r="E240" t="s">
        <v>52</v>
      </c>
      <c r="F240" t="s">
        <v>27</v>
      </c>
      <c r="G240" t="s">
        <v>28</v>
      </c>
      <c r="H240" t="s">
        <v>20</v>
      </c>
      <c r="I240">
        <v>12104</v>
      </c>
      <c r="J240">
        <v>8</v>
      </c>
      <c r="K240">
        <v>4.8</v>
      </c>
      <c r="L240">
        <v>5</v>
      </c>
      <c r="M240" t="s">
        <v>87</v>
      </c>
    </row>
    <row r="241" spans="1:13">
      <c r="A241" t="s">
        <v>504</v>
      </c>
      <c r="B241" t="s">
        <v>505</v>
      </c>
      <c r="C241" t="s">
        <v>58</v>
      </c>
      <c r="D241" t="s">
        <v>97</v>
      </c>
      <c r="E241" t="s">
        <v>35</v>
      </c>
      <c r="F241" t="s">
        <v>18</v>
      </c>
      <c r="G241" t="s">
        <v>19</v>
      </c>
      <c r="H241" t="s">
        <v>36</v>
      </c>
      <c r="I241">
        <v>111030</v>
      </c>
      <c r="J241">
        <v>3</v>
      </c>
      <c r="K241">
        <v>3.7</v>
      </c>
      <c r="L241">
        <v>5</v>
      </c>
      <c r="M241" t="s">
        <v>55</v>
      </c>
    </row>
    <row r="242" spans="1:13">
      <c r="A242" t="s">
        <v>506</v>
      </c>
      <c r="B242" t="s">
        <v>507</v>
      </c>
      <c r="C242" t="s">
        <v>78</v>
      </c>
      <c r="D242" t="s">
        <v>218</v>
      </c>
      <c r="E242" t="s">
        <v>17</v>
      </c>
      <c r="F242" t="s">
        <v>27</v>
      </c>
      <c r="G242" t="s">
        <v>28</v>
      </c>
      <c r="H242" t="s">
        <v>20</v>
      </c>
      <c r="I242">
        <v>10549</v>
      </c>
      <c r="J242">
        <v>7</v>
      </c>
      <c r="K242">
        <v>4.7</v>
      </c>
      <c r="L242">
        <v>7</v>
      </c>
      <c r="M242" t="s">
        <v>30</v>
      </c>
    </row>
    <row r="243" spans="1:13">
      <c r="A243" t="s">
        <v>508</v>
      </c>
      <c r="B243" t="s">
        <v>290</v>
      </c>
      <c r="C243" t="s">
        <v>68</v>
      </c>
      <c r="D243" t="s">
        <v>46</v>
      </c>
      <c r="E243" t="s">
        <v>42</v>
      </c>
      <c r="F243" t="s">
        <v>60</v>
      </c>
      <c r="G243" t="s">
        <v>19</v>
      </c>
      <c r="H243" t="s">
        <v>20</v>
      </c>
      <c r="I243">
        <v>37653</v>
      </c>
      <c r="J243">
        <v>7</v>
      </c>
      <c r="K243">
        <v>4.5999999999999996</v>
      </c>
      <c r="L243">
        <v>3</v>
      </c>
      <c r="M243" t="s">
        <v>87</v>
      </c>
    </row>
    <row r="244" spans="1:13">
      <c r="A244" t="s">
        <v>509</v>
      </c>
      <c r="B244" t="s">
        <v>510</v>
      </c>
      <c r="C244" t="s">
        <v>170</v>
      </c>
      <c r="D244" t="s">
        <v>63</v>
      </c>
      <c r="E244" t="s">
        <v>52</v>
      </c>
      <c r="F244" t="s">
        <v>27</v>
      </c>
      <c r="G244" t="s">
        <v>54</v>
      </c>
      <c r="H244" t="s">
        <v>36</v>
      </c>
      <c r="I244">
        <v>570</v>
      </c>
      <c r="J244">
        <v>1</v>
      </c>
      <c r="K244">
        <v>3.5</v>
      </c>
      <c r="L244">
        <v>5</v>
      </c>
      <c r="M244" t="s">
        <v>80</v>
      </c>
    </row>
    <row r="245" spans="1:13">
      <c r="A245" t="s">
        <v>511</v>
      </c>
      <c r="B245" t="s">
        <v>39</v>
      </c>
      <c r="C245" t="s">
        <v>68</v>
      </c>
      <c r="D245" t="s">
        <v>90</v>
      </c>
      <c r="E245" t="s">
        <v>42</v>
      </c>
      <c r="F245" t="s">
        <v>60</v>
      </c>
      <c r="G245" t="s">
        <v>19</v>
      </c>
      <c r="H245" t="s">
        <v>20</v>
      </c>
      <c r="I245">
        <v>4806</v>
      </c>
      <c r="J245">
        <v>6</v>
      </c>
      <c r="K245">
        <v>4.3</v>
      </c>
      <c r="L245">
        <v>7</v>
      </c>
      <c r="M245" t="s">
        <v>30</v>
      </c>
    </row>
    <row r="246" spans="1:13">
      <c r="A246" t="s">
        <v>512</v>
      </c>
      <c r="B246" t="s">
        <v>111</v>
      </c>
      <c r="C246" t="s">
        <v>58</v>
      </c>
      <c r="D246" t="s">
        <v>25</v>
      </c>
      <c r="E246" t="s">
        <v>26</v>
      </c>
      <c r="F246" t="s">
        <v>100</v>
      </c>
      <c r="G246" t="s">
        <v>28</v>
      </c>
      <c r="H246" t="s">
        <v>36</v>
      </c>
      <c r="I246">
        <v>10254</v>
      </c>
      <c r="J246">
        <v>2</v>
      </c>
      <c r="K246">
        <v>3.9</v>
      </c>
      <c r="L246">
        <v>8</v>
      </c>
      <c r="M246" t="s">
        <v>87</v>
      </c>
    </row>
    <row r="247" spans="1:13">
      <c r="A247" t="s">
        <v>513</v>
      </c>
      <c r="B247" t="s">
        <v>514</v>
      </c>
      <c r="C247" t="s">
        <v>125</v>
      </c>
      <c r="D247" t="s">
        <v>109</v>
      </c>
      <c r="E247" t="s">
        <v>52</v>
      </c>
      <c r="F247" t="s">
        <v>53</v>
      </c>
      <c r="G247" t="s">
        <v>104</v>
      </c>
      <c r="H247" t="s">
        <v>36</v>
      </c>
      <c r="I247">
        <v>5685</v>
      </c>
      <c r="J247">
        <v>3</v>
      </c>
      <c r="K247">
        <v>4.4000000000000004</v>
      </c>
      <c r="L247">
        <v>1</v>
      </c>
      <c r="M247" t="s">
        <v>55</v>
      </c>
    </row>
    <row r="248" spans="1:13">
      <c r="A248" t="s">
        <v>515</v>
      </c>
      <c r="B248" t="s">
        <v>516</v>
      </c>
      <c r="C248" t="s">
        <v>170</v>
      </c>
      <c r="D248" t="s">
        <v>130</v>
      </c>
      <c r="E248" t="s">
        <v>35</v>
      </c>
      <c r="F248" t="s">
        <v>53</v>
      </c>
      <c r="G248" t="s">
        <v>28</v>
      </c>
      <c r="H248" t="s">
        <v>36</v>
      </c>
      <c r="I248">
        <v>161890</v>
      </c>
      <c r="J248">
        <v>5</v>
      </c>
      <c r="K248">
        <v>5</v>
      </c>
      <c r="L248">
        <v>8</v>
      </c>
      <c r="M248" t="s">
        <v>126</v>
      </c>
    </row>
    <row r="249" spans="1:13">
      <c r="A249" t="s">
        <v>517</v>
      </c>
      <c r="B249" t="s">
        <v>57</v>
      </c>
      <c r="C249" t="s">
        <v>40</v>
      </c>
      <c r="D249" t="s">
        <v>51</v>
      </c>
      <c r="E249" t="s">
        <v>52</v>
      </c>
      <c r="F249" t="s">
        <v>27</v>
      </c>
      <c r="G249" t="s">
        <v>28</v>
      </c>
      <c r="H249" t="s">
        <v>20</v>
      </c>
      <c r="I249">
        <v>16555</v>
      </c>
      <c r="J249">
        <v>7</v>
      </c>
      <c r="K249">
        <v>4.5999999999999996</v>
      </c>
      <c r="L249">
        <v>2</v>
      </c>
      <c r="M249" t="s">
        <v>37</v>
      </c>
    </row>
    <row r="250" spans="1:13">
      <c r="A250" t="s">
        <v>518</v>
      </c>
      <c r="B250" t="s">
        <v>519</v>
      </c>
      <c r="C250" t="s">
        <v>179</v>
      </c>
      <c r="D250" t="s">
        <v>25</v>
      </c>
      <c r="E250" t="s">
        <v>26</v>
      </c>
      <c r="F250" t="s">
        <v>53</v>
      </c>
      <c r="G250" t="s">
        <v>104</v>
      </c>
      <c r="H250" t="s">
        <v>64</v>
      </c>
      <c r="I250">
        <v>33112</v>
      </c>
      <c r="J250">
        <v>4</v>
      </c>
      <c r="K250">
        <v>3.3</v>
      </c>
      <c r="L250">
        <v>6</v>
      </c>
      <c r="M250" t="s">
        <v>80</v>
      </c>
    </row>
    <row r="251" spans="1:13">
      <c r="A251" t="s">
        <v>520</v>
      </c>
      <c r="B251" t="s">
        <v>521</v>
      </c>
      <c r="C251" t="s">
        <v>125</v>
      </c>
      <c r="D251" t="s">
        <v>69</v>
      </c>
      <c r="E251" t="s">
        <v>26</v>
      </c>
      <c r="F251" t="s">
        <v>100</v>
      </c>
      <c r="G251" t="s">
        <v>104</v>
      </c>
      <c r="H251" t="s">
        <v>29</v>
      </c>
      <c r="I251">
        <v>17616</v>
      </c>
      <c r="J251">
        <v>2</v>
      </c>
      <c r="K251">
        <v>4.3</v>
      </c>
      <c r="L251">
        <v>3</v>
      </c>
      <c r="M251" t="s">
        <v>192</v>
      </c>
    </row>
    <row r="252" spans="1:13">
      <c r="A252" t="s">
        <v>522</v>
      </c>
      <c r="B252" t="s">
        <v>523</v>
      </c>
      <c r="C252" t="s">
        <v>122</v>
      </c>
      <c r="D252" t="s">
        <v>109</v>
      </c>
      <c r="E252" t="s">
        <v>52</v>
      </c>
      <c r="F252" t="s">
        <v>27</v>
      </c>
      <c r="G252" t="s">
        <v>19</v>
      </c>
      <c r="H252" t="s">
        <v>20</v>
      </c>
      <c r="I252">
        <v>724</v>
      </c>
      <c r="J252">
        <v>2</v>
      </c>
      <c r="K252">
        <v>4.7</v>
      </c>
      <c r="L252">
        <v>4</v>
      </c>
      <c r="M252" t="s">
        <v>119</v>
      </c>
    </row>
    <row r="253" spans="1:13">
      <c r="A253" t="s">
        <v>524</v>
      </c>
      <c r="B253" t="s">
        <v>525</v>
      </c>
      <c r="C253" t="s">
        <v>122</v>
      </c>
      <c r="D253" t="s">
        <v>97</v>
      </c>
      <c r="E253" t="s">
        <v>35</v>
      </c>
      <c r="F253" t="s">
        <v>53</v>
      </c>
      <c r="G253" t="s">
        <v>104</v>
      </c>
      <c r="H253" t="s">
        <v>29</v>
      </c>
      <c r="I253">
        <v>64640</v>
      </c>
      <c r="J253">
        <v>1</v>
      </c>
      <c r="K253">
        <v>3.5</v>
      </c>
      <c r="L253">
        <v>1</v>
      </c>
      <c r="M253" t="s">
        <v>65</v>
      </c>
    </row>
    <row r="254" spans="1:13">
      <c r="A254" t="s">
        <v>526</v>
      </c>
      <c r="B254" t="s">
        <v>527</v>
      </c>
      <c r="C254" t="s">
        <v>58</v>
      </c>
      <c r="D254" t="s">
        <v>90</v>
      </c>
      <c r="E254" t="s">
        <v>42</v>
      </c>
      <c r="F254" t="s">
        <v>18</v>
      </c>
      <c r="G254" t="s">
        <v>54</v>
      </c>
      <c r="H254" t="s">
        <v>29</v>
      </c>
      <c r="I254">
        <v>25400</v>
      </c>
      <c r="J254">
        <v>8</v>
      </c>
      <c r="K254">
        <v>4.0999999999999996</v>
      </c>
      <c r="L254">
        <v>7</v>
      </c>
      <c r="M254" t="s">
        <v>126</v>
      </c>
    </row>
    <row r="255" spans="1:13">
      <c r="A255" t="s">
        <v>528</v>
      </c>
      <c r="B255" t="s">
        <v>187</v>
      </c>
      <c r="C255" t="s">
        <v>103</v>
      </c>
      <c r="D255" t="s">
        <v>59</v>
      </c>
      <c r="E255" t="s">
        <v>26</v>
      </c>
      <c r="F255" t="s">
        <v>27</v>
      </c>
      <c r="G255" t="s">
        <v>104</v>
      </c>
      <c r="H255" t="s">
        <v>20</v>
      </c>
      <c r="I255">
        <v>22590</v>
      </c>
      <c r="J255">
        <v>2</v>
      </c>
      <c r="K255">
        <v>3.8</v>
      </c>
      <c r="L255">
        <v>5</v>
      </c>
      <c r="M255" t="s">
        <v>126</v>
      </c>
    </row>
    <row r="256" spans="1:13">
      <c r="A256" t="s">
        <v>529</v>
      </c>
      <c r="B256" t="s">
        <v>530</v>
      </c>
      <c r="C256" t="s">
        <v>103</v>
      </c>
      <c r="D256" t="s">
        <v>63</v>
      </c>
      <c r="E256" t="s">
        <v>52</v>
      </c>
      <c r="F256" t="s">
        <v>60</v>
      </c>
      <c r="G256" t="s">
        <v>28</v>
      </c>
      <c r="H256" t="s">
        <v>64</v>
      </c>
      <c r="I256">
        <v>10913</v>
      </c>
      <c r="J256">
        <v>7</v>
      </c>
      <c r="K256">
        <v>4.0999999999999996</v>
      </c>
      <c r="L256">
        <v>5</v>
      </c>
      <c r="M256" t="s">
        <v>144</v>
      </c>
    </row>
    <row r="257" spans="1:13">
      <c r="A257" t="s">
        <v>531</v>
      </c>
      <c r="B257" t="s">
        <v>420</v>
      </c>
      <c r="C257" t="s">
        <v>78</v>
      </c>
      <c r="D257" t="s">
        <v>86</v>
      </c>
      <c r="E257" t="s">
        <v>17</v>
      </c>
      <c r="F257" t="s">
        <v>83</v>
      </c>
      <c r="G257" t="s">
        <v>104</v>
      </c>
      <c r="H257" t="s">
        <v>36</v>
      </c>
      <c r="I257">
        <v>6820</v>
      </c>
      <c r="J257">
        <v>4</v>
      </c>
      <c r="K257">
        <v>3.7</v>
      </c>
      <c r="L257">
        <v>3</v>
      </c>
      <c r="M257" t="s">
        <v>126</v>
      </c>
    </row>
    <row r="258" spans="1:13">
      <c r="A258" t="s">
        <v>532</v>
      </c>
      <c r="B258" t="s">
        <v>533</v>
      </c>
      <c r="C258" t="s">
        <v>133</v>
      </c>
      <c r="D258" t="s">
        <v>159</v>
      </c>
      <c r="E258" t="s">
        <v>42</v>
      </c>
      <c r="F258" t="s">
        <v>53</v>
      </c>
      <c r="G258" t="s">
        <v>104</v>
      </c>
      <c r="H258" t="s">
        <v>29</v>
      </c>
      <c r="I258">
        <v>7560</v>
      </c>
      <c r="J258">
        <v>3</v>
      </c>
      <c r="K258">
        <v>3.6</v>
      </c>
      <c r="L258">
        <v>5</v>
      </c>
      <c r="M258" t="s">
        <v>21</v>
      </c>
    </row>
    <row r="259" spans="1:13">
      <c r="A259" t="s">
        <v>534</v>
      </c>
      <c r="B259" t="s">
        <v>172</v>
      </c>
      <c r="C259" t="s">
        <v>112</v>
      </c>
      <c r="D259" t="s">
        <v>59</v>
      </c>
      <c r="E259" t="s">
        <v>26</v>
      </c>
      <c r="F259" t="s">
        <v>18</v>
      </c>
      <c r="G259" t="s">
        <v>28</v>
      </c>
      <c r="H259" t="s">
        <v>29</v>
      </c>
      <c r="I259">
        <v>21936</v>
      </c>
      <c r="J259">
        <v>2</v>
      </c>
      <c r="K259">
        <v>3.3</v>
      </c>
      <c r="L259">
        <v>4</v>
      </c>
      <c r="M259" t="s">
        <v>47</v>
      </c>
    </row>
    <row r="260" spans="1:13">
      <c r="A260" t="s">
        <v>535</v>
      </c>
      <c r="B260" t="s">
        <v>536</v>
      </c>
      <c r="C260" t="s">
        <v>75</v>
      </c>
      <c r="D260" t="s">
        <v>41</v>
      </c>
      <c r="E260" t="s">
        <v>42</v>
      </c>
      <c r="F260" t="s">
        <v>60</v>
      </c>
      <c r="G260" t="s">
        <v>104</v>
      </c>
      <c r="H260" t="s">
        <v>20</v>
      </c>
      <c r="I260">
        <v>16092</v>
      </c>
      <c r="J260">
        <v>3</v>
      </c>
      <c r="K260">
        <v>3.5</v>
      </c>
      <c r="L260">
        <v>3</v>
      </c>
      <c r="M260" t="s">
        <v>80</v>
      </c>
    </row>
    <row r="261" spans="1:13">
      <c r="A261" t="s">
        <v>537</v>
      </c>
      <c r="B261" t="s">
        <v>538</v>
      </c>
      <c r="C261" t="s">
        <v>72</v>
      </c>
      <c r="D261" t="s">
        <v>113</v>
      </c>
      <c r="E261" t="s">
        <v>35</v>
      </c>
      <c r="F261" t="s">
        <v>100</v>
      </c>
      <c r="G261" t="s">
        <v>28</v>
      </c>
      <c r="H261" t="s">
        <v>64</v>
      </c>
      <c r="I261">
        <v>196792</v>
      </c>
      <c r="J261">
        <v>8</v>
      </c>
      <c r="K261">
        <v>4.0999999999999996</v>
      </c>
      <c r="L261">
        <v>2</v>
      </c>
      <c r="M261" t="s">
        <v>144</v>
      </c>
    </row>
    <row r="262" spans="1:13">
      <c r="A262" t="s">
        <v>539</v>
      </c>
      <c r="B262" t="s">
        <v>446</v>
      </c>
      <c r="C262" t="s">
        <v>112</v>
      </c>
      <c r="D262" t="s">
        <v>90</v>
      </c>
      <c r="E262" t="s">
        <v>42</v>
      </c>
      <c r="F262" t="s">
        <v>83</v>
      </c>
      <c r="G262" t="s">
        <v>54</v>
      </c>
      <c r="H262" t="s">
        <v>36</v>
      </c>
      <c r="I262">
        <v>16331</v>
      </c>
      <c r="J262">
        <v>7</v>
      </c>
      <c r="K262">
        <v>4.9000000000000004</v>
      </c>
      <c r="L262">
        <v>6</v>
      </c>
      <c r="M262" t="s">
        <v>65</v>
      </c>
    </row>
    <row r="263" spans="1:13">
      <c r="A263" t="s">
        <v>540</v>
      </c>
      <c r="B263" t="s">
        <v>199</v>
      </c>
      <c r="C263" t="s">
        <v>75</v>
      </c>
      <c r="D263" t="s">
        <v>63</v>
      </c>
      <c r="E263" t="s">
        <v>52</v>
      </c>
      <c r="F263" t="s">
        <v>18</v>
      </c>
      <c r="G263" t="s">
        <v>104</v>
      </c>
      <c r="H263" t="s">
        <v>29</v>
      </c>
      <c r="I263">
        <v>4668</v>
      </c>
      <c r="J263">
        <v>6</v>
      </c>
      <c r="K263">
        <v>4.3</v>
      </c>
      <c r="L263">
        <v>3</v>
      </c>
      <c r="M263" t="s">
        <v>119</v>
      </c>
    </row>
    <row r="264" spans="1:13">
      <c r="A264" t="s">
        <v>541</v>
      </c>
      <c r="B264" t="s">
        <v>391</v>
      </c>
      <c r="C264" t="s">
        <v>15</v>
      </c>
      <c r="D264" t="s">
        <v>46</v>
      </c>
      <c r="E264" t="s">
        <v>42</v>
      </c>
      <c r="F264" t="s">
        <v>83</v>
      </c>
      <c r="G264" t="s">
        <v>19</v>
      </c>
      <c r="H264" t="s">
        <v>20</v>
      </c>
      <c r="I264">
        <v>6729</v>
      </c>
      <c r="J264">
        <v>3</v>
      </c>
      <c r="K264">
        <v>4.9000000000000004</v>
      </c>
      <c r="L264">
        <v>7</v>
      </c>
      <c r="M264" t="s">
        <v>47</v>
      </c>
    </row>
    <row r="265" spans="1:13">
      <c r="A265" t="s">
        <v>542</v>
      </c>
      <c r="B265" t="s">
        <v>543</v>
      </c>
      <c r="C265" t="s">
        <v>45</v>
      </c>
      <c r="D265" t="s">
        <v>147</v>
      </c>
      <c r="E265" t="s">
        <v>52</v>
      </c>
      <c r="F265" t="s">
        <v>18</v>
      </c>
      <c r="G265" t="s">
        <v>54</v>
      </c>
      <c r="H265" t="s">
        <v>36</v>
      </c>
      <c r="I265">
        <v>5253</v>
      </c>
      <c r="J265">
        <v>3</v>
      </c>
      <c r="K265">
        <v>3.7</v>
      </c>
      <c r="L265">
        <v>1</v>
      </c>
      <c r="M265" t="s">
        <v>30</v>
      </c>
    </row>
    <row r="266" spans="1:13">
      <c r="A266" t="s">
        <v>544</v>
      </c>
      <c r="B266" t="s">
        <v>545</v>
      </c>
      <c r="C266" t="s">
        <v>15</v>
      </c>
      <c r="D266" t="s">
        <v>16</v>
      </c>
      <c r="E266" t="s">
        <v>17</v>
      </c>
      <c r="F266" t="s">
        <v>53</v>
      </c>
      <c r="G266" t="s">
        <v>28</v>
      </c>
      <c r="H266" t="s">
        <v>36</v>
      </c>
      <c r="I266">
        <v>8624</v>
      </c>
      <c r="J266">
        <v>8</v>
      </c>
      <c r="K266">
        <v>4.5</v>
      </c>
      <c r="L266">
        <v>4</v>
      </c>
      <c r="M266" t="s">
        <v>47</v>
      </c>
    </row>
    <row r="267" spans="1:13">
      <c r="A267" t="s">
        <v>546</v>
      </c>
      <c r="B267" t="s">
        <v>547</v>
      </c>
      <c r="C267" t="s">
        <v>125</v>
      </c>
      <c r="D267" t="s">
        <v>59</v>
      </c>
      <c r="E267" t="s">
        <v>26</v>
      </c>
      <c r="F267" t="s">
        <v>83</v>
      </c>
      <c r="G267" t="s">
        <v>19</v>
      </c>
      <c r="H267" t="s">
        <v>29</v>
      </c>
      <c r="I267">
        <v>8184</v>
      </c>
      <c r="J267">
        <v>3</v>
      </c>
      <c r="K267">
        <v>3.7</v>
      </c>
      <c r="L267">
        <v>2</v>
      </c>
      <c r="M267" t="s">
        <v>192</v>
      </c>
    </row>
    <row r="268" spans="1:13">
      <c r="A268" t="s">
        <v>548</v>
      </c>
      <c r="B268" t="s">
        <v>549</v>
      </c>
      <c r="C268" t="s">
        <v>170</v>
      </c>
      <c r="D268" t="s">
        <v>79</v>
      </c>
      <c r="E268" t="s">
        <v>26</v>
      </c>
      <c r="F268" t="s">
        <v>83</v>
      </c>
      <c r="G268" t="s">
        <v>54</v>
      </c>
      <c r="H268" t="s">
        <v>36</v>
      </c>
      <c r="I268">
        <v>62524</v>
      </c>
      <c r="J268">
        <v>7</v>
      </c>
      <c r="K268">
        <v>4.8</v>
      </c>
      <c r="L268">
        <v>8</v>
      </c>
      <c r="M268" t="s">
        <v>55</v>
      </c>
    </row>
    <row r="269" spans="1:13">
      <c r="A269" t="s">
        <v>550</v>
      </c>
      <c r="B269" t="s">
        <v>252</v>
      </c>
      <c r="C269" t="s">
        <v>146</v>
      </c>
      <c r="D269" t="s">
        <v>16</v>
      </c>
      <c r="E269" t="s">
        <v>17</v>
      </c>
      <c r="F269" t="s">
        <v>53</v>
      </c>
      <c r="G269" t="s">
        <v>104</v>
      </c>
      <c r="H269" t="s">
        <v>64</v>
      </c>
      <c r="I269">
        <v>4840</v>
      </c>
      <c r="J269">
        <v>8</v>
      </c>
      <c r="K269">
        <v>4.8</v>
      </c>
      <c r="L269">
        <v>4</v>
      </c>
      <c r="M269" t="s">
        <v>30</v>
      </c>
    </row>
    <row r="270" spans="1:13">
      <c r="A270" t="s">
        <v>551</v>
      </c>
      <c r="B270" t="s">
        <v>350</v>
      </c>
      <c r="C270" t="s">
        <v>15</v>
      </c>
      <c r="D270" t="s">
        <v>16</v>
      </c>
      <c r="E270" t="s">
        <v>17</v>
      </c>
      <c r="F270" t="s">
        <v>83</v>
      </c>
      <c r="G270" t="s">
        <v>19</v>
      </c>
      <c r="H270" t="s">
        <v>29</v>
      </c>
      <c r="I270">
        <v>895</v>
      </c>
      <c r="J270">
        <v>1</v>
      </c>
      <c r="K270">
        <v>3.4</v>
      </c>
      <c r="L270">
        <v>1</v>
      </c>
      <c r="M270" t="s">
        <v>80</v>
      </c>
    </row>
    <row r="271" spans="1:13">
      <c r="A271" t="s">
        <v>552</v>
      </c>
      <c r="B271" t="s">
        <v>547</v>
      </c>
      <c r="C271" t="s">
        <v>103</v>
      </c>
      <c r="D271" t="s">
        <v>97</v>
      </c>
      <c r="E271" t="s">
        <v>35</v>
      </c>
      <c r="F271" t="s">
        <v>60</v>
      </c>
      <c r="G271" t="s">
        <v>28</v>
      </c>
      <c r="H271" t="s">
        <v>64</v>
      </c>
      <c r="I271">
        <v>237105</v>
      </c>
      <c r="J271">
        <v>5</v>
      </c>
      <c r="K271">
        <v>3.9</v>
      </c>
      <c r="L271">
        <v>8</v>
      </c>
      <c r="M271" t="s">
        <v>192</v>
      </c>
    </row>
    <row r="272" spans="1:13">
      <c r="A272" t="s">
        <v>553</v>
      </c>
      <c r="B272" t="s">
        <v>106</v>
      </c>
      <c r="C272" t="s">
        <v>24</v>
      </c>
      <c r="D272" t="s">
        <v>147</v>
      </c>
      <c r="E272" t="s">
        <v>52</v>
      </c>
      <c r="F272" t="s">
        <v>100</v>
      </c>
      <c r="G272" t="s">
        <v>28</v>
      </c>
      <c r="H272" t="s">
        <v>29</v>
      </c>
      <c r="I272">
        <v>674</v>
      </c>
      <c r="J272">
        <v>1</v>
      </c>
      <c r="K272">
        <v>4.5999999999999996</v>
      </c>
      <c r="L272">
        <v>8</v>
      </c>
      <c r="M272" t="s">
        <v>80</v>
      </c>
    </row>
    <row r="273" spans="1:13">
      <c r="A273" t="s">
        <v>554</v>
      </c>
      <c r="B273" t="s">
        <v>555</v>
      </c>
      <c r="C273" t="s">
        <v>170</v>
      </c>
      <c r="D273" t="s">
        <v>25</v>
      </c>
      <c r="E273" t="s">
        <v>26</v>
      </c>
      <c r="F273" t="s">
        <v>18</v>
      </c>
      <c r="G273" t="s">
        <v>19</v>
      </c>
      <c r="H273" t="s">
        <v>29</v>
      </c>
      <c r="I273">
        <v>24060</v>
      </c>
      <c r="J273">
        <v>3</v>
      </c>
      <c r="K273">
        <v>3.3</v>
      </c>
      <c r="L273">
        <v>5</v>
      </c>
      <c r="M273" t="s">
        <v>119</v>
      </c>
    </row>
    <row r="274" spans="1:13">
      <c r="A274" t="s">
        <v>556</v>
      </c>
      <c r="B274" t="s">
        <v>557</v>
      </c>
      <c r="C274" t="s">
        <v>15</v>
      </c>
      <c r="D274" t="s">
        <v>25</v>
      </c>
      <c r="E274" t="s">
        <v>26</v>
      </c>
      <c r="F274" t="s">
        <v>27</v>
      </c>
      <c r="G274" t="s">
        <v>19</v>
      </c>
      <c r="H274" t="s">
        <v>64</v>
      </c>
      <c r="I274">
        <v>39788</v>
      </c>
      <c r="J274">
        <v>4</v>
      </c>
      <c r="K274">
        <v>4.8</v>
      </c>
      <c r="L274">
        <v>1</v>
      </c>
      <c r="M274" t="s">
        <v>47</v>
      </c>
    </row>
    <row r="275" spans="1:13">
      <c r="A275" t="s">
        <v>558</v>
      </c>
      <c r="B275" t="s">
        <v>559</v>
      </c>
      <c r="C275" t="s">
        <v>50</v>
      </c>
      <c r="D275" t="s">
        <v>159</v>
      </c>
      <c r="E275" t="s">
        <v>42</v>
      </c>
      <c r="F275" t="s">
        <v>83</v>
      </c>
      <c r="G275" t="s">
        <v>54</v>
      </c>
      <c r="H275" t="s">
        <v>64</v>
      </c>
      <c r="I275">
        <v>23824</v>
      </c>
      <c r="J275">
        <v>8</v>
      </c>
      <c r="K275">
        <v>4.0999999999999996</v>
      </c>
      <c r="L275">
        <v>7</v>
      </c>
      <c r="M275" t="s">
        <v>87</v>
      </c>
    </row>
    <row r="276" spans="1:13">
      <c r="A276" t="s">
        <v>560</v>
      </c>
      <c r="B276" t="s">
        <v>561</v>
      </c>
      <c r="C276" t="s">
        <v>133</v>
      </c>
      <c r="D276" t="s">
        <v>90</v>
      </c>
      <c r="E276" t="s">
        <v>42</v>
      </c>
      <c r="F276" t="s">
        <v>18</v>
      </c>
      <c r="G276" t="s">
        <v>54</v>
      </c>
      <c r="H276" t="s">
        <v>36</v>
      </c>
      <c r="I276">
        <v>38192</v>
      </c>
      <c r="J276">
        <v>8</v>
      </c>
      <c r="K276">
        <v>3.2</v>
      </c>
      <c r="L276">
        <v>7</v>
      </c>
      <c r="M276" t="s">
        <v>87</v>
      </c>
    </row>
    <row r="277" spans="1:13">
      <c r="A277" t="s">
        <v>562</v>
      </c>
      <c r="B277" t="s">
        <v>62</v>
      </c>
      <c r="C277" t="s">
        <v>170</v>
      </c>
      <c r="D277" t="s">
        <v>59</v>
      </c>
      <c r="E277" t="s">
        <v>26</v>
      </c>
      <c r="F277" t="s">
        <v>100</v>
      </c>
      <c r="G277" t="s">
        <v>28</v>
      </c>
      <c r="H277" t="s">
        <v>29</v>
      </c>
      <c r="I277">
        <v>6756</v>
      </c>
      <c r="J277">
        <v>4</v>
      </c>
      <c r="K277">
        <v>4.7</v>
      </c>
      <c r="L277">
        <v>8</v>
      </c>
      <c r="M277" t="s">
        <v>65</v>
      </c>
    </row>
    <row r="278" spans="1:13">
      <c r="A278" t="s">
        <v>563</v>
      </c>
      <c r="B278" t="s">
        <v>564</v>
      </c>
      <c r="C278" t="s">
        <v>68</v>
      </c>
      <c r="D278" t="s">
        <v>41</v>
      </c>
      <c r="E278" t="s">
        <v>42</v>
      </c>
      <c r="F278" t="s">
        <v>18</v>
      </c>
      <c r="G278" t="s">
        <v>19</v>
      </c>
      <c r="H278" t="s">
        <v>64</v>
      </c>
      <c r="I278">
        <v>23560</v>
      </c>
      <c r="J278">
        <v>4</v>
      </c>
      <c r="K278">
        <v>4.2</v>
      </c>
      <c r="L278">
        <v>6</v>
      </c>
      <c r="M278" t="s">
        <v>87</v>
      </c>
    </row>
    <row r="279" spans="1:13">
      <c r="A279" t="s">
        <v>565</v>
      </c>
      <c r="B279" t="s">
        <v>111</v>
      </c>
      <c r="C279" t="s">
        <v>170</v>
      </c>
      <c r="D279" t="s">
        <v>51</v>
      </c>
      <c r="E279" t="s">
        <v>52</v>
      </c>
      <c r="F279" t="s">
        <v>18</v>
      </c>
      <c r="G279" t="s">
        <v>28</v>
      </c>
      <c r="H279" t="s">
        <v>36</v>
      </c>
      <c r="I279">
        <v>5260</v>
      </c>
      <c r="J279">
        <v>5</v>
      </c>
      <c r="K279">
        <v>3.6</v>
      </c>
      <c r="L279">
        <v>4</v>
      </c>
      <c r="M279" t="s">
        <v>87</v>
      </c>
    </row>
    <row r="280" spans="1:13">
      <c r="A280" t="s">
        <v>566</v>
      </c>
      <c r="B280" t="s">
        <v>396</v>
      </c>
      <c r="C280" t="s">
        <v>78</v>
      </c>
      <c r="D280" t="s">
        <v>25</v>
      </c>
      <c r="E280" t="s">
        <v>26</v>
      </c>
      <c r="F280" t="s">
        <v>60</v>
      </c>
      <c r="G280" t="s">
        <v>28</v>
      </c>
      <c r="H280" t="s">
        <v>20</v>
      </c>
      <c r="I280">
        <v>6968</v>
      </c>
      <c r="J280">
        <v>8</v>
      </c>
      <c r="K280">
        <v>4.2</v>
      </c>
      <c r="L280">
        <v>1</v>
      </c>
      <c r="M280" t="s">
        <v>47</v>
      </c>
    </row>
    <row r="281" spans="1:13">
      <c r="A281" t="s">
        <v>567</v>
      </c>
      <c r="B281" t="s">
        <v>77</v>
      </c>
      <c r="C281" t="s">
        <v>103</v>
      </c>
      <c r="D281" t="s">
        <v>79</v>
      </c>
      <c r="E281" t="s">
        <v>26</v>
      </c>
      <c r="F281" t="s">
        <v>60</v>
      </c>
      <c r="G281" t="s">
        <v>104</v>
      </c>
      <c r="H281" t="s">
        <v>29</v>
      </c>
      <c r="I281">
        <v>15318</v>
      </c>
      <c r="J281">
        <v>2</v>
      </c>
      <c r="K281">
        <v>5</v>
      </c>
      <c r="L281">
        <v>4</v>
      </c>
      <c r="M281" t="s">
        <v>80</v>
      </c>
    </row>
    <row r="282" spans="1:13">
      <c r="A282" t="s">
        <v>568</v>
      </c>
      <c r="B282" t="s">
        <v>385</v>
      </c>
      <c r="C282" t="s">
        <v>179</v>
      </c>
      <c r="D282" t="s">
        <v>159</v>
      </c>
      <c r="E282" t="s">
        <v>42</v>
      </c>
      <c r="F282" t="s">
        <v>83</v>
      </c>
      <c r="G282" t="s">
        <v>104</v>
      </c>
      <c r="H282" t="s">
        <v>29</v>
      </c>
      <c r="I282">
        <v>36309</v>
      </c>
      <c r="J282">
        <v>7</v>
      </c>
      <c r="K282">
        <v>4.5</v>
      </c>
      <c r="L282">
        <v>4</v>
      </c>
      <c r="M282" t="s">
        <v>80</v>
      </c>
    </row>
    <row r="283" spans="1:13">
      <c r="A283" t="s">
        <v>569</v>
      </c>
      <c r="B283" t="s">
        <v>570</v>
      </c>
      <c r="C283" t="s">
        <v>78</v>
      </c>
      <c r="D283" t="s">
        <v>63</v>
      </c>
      <c r="E283" t="s">
        <v>52</v>
      </c>
      <c r="F283" t="s">
        <v>53</v>
      </c>
      <c r="G283" t="s">
        <v>28</v>
      </c>
      <c r="H283" t="s">
        <v>36</v>
      </c>
      <c r="I283">
        <v>4332</v>
      </c>
      <c r="J283">
        <v>6</v>
      </c>
      <c r="K283">
        <v>4.2</v>
      </c>
      <c r="L283">
        <v>7</v>
      </c>
      <c r="M283" t="s">
        <v>65</v>
      </c>
    </row>
    <row r="284" spans="1:13">
      <c r="A284" t="s">
        <v>571</v>
      </c>
      <c r="B284" t="s">
        <v>143</v>
      </c>
      <c r="C284" t="s">
        <v>40</v>
      </c>
      <c r="D284" t="s">
        <v>25</v>
      </c>
      <c r="E284" t="s">
        <v>26</v>
      </c>
      <c r="F284" t="s">
        <v>27</v>
      </c>
      <c r="G284" t="s">
        <v>104</v>
      </c>
      <c r="H284" t="s">
        <v>20</v>
      </c>
      <c r="I284">
        <v>36218</v>
      </c>
      <c r="J284">
        <v>7</v>
      </c>
      <c r="K284">
        <v>4.5999999999999996</v>
      </c>
      <c r="L284">
        <v>3</v>
      </c>
      <c r="M284" t="s">
        <v>144</v>
      </c>
    </row>
    <row r="285" spans="1:13">
      <c r="A285" t="s">
        <v>572</v>
      </c>
      <c r="B285" t="s">
        <v>573</v>
      </c>
      <c r="C285" t="s">
        <v>78</v>
      </c>
      <c r="D285" t="s">
        <v>218</v>
      </c>
      <c r="E285" t="s">
        <v>17</v>
      </c>
      <c r="F285" t="s">
        <v>60</v>
      </c>
      <c r="G285" t="s">
        <v>19</v>
      </c>
      <c r="H285" t="s">
        <v>29</v>
      </c>
      <c r="I285">
        <v>1034</v>
      </c>
      <c r="J285">
        <v>1</v>
      </c>
      <c r="K285">
        <v>4.5</v>
      </c>
      <c r="L285">
        <v>4</v>
      </c>
      <c r="M285" t="s">
        <v>37</v>
      </c>
    </row>
    <row r="286" spans="1:13">
      <c r="A286" t="s">
        <v>574</v>
      </c>
      <c r="B286" t="s">
        <v>454</v>
      </c>
      <c r="C286" t="s">
        <v>45</v>
      </c>
      <c r="D286" t="s">
        <v>116</v>
      </c>
      <c r="E286" t="s">
        <v>17</v>
      </c>
      <c r="F286" t="s">
        <v>60</v>
      </c>
      <c r="G286" t="s">
        <v>19</v>
      </c>
      <c r="H286" t="s">
        <v>29</v>
      </c>
      <c r="I286">
        <v>11921</v>
      </c>
      <c r="J286">
        <v>7</v>
      </c>
      <c r="K286">
        <v>4.5</v>
      </c>
      <c r="L286">
        <v>4</v>
      </c>
      <c r="M286" t="s">
        <v>55</v>
      </c>
    </row>
    <row r="287" spans="1:13">
      <c r="A287" t="s">
        <v>575</v>
      </c>
      <c r="B287" t="s">
        <v>576</v>
      </c>
      <c r="C287" t="s">
        <v>50</v>
      </c>
      <c r="D287" t="s">
        <v>79</v>
      </c>
      <c r="E287" t="s">
        <v>26</v>
      </c>
      <c r="F287" t="s">
        <v>18</v>
      </c>
      <c r="G287" t="s">
        <v>28</v>
      </c>
      <c r="H287" t="s">
        <v>29</v>
      </c>
      <c r="I287">
        <v>18235</v>
      </c>
      <c r="J287">
        <v>5</v>
      </c>
      <c r="K287">
        <v>4.5</v>
      </c>
      <c r="L287">
        <v>2</v>
      </c>
      <c r="M287" t="s">
        <v>37</v>
      </c>
    </row>
    <row r="288" spans="1:13">
      <c r="A288" t="s">
        <v>577</v>
      </c>
      <c r="B288" t="s">
        <v>261</v>
      </c>
      <c r="C288" t="s">
        <v>33</v>
      </c>
      <c r="D288" t="s">
        <v>59</v>
      </c>
      <c r="E288" t="s">
        <v>26</v>
      </c>
      <c r="F288" t="s">
        <v>83</v>
      </c>
      <c r="G288" t="s">
        <v>104</v>
      </c>
      <c r="H288" t="s">
        <v>36</v>
      </c>
      <c r="I288">
        <v>25320</v>
      </c>
      <c r="J288">
        <v>3</v>
      </c>
      <c r="K288">
        <v>4.5</v>
      </c>
      <c r="L288">
        <v>3</v>
      </c>
      <c r="M288" t="s">
        <v>80</v>
      </c>
    </row>
    <row r="289" spans="1:13">
      <c r="A289" t="s">
        <v>578</v>
      </c>
      <c r="B289" t="s">
        <v>579</v>
      </c>
      <c r="C289" t="s">
        <v>133</v>
      </c>
      <c r="D289" t="s">
        <v>59</v>
      </c>
      <c r="E289" t="s">
        <v>26</v>
      </c>
      <c r="F289" t="s">
        <v>100</v>
      </c>
      <c r="G289" t="s">
        <v>28</v>
      </c>
      <c r="H289" t="s">
        <v>36</v>
      </c>
      <c r="I289">
        <v>22872</v>
      </c>
      <c r="J289">
        <v>6</v>
      </c>
      <c r="K289">
        <v>4.0999999999999996</v>
      </c>
      <c r="L289">
        <v>3</v>
      </c>
      <c r="M289" t="s">
        <v>65</v>
      </c>
    </row>
    <row r="290" spans="1:13">
      <c r="A290" t="s">
        <v>580</v>
      </c>
      <c r="B290" t="s">
        <v>581</v>
      </c>
      <c r="C290" t="s">
        <v>68</v>
      </c>
      <c r="D290" t="s">
        <v>34</v>
      </c>
      <c r="E290" t="s">
        <v>35</v>
      </c>
      <c r="F290" t="s">
        <v>27</v>
      </c>
      <c r="G290" t="s">
        <v>104</v>
      </c>
      <c r="H290" t="s">
        <v>64</v>
      </c>
      <c r="I290">
        <v>245874</v>
      </c>
      <c r="J290">
        <v>6</v>
      </c>
      <c r="K290">
        <v>4.2</v>
      </c>
      <c r="L290">
        <v>1</v>
      </c>
      <c r="M290" t="s">
        <v>37</v>
      </c>
    </row>
    <row r="291" spans="1:13">
      <c r="A291" t="s">
        <v>582</v>
      </c>
      <c r="B291" t="s">
        <v>583</v>
      </c>
      <c r="C291" t="s">
        <v>112</v>
      </c>
      <c r="D291" t="s">
        <v>63</v>
      </c>
      <c r="E291" t="s">
        <v>52</v>
      </c>
      <c r="F291" t="s">
        <v>53</v>
      </c>
      <c r="G291" t="s">
        <v>28</v>
      </c>
      <c r="H291" t="s">
        <v>64</v>
      </c>
      <c r="I291">
        <v>4284</v>
      </c>
      <c r="J291">
        <v>6</v>
      </c>
      <c r="K291">
        <v>4.5</v>
      </c>
      <c r="L291">
        <v>1</v>
      </c>
      <c r="M291" t="s">
        <v>144</v>
      </c>
    </row>
    <row r="292" spans="1:13">
      <c r="A292" t="s">
        <v>584</v>
      </c>
      <c r="B292" t="s">
        <v>585</v>
      </c>
      <c r="C292" t="s">
        <v>75</v>
      </c>
      <c r="D292" t="s">
        <v>218</v>
      </c>
      <c r="E292" t="s">
        <v>17</v>
      </c>
      <c r="F292" t="s">
        <v>83</v>
      </c>
      <c r="G292" t="s">
        <v>19</v>
      </c>
      <c r="H292" t="s">
        <v>64</v>
      </c>
      <c r="I292">
        <v>3824</v>
      </c>
      <c r="J292">
        <v>4</v>
      </c>
      <c r="K292">
        <v>4.9000000000000004</v>
      </c>
      <c r="L292">
        <v>1</v>
      </c>
      <c r="M292" t="s">
        <v>192</v>
      </c>
    </row>
    <row r="293" spans="1:13">
      <c r="A293" t="s">
        <v>586</v>
      </c>
      <c r="B293" t="s">
        <v>587</v>
      </c>
      <c r="C293" t="s">
        <v>75</v>
      </c>
      <c r="D293" t="s">
        <v>86</v>
      </c>
      <c r="E293" t="s">
        <v>17</v>
      </c>
      <c r="F293" t="s">
        <v>18</v>
      </c>
      <c r="G293" t="s">
        <v>54</v>
      </c>
      <c r="H293" t="s">
        <v>20</v>
      </c>
      <c r="I293">
        <v>11368</v>
      </c>
      <c r="J293">
        <v>7</v>
      </c>
      <c r="K293">
        <v>4.5</v>
      </c>
      <c r="L293">
        <v>1</v>
      </c>
      <c r="M293" t="s">
        <v>30</v>
      </c>
    </row>
    <row r="294" spans="1:13">
      <c r="A294" t="s">
        <v>588</v>
      </c>
      <c r="B294" t="s">
        <v>589</v>
      </c>
      <c r="C294" t="s">
        <v>15</v>
      </c>
      <c r="D294" t="s">
        <v>165</v>
      </c>
      <c r="E294" t="s">
        <v>35</v>
      </c>
      <c r="F294" t="s">
        <v>60</v>
      </c>
      <c r="G294" t="s">
        <v>54</v>
      </c>
      <c r="H294" t="s">
        <v>36</v>
      </c>
      <c r="I294">
        <v>213440</v>
      </c>
      <c r="J294">
        <v>4</v>
      </c>
      <c r="K294">
        <v>3.9</v>
      </c>
      <c r="L294">
        <v>6</v>
      </c>
      <c r="M294" t="s">
        <v>87</v>
      </c>
    </row>
    <row r="295" spans="1:13">
      <c r="A295" t="s">
        <v>590</v>
      </c>
      <c r="B295" t="s">
        <v>99</v>
      </c>
      <c r="C295" t="s">
        <v>45</v>
      </c>
      <c r="D295" t="s">
        <v>25</v>
      </c>
      <c r="E295" t="s">
        <v>26</v>
      </c>
      <c r="F295" t="s">
        <v>18</v>
      </c>
      <c r="G295" t="s">
        <v>104</v>
      </c>
      <c r="H295" t="s">
        <v>64</v>
      </c>
      <c r="I295">
        <v>2538</v>
      </c>
      <c r="J295">
        <v>1</v>
      </c>
      <c r="K295">
        <v>3.7</v>
      </c>
      <c r="L295">
        <v>5</v>
      </c>
      <c r="M295" t="s">
        <v>30</v>
      </c>
    </row>
    <row r="296" spans="1:13">
      <c r="A296" t="s">
        <v>591</v>
      </c>
      <c r="B296" t="s">
        <v>167</v>
      </c>
      <c r="C296" t="s">
        <v>72</v>
      </c>
      <c r="D296" t="s">
        <v>90</v>
      </c>
      <c r="E296" t="s">
        <v>42</v>
      </c>
      <c r="F296" t="s">
        <v>53</v>
      </c>
      <c r="G296" t="s">
        <v>104</v>
      </c>
      <c r="H296" t="s">
        <v>36</v>
      </c>
      <c r="I296">
        <v>2501</v>
      </c>
      <c r="J296">
        <v>1</v>
      </c>
      <c r="K296">
        <v>4.5</v>
      </c>
      <c r="L296">
        <v>5</v>
      </c>
      <c r="M296" t="s">
        <v>119</v>
      </c>
    </row>
    <row r="297" spans="1:13">
      <c r="A297" t="s">
        <v>592</v>
      </c>
      <c r="B297" t="s">
        <v>593</v>
      </c>
      <c r="C297" t="s">
        <v>179</v>
      </c>
      <c r="D297" t="s">
        <v>79</v>
      </c>
      <c r="E297" t="s">
        <v>26</v>
      </c>
      <c r="F297" t="s">
        <v>60</v>
      </c>
      <c r="G297" t="s">
        <v>19</v>
      </c>
      <c r="H297" t="s">
        <v>20</v>
      </c>
      <c r="I297">
        <v>2194</v>
      </c>
      <c r="J297">
        <v>1</v>
      </c>
      <c r="K297">
        <v>3.7</v>
      </c>
      <c r="L297">
        <v>6</v>
      </c>
      <c r="M297" t="s">
        <v>80</v>
      </c>
    </row>
    <row r="298" spans="1:13">
      <c r="A298" t="s">
        <v>594</v>
      </c>
      <c r="B298" t="s">
        <v>595</v>
      </c>
      <c r="C298" t="s">
        <v>78</v>
      </c>
      <c r="D298" t="s">
        <v>63</v>
      </c>
      <c r="E298" t="s">
        <v>52</v>
      </c>
      <c r="F298" t="s">
        <v>18</v>
      </c>
      <c r="G298" t="s">
        <v>104</v>
      </c>
      <c r="H298" t="s">
        <v>36</v>
      </c>
      <c r="I298">
        <v>3595</v>
      </c>
      <c r="J298">
        <v>5</v>
      </c>
      <c r="K298">
        <v>4.7</v>
      </c>
      <c r="L298">
        <v>8</v>
      </c>
      <c r="M298" t="s">
        <v>192</v>
      </c>
    </row>
    <row r="299" spans="1:13">
      <c r="A299" t="s">
        <v>596</v>
      </c>
      <c r="B299" t="s">
        <v>597</v>
      </c>
      <c r="C299" t="s">
        <v>179</v>
      </c>
      <c r="D299" t="s">
        <v>113</v>
      </c>
      <c r="E299" t="s">
        <v>35</v>
      </c>
      <c r="F299" t="s">
        <v>53</v>
      </c>
      <c r="G299" t="s">
        <v>28</v>
      </c>
      <c r="H299" t="s">
        <v>64</v>
      </c>
      <c r="I299">
        <v>154440</v>
      </c>
      <c r="J299">
        <v>8</v>
      </c>
      <c r="K299">
        <v>3.7</v>
      </c>
      <c r="L299">
        <v>2</v>
      </c>
      <c r="M299" t="s">
        <v>37</v>
      </c>
    </row>
    <row r="300" spans="1:13">
      <c r="A300" t="s">
        <v>598</v>
      </c>
      <c r="B300" t="s">
        <v>599</v>
      </c>
      <c r="C300" t="s">
        <v>24</v>
      </c>
      <c r="D300" t="s">
        <v>165</v>
      </c>
      <c r="E300" t="s">
        <v>35</v>
      </c>
      <c r="F300" t="s">
        <v>18</v>
      </c>
      <c r="G300" t="s">
        <v>104</v>
      </c>
      <c r="H300" t="s">
        <v>20</v>
      </c>
      <c r="I300">
        <v>383140</v>
      </c>
      <c r="J300">
        <v>5</v>
      </c>
      <c r="K300">
        <v>4.7</v>
      </c>
      <c r="L300">
        <v>7</v>
      </c>
      <c r="M300" t="s">
        <v>119</v>
      </c>
    </row>
    <row r="301" spans="1:13">
      <c r="A301" t="s">
        <v>600</v>
      </c>
      <c r="B301" t="s">
        <v>115</v>
      </c>
      <c r="C301" t="s">
        <v>125</v>
      </c>
      <c r="D301" t="s">
        <v>51</v>
      </c>
      <c r="E301" t="s">
        <v>52</v>
      </c>
      <c r="F301" t="s">
        <v>100</v>
      </c>
      <c r="G301" t="s">
        <v>54</v>
      </c>
      <c r="H301" t="s">
        <v>20</v>
      </c>
      <c r="I301">
        <v>9648</v>
      </c>
      <c r="J301">
        <v>6</v>
      </c>
      <c r="K301">
        <v>3.8</v>
      </c>
      <c r="L301">
        <v>5</v>
      </c>
      <c r="M301" t="s">
        <v>21</v>
      </c>
    </row>
    <row r="302" spans="1:13">
      <c r="A302" t="s">
        <v>601</v>
      </c>
      <c r="B302" t="s">
        <v>237</v>
      </c>
      <c r="C302" t="s">
        <v>112</v>
      </c>
      <c r="D302" t="s">
        <v>25</v>
      </c>
      <c r="E302" t="s">
        <v>26</v>
      </c>
      <c r="F302" t="s">
        <v>27</v>
      </c>
      <c r="G302" t="s">
        <v>54</v>
      </c>
      <c r="H302" t="s">
        <v>64</v>
      </c>
      <c r="I302">
        <v>6156</v>
      </c>
      <c r="J302">
        <v>3</v>
      </c>
      <c r="K302">
        <v>4.5</v>
      </c>
      <c r="L302">
        <v>1</v>
      </c>
      <c r="M302" t="s">
        <v>21</v>
      </c>
    </row>
    <row r="303" spans="1:13">
      <c r="A303" t="s">
        <v>602</v>
      </c>
      <c r="B303" t="s">
        <v>603</v>
      </c>
      <c r="C303" t="s">
        <v>72</v>
      </c>
      <c r="D303" t="s">
        <v>79</v>
      </c>
      <c r="E303" t="s">
        <v>26</v>
      </c>
      <c r="F303" t="s">
        <v>60</v>
      </c>
      <c r="G303" t="s">
        <v>54</v>
      </c>
      <c r="H303" t="s">
        <v>64</v>
      </c>
      <c r="I303">
        <v>33965</v>
      </c>
      <c r="J303">
        <v>5</v>
      </c>
      <c r="K303">
        <v>3.9</v>
      </c>
      <c r="L303">
        <v>5</v>
      </c>
      <c r="M303" t="s">
        <v>144</v>
      </c>
    </row>
    <row r="304" spans="1:13">
      <c r="A304" t="s">
        <v>604</v>
      </c>
      <c r="B304" t="s">
        <v>605</v>
      </c>
      <c r="C304" t="s">
        <v>125</v>
      </c>
      <c r="D304" t="s">
        <v>165</v>
      </c>
      <c r="E304" t="s">
        <v>35</v>
      </c>
      <c r="F304" t="s">
        <v>53</v>
      </c>
      <c r="G304" t="s">
        <v>54</v>
      </c>
      <c r="H304" t="s">
        <v>20</v>
      </c>
      <c r="I304">
        <v>279552</v>
      </c>
      <c r="J304">
        <v>4</v>
      </c>
      <c r="K304">
        <v>3.5</v>
      </c>
      <c r="L304">
        <v>3</v>
      </c>
      <c r="M304" t="s">
        <v>144</v>
      </c>
    </row>
    <row r="305" spans="1:13">
      <c r="A305" t="s">
        <v>606</v>
      </c>
      <c r="B305" t="s">
        <v>242</v>
      </c>
      <c r="C305" t="s">
        <v>50</v>
      </c>
      <c r="D305" t="s">
        <v>159</v>
      </c>
      <c r="E305" t="s">
        <v>42</v>
      </c>
      <c r="F305" t="s">
        <v>60</v>
      </c>
      <c r="G305" t="s">
        <v>28</v>
      </c>
      <c r="H305" t="s">
        <v>36</v>
      </c>
      <c r="I305">
        <v>11965</v>
      </c>
      <c r="J305">
        <v>5</v>
      </c>
      <c r="K305">
        <v>4.8</v>
      </c>
      <c r="L305">
        <v>6</v>
      </c>
      <c r="M305" t="s">
        <v>87</v>
      </c>
    </row>
    <row r="306" spans="1:13">
      <c r="A306" t="s">
        <v>607</v>
      </c>
      <c r="B306" t="s">
        <v>183</v>
      </c>
      <c r="C306" t="s">
        <v>58</v>
      </c>
      <c r="D306" t="s">
        <v>218</v>
      </c>
      <c r="E306" t="s">
        <v>17</v>
      </c>
      <c r="F306" t="s">
        <v>27</v>
      </c>
      <c r="G306" t="s">
        <v>54</v>
      </c>
      <c r="H306" t="s">
        <v>29</v>
      </c>
      <c r="I306">
        <v>4195</v>
      </c>
      <c r="J306">
        <v>5</v>
      </c>
      <c r="K306">
        <v>4.4000000000000004</v>
      </c>
      <c r="L306">
        <v>6</v>
      </c>
      <c r="M306" t="s">
        <v>87</v>
      </c>
    </row>
    <row r="307" spans="1:13">
      <c r="A307" t="s">
        <v>608</v>
      </c>
      <c r="B307" t="s">
        <v>174</v>
      </c>
      <c r="C307" t="s">
        <v>146</v>
      </c>
      <c r="D307" t="s">
        <v>159</v>
      </c>
      <c r="E307" t="s">
        <v>42</v>
      </c>
      <c r="F307" t="s">
        <v>83</v>
      </c>
      <c r="G307" t="s">
        <v>19</v>
      </c>
      <c r="H307" t="s">
        <v>36</v>
      </c>
      <c r="I307">
        <v>32543</v>
      </c>
      <c r="J307">
        <v>7</v>
      </c>
      <c r="K307">
        <v>3.2</v>
      </c>
      <c r="L307">
        <v>3</v>
      </c>
      <c r="M307" t="s">
        <v>65</v>
      </c>
    </row>
    <row r="308" spans="1:13">
      <c r="A308" t="s">
        <v>609</v>
      </c>
      <c r="B308" t="s">
        <v>57</v>
      </c>
      <c r="C308" t="s">
        <v>170</v>
      </c>
      <c r="D308" t="s">
        <v>59</v>
      </c>
      <c r="E308" t="s">
        <v>26</v>
      </c>
      <c r="F308" t="s">
        <v>27</v>
      </c>
      <c r="G308" t="s">
        <v>54</v>
      </c>
      <c r="H308" t="s">
        <v>64</v>
      </c>
      <c r="I308">
        <v>8214</v>
      </c>
      <c r="J308">
        <v>3</v>
      </c>
      <c r="K308">
        <v>4.4000000000000004</v>
      </c>
      <c r="L308">
        <v>7</v>
      </c>
      <c r="M308" t="s">
        <v>37</v>
      </c>
    </row>
    <row r="309" spans="1:13">
      <c r="A309" t="s">
        <v>610</v>
      </c>
      <c r="B309" t="s">
        <v>611</v>
      </c>
      <c r="C309" t="s">
        <v>72</v>
      </c>
      <c r="D309" t="s">
        <v>90</v>
      </c>
      <c r="E309" t="s">
        <v>42</v>
      </c>
      <c r="F309" t="s">
        <v>27</v>
      </c>
      <c r="G309" t="s">
        <v>54</v>
      </c>
      <c r="H309" t="s">
        <v>20</v>
      </c>
      <c r="I309">
        <v>8088</v>
      </c>
      <c r="J309">
        <v>3</v>
      </c>
      <c r="K309">
        <v>3.4</v>
      </c>
      <c r="L309">
        <v>3</v>
      </c>
      <c r="M309" t="s">
        <v>37</v>
      </c>
    </row>
    <row r="310" spans="1:13">
      <c r="A310" t="s">
        <v>612</v>
      </c>
      <c r="B310" t="s">
        <v>533</v>
      </c>
      <c r="C310" t="s">
        <v>75</v>
      </c>
      <c r="D310" t="s">
        <v>86</v>
      </c>
      <c r="E310" t="s">
        <v>17</v>
      </c>
      <c r="F310" t="s">
        <v>83</v>
      </c>
      <c r="G310" t="s">
        <v>28</v>
      </c>
      <c r="H310" t="s">
        <v>64</v>
      </c>
      <c r="I310">
        <v>4074</v>
      </c>
      <c r="J310">
        <v>3</v>
      </c>
      <c r="K310">
        <v>3.2</v>
      </c>
      <c r="L310">
        <v>5</v>
      </c>
      <c r="M310" t="s">
        <v>21</v>
      </c>
    </row>
    <row r="311" spans="1:13">
      <c r="A311" t="s">
        <v>613</v>
      </c>
      <c r="B311" t="s">
        <v>226</v>
      </c>
      <c r="C311" t="s">
        <v>24</v>
      </c>
      <c r="D311" t="s">
        <v>159</v>
      </c>
      <c r="E311" t="s">
        <v>42</v>
      </c>
      <c r="F311" t="s">
        <v>27</v>
      </c>
      <c r="G311" t="s">
        <v>104</v>
      </c>
      <c r="H311" t="s">
        <v>64</v>
      </c>
      <c r="I311">
        <v>15323</v>
      </c>
      <c r="J311">
        <v>7</v>
      </c>
      <c r="K311">
        <v>4.4000000000000004</v>
      </c>
      <c r="L311">
        <v>5</v>
      </c>
      <c r="M311" t="s">
        <v>37</v>
      </c>
    </row>
    <row r="312" spans="1:13">
      <c r="A312" t="s">
        <v>614</v>
      </c>
      <c r="B312" t="s">
        <v>615</v>
      </c>
      <c r="C312" t="s">
        <v>72</v>
      </c>
      <c r="D312" t="s">
        <v>25</v>
      </c>
      <c r="E312" t="s">
        <v>26</v>
      </c>
      <c r="F312" t="s">
        <v>100</v>
      </c>
      <c r="G312" t="s">
        <v>54</v>
      </c>
      <c r="H312" t="s">
        <v>20</v>
      </c>
      <c r="I312">
        <v>28805</v>
      </c>
      <c r="J312">
        <v>7</v>
      </c>
      <c r="K312">
        <v>4.0999999999999996</v>
      </c>
      <c r="L312">
        <v>7</v>
      </c>
      <c r="M312" t="s">
        <v>37</v>
      </c>
    </row>
    <row r="313" spans="1:13">
      <c r="A313" t="s">
        <v>616</v>
      </c>
      <c r="B313" t="s">
        <v>387</v>
      </c>
      <c r="C313" t="s">
        <v>112</v>
      </c>
      <c r="D313" t="s">
        <v>41</v>
      </c>
      <c r="E313" t="s">
        <v>42</v>
      </c>
      <c r="F313" t="s">
        <v>60</v>
      </c>
      <c r="G313" t="s">
        <v>104</v>
      </c>
      <c r="H313" t="s">
        <v>36</v>
      </c>
      <c r="I313">
        <v>11286</v>
      </c>
      <c r="J313">
        <v>2</v>
      </c>
      <c r="K313">
        <v>4.7</v>
      </c>
      <c r="L313">
        <v>7</v>
      </c>
      <c r="M313" t="s">
        <v>65</v>
      </c>
    </row>
    <row r="314" spans="1:13">
      <c r="A314" t="s">
        <v>617</v>
      </c>
      <c r="B314" t="s">
        <v>615</v>
      </c>
      <c r="C314" t="s">
        <v>125</v>
      </c>
      <c r="D314" t="s">
        <v>69</v>
      </c>
      <c r="E314" t="s">
        <v>26</v>
      </c>
      <c r="F314" t="s">
        <v>83</v>
      </c>
      <c r="G314" t="s">
        <v>54</v>
      </c>
      <c r="H314" t="s">
        <v>29</v>
      </c>
      <c r="I314">
        <v>19200</v>
      </c>
      <c r="J314">
        <v>8</v>
      </c>
      <c r="K314">
        <v>4</v>
      </c>
      <c r="L314">
        <v>5</v>
      </c>
      <c r="M314" t="s">
        <v>37</v>
      </c>
    </row>
    <row r="315" spans="1:13">
      <c r="A315" t="s">
        <v>618</v>
      </c>
      <c r="B315" t="s">
        <v>619</v>
      </c>
      <c r="C315" t="s">
        <v>179</v>
      </c>
      <c r="D315" t="s">
        <v>69</v>
      </c>
      <c r="E315" t="s">
        <v>26</v>
      </c>
      <c r="F315" t="s">
        <v>27</v>
      </c>
      <c r="G315" t="s">
        <v>104</v>
      </c>
      <c r="H315" t="s">
        <v>64</v>
      </c>
      <c r="I315">
        <v>10920</v>
      </c>
      <c r="J315">
        <v>4</v>
      </c>
      <c r="K315">
        <v>4.0999999999999996</v>
      </c>
      <c r="L315">
        <v>7</v>
      </c>
      <c r="M315" t="s">
        <v>21</v>
      </c>
    </row>
    <row r="316" spans="1:13">
      <c r="A316" t="s">
        <v>620</v>
      </c>
      <c r="B316" t="s">
        <v>458</v>
      </c>
      <c r="C316" t="s">
        <v>50</v>
      </c>
      <c r="D316" t="s">
        <v>113</v>
      </c>
      <c r="E316" t="s">
        <v>35</v>
      </c>
      <c r="F316" t="s">
        <v>83</v>
      </c>
      <c r="G316" t="s">
        <v>28</v>
      </c>
      <c r="H316" t="s">
        <v>64</v>
      </c>
      <c r="I316">
        <v>257243</v>
      </c>
      <c r="J316">
        <v>7</v>
      </c>
      <c r="K316">
        <v>4.2</v>
      </c>
      <c r="L316">
        <v>5</v>
      </c>
      <c r="M316" t="s">
        <v>80</v>
      </c>
    </row>
    <row r="317" spans="1:13">
      <c r="A317" t="s">
        <v>621</v>
      </c>
      <c r="B317" t="s">
        <v>622</v>
      </c>
      <c r="C317" t="s">
        <v>122</v>
      </c>
      <c r="D317" t="s">
        <v>109</v>
      </c>
      <c r="E317" t="s">
        <v>52</v>
      </c>
      <c r="F317" t="s">
        <v>60</v>
      </c>
      <c r="G317" t="s">
        <v>19</v>
      </c>
      <c r="H317" t="s">
        <v>36</v>
      </c>
      <c r="I317">
        <v>12048</v>
      </c>
      <c r="J317">
        <v>8</v>
      </c>
      <c r="K317">
        <v>4.5</v>
      </c>
      <c r="L317">
        <v>2</v>
      </c>
      <c r="M317" t="s">
        <v>30</v>
      </c>
    </row>
    <row r="318" spans="1:13">
      <c r="A318" t="s">
        <v>623</v>
      </c>
      <c r="B318" t="s">
        <v>624</v>
      </c>
      <c r="C318" t="s">
        <v>75</v>
      </c>
      <c r="D318" t="s">
        <v>51</v>
      </c>
      <c r="E318" t="s">
        <v>52</v>
      </c>
      <c r="F318" t="s">
        <v>18</v>
      </c>
      <c r="G318" t="s">
        <v>104</v>
      </c>
      <c r="H318" t="s">
        <v>20</v>
      </c>
      <c r="I318">
        <v>1843</v>
      </c>
      <c r="J318">
        <v>1</v>
      </c>
      <c r="K318">
        <v>4</v>
      </c>
      <c r="L318">
        <v>7</v>
      </c>
      <c r="M318" t="s">
        <v>126</v>
      </c>
    </row>
    <row r="319" spans="1:13">
      <c r="A319" t="s">
        <v>625</v>
      </c>
      <c r="B319" t="s">
        <v>626</v>
      </c>
      <c r="C319" t="s">
        <v>24</v>
      </c>
      <c r="D319" t="s">
        <v>113</v>
      </c>
      <c r="E319" t="s">
        <v>35</v>
      </c>
      <c r="F319" t="s">
        <v>27</v>
      </c>
      <c r="G319" t="s">
        <v>28</v>
      </c>
      <c r="H319" t="s">
        <v>64</v>
      </c>
      <c r="I319">
        <v>55013</v>
      </c>
      <c r="J319">
        <v>1</v>
      </c>
      <c r="K319">
        <v>4.0999999999999996</v>
      </c>
      <c r="L319">
        <v>1</v>
      </c>
      <c r="M319" t="s">
        <v>192</v>
      </c>
    </row>
    <row r="320" spans="1:13">
      <c r="A320" t="s">
        <v>627</v>
      </c>
      <c r="B320" t="s">
        <v>275</v>
      </c>
      <c r="C320" t="s">
        <v>33</v>
      </c>
      <c r="D320" t="s">
        <v>86</v>
      </c>
      <c r="E320" t="s">
        <v>17</v>
      </c>
      <c r="F320" t="s">
        <v>53</v>
      </c>
      <c r="G320" t="s">
        <v>19</v>
      </c>
      <c r="H320" t="s">
        <v>36</v>
      </c>
      <c r="I320">
        <v>3490</v>
      </c>
      <c r="J320">
        <v>5</v>
      </c>
      <c r="K320">
        <v>4.5</v>
      </c>
      <c r="L320">
        <v>3</v>
      </c>
      <c r="M320" t="s">
        <v>119</v>
      </c>
    </row>
    <row r="321" spans="1:13">
      <c r="A321" t="s">
        <v>628</v>
      </c>
      <c r="B321" t="s">
        <v>115</v>
      </c>
      <c r="C321" t="s">
        <v>75</v>
      </c>
      <c r="D321" t="s">
        <v>147</v>
      </c>
      <c r="E321" t="s">
        <v>52</v>
      </c>
      <c r="F321" t="s">
        <v>100</v>
      </c>
      <c r="G321" t="s">
        <v>104</v>
      </c>
      <c r="H321" t="s">
        <v>29</v>
      </c>
      <c r="I321">
        <v>13076</v>
      </c>
      <c r="J321">
        <v>7</v>
      </c>
      <c r="K321">
        <v>4.0999999999999996</v>
      </c>
      <c r="L321">
        <v>2</v>
      </c>
      <c r="M321" t="s">
        <v>21</v>
      </c>
    </row>
    <row r="322" spans="1:13">
      <c r="A322" t="s">
        <v>629</v>
      </c>
      <c r="B322" t="s">
        <v>630</v>
      </c>
      <c r="C322" t="s">
        <v>78</v>
      </c>
      <c r="D322" t="s">
        <v>130</v>
      </c>
      <c r="E322" t="s">
        <v>35</v>
      </c>
      <c r="F322" t="s">
        <v>18</v>
      </c>
      <c r="G322" t="s">
        <v>104</v>
      </c>
      <c r="H322" t="s">
        <v>29</v>
      </c>
      <c r="I322">
        <v>311416</v>
      </c>
      <c r="J322">
        <v>4</v>
      </c>
      <c r="K322">
        <v>3.5</v>
      </c>
      <c r="L322">
        <v>2</v>
      </c>
      <c r="M322" t="s">
        <v>37</v>
      </c>
    </row>
    <row r="323" spans="1:13">
      <c r="A323" t="s">
        <v>631</v>
      </c>
      <c r="B323" t="s">
        <v>587</v>
      </c>
      <c r="C323" t="s">
        <v>146</v>
      </c>
      <c r="D323" t="s">
        <v>218</v>
      </c>
      <c r="E323" t="s">
        <v>17</v>
      </c>
      <c r="F323" t="s">
        <v>27</v>
      </c>
      <c r="G323" t="s">
        <v>28</v>
      </c>
      <c r="H323" t="s">
        <v>36</v>
      </c>
      <c r="I323">
        <v>8605</v>
      </c>
      <c r="J323">
        <v>5</v>
      </c>
      <c r="K323">
        <v>4.5999999999999996</v>
      </c>
      <c r="L323">
        <v>6</v>
      </c>
      <c r="M323" t="s">
        <v>30</v>
      </c>
    </row>
    <row r="324" spans="1:13">
      <c r="A324" t="s">
        <v>632</v>
      </c>
      <c r="B324" t="s">
        <v>533</v>
      </c>
      <c r="C324" t="s">
        <v>103</v>
      </c>
      <c r="D324" t="s">
        <v>41</v>
      </c>
      <c r="E324" t="s">
        <v>42</v>
      </c>
      <c r="F324" t="s">
        <v>83</v>
      </c>
      <c r="G324" t="s">
        <v>104</v>
      </c>
      <c r="H324" t="s">
        <v>36</v>
      </c>
      <c r="I324">
        <v>6572</v>
      </c>
      <c r="J324">
        <v>2</v>
      </c>
      <c r="K324">
        <v>4.9000000000000004</v>
      </c>
      <c r="L324">
        <v>1</v>
      </c>
      <c r="M324" t="s">
        <v>21</v>
      </c>
    </row>
    <row r="325" spans="1:13">
      <c r="A325" t="s">
        <v>633</v>
      </c>
      <c r="B325" t="s">
        <v>559</v>
      </c>
      <c r="C325" t="s">
        <v>125</v>
      </c>
      <c r="D325" t="s">
        <v>46</v>
      </c>
      <c r="E325" t="s">
        <v>42</v>
      </c>
      <c r="F325" t="s">
        <v>27</v>
      </c>
      <c r="G325" t="s">
        <v>19</v>
      </c>
      <c r="H325" t="s">
        <v>20</v>
      </c>
      <c r="I325">
        <v>7470</v>
      </c>
      <c r="J325">
        <v>3</v>
      </c>
      <c r="K325">
        <v>3.7</v>
      </c>
      <c r="L325">
        <v>4</v>
      </c>
      <c r="M325" t="s">
        <v>87</v>
      </c>
    </row>
    <row r="326" spans="1:13">
      <c r="A326" t="s">
        <v>634</v>
      </c>
      <c r="B326" t="s">
        <v>635</v>
      </c>
      <c r="C326" t="s">
        <v>75</v>
      </c>
      <c r="D326" t="s">
        <v>109</v>
      </c>
      <c r="E326" t="s">
        <v>52</v>
      </c>
      <c r="F326" t="s">
        <v>27</v>
      </c>
      <c r="G326" t="s">
        <v>28</v>
      </c>
      <c r="H326" t="s">
        <v>36</v>
      </c>
      <c r="I326">
        <v>5088</v>
      </c>
      <c r="J326">
        <v>4</v>
      </c>
      <c r="K326">
        <v>4.5999999999999996</v>
      </c>
      <c r="L326">
        <v>2</v>
      </c>
      <c r="M326" t="s">
        <v>37</v>
      </c>
    </row>
    <row r="327" spans="1:13">
      <c r="A327" t="s">
        <v>636</v>
      </c>
      <c r="B327" t="s">
        <v>637</v>
      </c>
      <c r="C327" t="s">
        <v>50</v>
      </c>
      <c r="D327" t="s">
        <v>25</v>
      </c>
      <c r="E327" t="s">
        <v>26</v>
      </c>
      <c r="F327" t="s">
        <v>83</v>
      </c>
      <c r="G327" t="s">
        <v>19</v>
      </c>
      <c r="H327" t="s">
        <v>36</v>
      </c>
      <c r="I327">
        <v>31806</v>
      </c>
      <c r="J327">
        <v>6</v>
      </c>
      <c r="K327">
        <v>4.0999999999999996</v>
      </c>
      <c r="L327">
        <v>5</v>
      </c>
      <c r="M327" t="s">
        <v>65</v>
      </c>
    </row>
    <row r="328" spans="1:13">
      <c r="A328" t="s">
        <v>638</v>
      </c>
      <c r="B328" t="s">
        <v>446</v>
      </c>
      <c r="C328" t="s">
        <v>170</v>
      </c>
      <c r="D328" t="s">
        <v>69</v>
      </c>
      <c r="E328" t="s">
        <v>26</v>
      </c>
      <c r="F328" t="s">
        <v>27</v>
      </c>
      <c r="G328" t="s">
        <v>54</v>
      </c>
      <c r="H328" t="s">
        <v>36</v>
      </c>
      <c r="I328">
        <v>8290</v>
      </c>
      <c r="J328">
        <v>1</v>
      </c>
      <c r="K328">
        <v>5</v>
      </c>
      <c r="L328">
        <v>8</v>
      </c>
      <c r="M328" t="s">
        <v>65</v>
      </c>
    </row>
    <row r="329" spans="1:13">
      <c r="A329" t="s">
        <v>639</v>
      </c>
      <c r="B329" t="s">
        <v>640</v>
      </c>
      <c r="C329" t="s">
        <v>103</v>
      </c>
      <c r="D329" t="s">
        <v>51</v>
      </c>
      <c r="E329" t="s">
        <v>52</v>
      </c>
      <c r="F329" t="s">
        <v>60</v>
      </c>
      <c r="G329" t="s">
        <v>104</v>
      </c>
      <c r="H329" t="s">
        <v>29</v>
      </c>
      <c r="I329">
        <v>3462</v>
      </c>
      <c r="J329">
        <v>2</v>
      </c>
      <c r="K329">
        <v>4.2</v>
      </c>
      <c r="L329">
        <v>4</v>
      </c>
      <c r="M329" t="s">
        <v>30</v>
      </c>
    </row>
    <row r="330" spans="1:13">
      <c r="A330" t="s">
        <v>641</v>
      </c>
      <c r="B330" t="s">
        <v>434</v>
      </c>
      <c r="C330" t="s">
        <v>58</v>
      </c>
      <c r="D330" t="s">
        <v>51</v>
      </c>
      <c r="E330" t="s">
        <v>52</v>
      </c>
      <c r="F330" t="s">
        <v>27</v>
      </c>
      <c r="G330" t="s">
        <v>19</v>
      </c>
      <c r="H330" t="s">
        <v>36</v>
      </c>
      <c r="I330">
        <v>7096</v>
      </c>
      <c r="J330">
        <v>4</v>
      </c>
      <c r="K330">
        <v>4</v>
      </c>
      <c r="L330">
        <v>3</v>
      </c>
      <c r="M330" t="s">
        <v>47</v>
      </c>
    </row>
    <row r="331" spans="1:13">
      <c r="A331" t="s">
        <v>642</v>
      </c>
      <c r="B331" t="s">
        <v>429</v>
      </c>
      <c r="C331" t="s">
        <v>133</v>
      </c>
      <c r="D331" t="s">
        <v>34</v>
      </c>
      <c r="E331" t="s">
        <v>35</v>
      </c>
      <c r="F331" t="s">
        <v>60</v>
      </c>
      <c r="G331" t="s">
        <v>19</v>
      </c>
      <c r="H331" t="s">
        <v>29</v>
      </c>
      <c r="I331">
        <v>151312</v>
      </c>
      <c r="J331">
        <v>7</v>
      </c>
      <c r="K331">
        <v>4.7</v>
      </c>
      <c r="L331">
        <v>3</v>
      </c>
      <c r="M331" t="s">
        <v>30</v>
      </c>
    </row>
    <row r="332" spans="1:13">
      <c r="A332" t="s">
        <v>643</v>
      </c>
      <c r="B332" t="s">
        <v>195</v>
      </c>
      <c r="C332" t="s">
        <v>68</v>
      </c>
      <c r="D332" t="s">
        <v>46</v>
      </c>
      <c r="E332" t="s">
        <v>42</v>
      </c>
      <c r="F332" t="s">
        <v>60</v>
      </c>
      <c r="G332" t="s">
        <v>104</v>
      </c>
      <c r="H332" t="s">
        <v>29</v>
      </c>
      <c r="I332">
        <v>1191</v>
      </c>
      <c r="J332">
        <v>1</v>
      </c>
      <c r="K332">
        <v>4.7</v>
      </c>
      <c r="L332">
        <v>8</v>
      </c>
      <c r="M332" t="s">
        <v>21</v>
      </c>
    </row>
    <row r="333" spans="1:13">
      <c r="A333" t="s">
        <v>644</v>
      </c>
      <c r="B333" t="s">
        <v>622</v>
      </c>
      <c r="C333" t="s">
        <v>58</v>
      </c>
      <c r="D333" t="s">
        <v>130</v>
      </c>
      <c r="E333" t="s">
        <v>35</v>
      </c>
      <c r="F333" t="s">
        <v>100</v>
      </c>
      <c r="G333" t="s">
        <v>19</v>
      </c>
      <c r="H333" t="s">
        <v>29</v>
      </c>
      <c r="I333">
        <v>282350</v>
      </c>
      <c r="J333">
        <v>5</v>
      </c>
      <c r="K333">
        <v>4.8</v>
      </c>
      <c r="L333">
        <v>4</v>
      </c>
      <c r="M333" t="s">
        <v>30</v>
      </c>
    </row>
    <row r="334" spans="1:13">
      <c r="A334" t="s">
        <v>645</v>
      </c>
      <c r="B334" t="s">
        <v>646</v>
      </c>
      <c r="C334" t="s">
        <v>24</v>
      </c>
      <c r="D334" t="s">
        <v>130</v>
      </c>
      <c r="E334" t="s">
        <v>35</v>
      </c>
      <c r="F334" t="s">
        <v>27</v>
      </c>
      <c r="G334" t="s">
        <v>104</v>
      </c>
      <c r="H334" t="s">
        <v>64</v>
      </c>
      <c r="I334">
        <v>419576</v>
      </c>
      <c r="J334">
        <v>8</v>
      </c>
      <c r="K334">
        <v>4</v>
      </c>
      <c r="L334">
        <v>3</v>
      </c>
      <c r="M334" t="s">
        <v>119</v>
      </c>
    </row>
    <row r="335" spans="1:13">
      <c r="A335" t="s">
        <v>647</v>
      </c>
      <c r="B335" t="s">
        <v>589</v>
      </c>
      <c r="C335" t="s">
        <v>45</v>
      </c>
      <c r="D335" t="s">
        <v>69</v>
      </c>
      <c r="E335" t="s">
        <v>26</v>
      </c>
      <c r="F335" t="s">
        <v>27</v>
      </c>
      <c r="G335" t="s">
        <v>28</v>
      </c>
      <c r="H335" t="s">
        <v>29</v>
      </c>
      <c r="I335">
        <v>11982</v>
      </c>
      <c r="J335">
        <v>2</v>
      </c>
      <c r="K335">
        <v>4.4000000000000004</v>
      </c>
      <c r="L335">
        <v>5</v>
      </c>
      <c r="M335" t="s">
        <v>87</v>
      </c>
    </row>
    <row r="336" spans="1:13">
      <c r="A336" t="s">
        <v>648</v>
      </c>
      <c r="B336" t="s">
        <v>222</v>
      </c>
      <c r="C336" t="s">
        <v>75</v>
      </c>
      <c r="D336" t="s">
        <v>46</v>
      </c>
      <c r="E336" t="s">
        <v>42</v>
      </c>
      <c r="F336" t="s">
        <v>83</v>
      </c>
      <c r="G336" t="s">
        <v>19</v>
      </c>
      <c r="H336" t="s">
        <v>64</v>
      </c>
      <c r="I336">
        <v>7112</v>
      </c>
      <c r="J336">
        <v>8</v>
      </c>
      <c r="K336">
        <v>4.5</v>
      </c>
      <c r="L336">
        <v>5</v>
      </c>
      <c r="M336" t="s">
        <v>30</v>
      </c>
    </row>
    <row r="337" spans="1:13">
      <c r="A337" t="s">
        <v>649</v>
      </c>
      <c r="B337" t="s">
        <v>242</v>
      </c>
      <c r="C337" t="s">
        <v>68</v>
      </c>
      <c r="D337" t="s">
        <v>16</v>
      </c>
      <c r="E337" t="s">
        <v>17</v>
      </c>
      <c r="F337" t="s">
        <v>53</v>
      </c>
      <c r="G337" t="s">
        <v>19</v>
      </c>
      <c r="H337" t="s">
        <v>36</v>
      </c>
      <c r="I337">
        <v>11384</v>
      </c>
      <c r="J337">
        <v>8</v>
      </c>
      <c r="K337">
        <v>4.5999999999999996</v>
      </c>
      <c r="L337">
        <v>2</v>
      </c>
      <c r="M337" t="s">
        <v>87</v>
      </c>
    </row>
    <row r="338" spans="1:13">
      <c r="A338" t="s">
        <v>650</v>
      </c>
      <c r="B338" t="s">
        <v>615</v>
      </c>
      <c r="C338" t="s">
        <v>15</v>
      </c>
      <c r="D338" t="s">
        <v>46</v>
      </c>
      <c r="E338" t="s">
        <v>42</v>
      </c>
      <c r="F338" t="s">
        <v>18</v>
      </c>
      <c r="G338" t="s">
        <v>104</v>
      </c>
      <c r="H338" t="s">
        <v>29</v>
      </c>
      <c r="I338">
        <v>6940</v>
      </c>
      <c r="J338">
        <v>4</v>
      </c>
      <c r="K338">
        <v>4.0999999999999996</v>
      </c>
      <c r="L338">
        <v>3</v>
      </c>
      <c r="M338" t="s">
        <v>37</v>
      </c>
    </row>
    <row r="339" spans="1:13">
      <c r="A339" t="s">
        <v>651</v>
      </c>
      <c r="B339" t="s">
        <v>652</v>
      </c>
      <c r="C339" t="s">
        <v>58</v>
      </c>
      <c r="D339" t="s">
        <v>90</v>
      </c>
      <c r="E339" t="s">
        <v>42</v>
      </c>
      <c r="F339" t="s">
        <v>60</v>
      </c>
      <c r="G339" t="s">
        <v>104</v>
      </c>
      <c r="H339" t="s">
        <v>29</v>
      </c>
      <c r="I339">
        <v>25585</v>
      </c>
      <c r="J339">
        <v>5</v>
      </c>
      <c r="K339">
        <v>4.3</v>
      </c>
      <c r="L339">
        <v>8</v>
      </c>
      <c r="M339" t="s">
        <v>30</v>
      </c>
    </row>
    <row r="340" spans="1:13">
      <c r="A340" t="s">
        <v>653</v>
      </c>
      <c r="B340" t="s">
        <v>561</v>
      </c>
      <c r="C340" t="s">
        <v>112</v>
      </c>
      <c r="D340" t="s">
        <v>159</v>
      </c>
      <c r="E340" t="s">
        <v>42</v>
      </c>
      <c r="F340" t="s">
        <v>83</v>
      </c>
      <c r="G340" t="s">
        <v>104</v>
      </c>
      <c r="H340" t="s">
        <v>29</v>
      </c>
      <c r="I340">
        <v>22624</v>
      </c>
      <c r="J340">
        <v>8</v>
      </c>
      <c r="K340">
        <v>3.7</v>
      </c>
      <c r="L340">
        <v>1</v>
      </c>
      <c r="M340" t="s">
        <v>87</v>
      </c>
    </row>
    <row r="341" spans="1:13">
      <c r="A341" t="s">
        <v>654</v>
      </c>
      <c r="B341" t="s">
        <v>523</v>
      </c>
      <c r="C341" t="s">
        <v>78</v>
      </c>
      <c r="D341" t="s">
        <v>41</v>
      </c>
      <c r="E341" t="s">
        <v>42</v>
      </c>
      <c r="F341" t="s">
        <v>53</v>
      </c>
      <c r="G341" t="s">
        <v>19</v>
      </c>
      <c r="H341" t="s">
        <v>64</v>
      </c>
      <c r="I341">
        <v>33808</v>
      </c>
      <c r="J341">
        <v>8</v>
      </c>
      <c r="K341">
        <v>4.3</v>
      </c>
      <c r="L341">
        <v>1</v>
      </c>
      <c r="M341" t="s">
        <v>119</v>
      </c>
    </row>
    <row r="342" spans="1:13">
      <c r="A342" t="s">
        <v>655</v>
      </c>
      <c r="B342" t="s">
        <v>656</v>
      </c>
      <c r="C342" t="s">
        <v>112</v>
      </c>
      <c r="D342" t="s">
        <v>69</v>
      </c>
      <c r="E342" t="s">
        <v>26</v>
      </c>
      <c r="F342" t="s">
        <v>100</v>
      </c>
      <c r="G342" t="s">
        <v>104</v>
      </c>
      <c r="H342" t="s">
        <v>29</v>
      </c>
      <c r="I342">
        <v>20432</v>
      </c>
      <c r="J342">
        <v>4</v>
      </c>
      <c r="K342">
        <v>3.3</v>
      </c>
      <c r="L342">
        <v>4</v>
      </c>
      <c r="M342" t="s">
        <v>55</v>
      </c>
    </row>
    <row r="343" spans="1:13">
      <c r="A343" t="s">
        <v>657</v>
      </c>
      <c r="B343" t="s">
        <v>201</v>
      </c>
      <c r="C343" t="s">
        <v>103</v>
      </c>
      <c r="D343" t="s">
        <v>59</v>
      </c>
      <c r="E343" t="s">
        <v>26</v>
      </c>
      <c r="F343" t="s">
        <v>27</v>
      </c>
      <c r="G343" t="s">
        <v>28</v>
      </c>
      <c r="H343" t="s">
        <v>20</v>
      </c>
      <c r="I343">
        <v>10432</v>
      </c>
      <c r="J343">
        <v>4</v>
      </c>
      <c r="K343">
        <v>4.3</v>
      </c>
      <c r="L343">
        <v>8</v>
      </c>
      <c r="M343" t="s">
        <v>55</v>
      </c>
    </row>
    <row r="344" spans="1:13">
      <c r="A344" t="s">
        <v>658</v>
      </c>
      <c r="B344" t="s">
        <v>536</v>
      </c>
      <c r="C344" t="s">
        <v>15</v>
      </c>
      <c r="D344" t="s">
        <v>113</v>
      </c>
      <c r="E344" t="s">
        <v>35</v>
      </c>
      <c r="F344" t="s">
        <v>83</v>
      </c>
      <c r="G344" t="s">
        <v>54</v>
      </c>
      <c r="H344" t="s">
        <v>20</v>
      </c>
      <c r="I344">
        <v>26871</v>
      </c>
      <c r="J344">
        <v>1</v>
      </c>
      <c r="K344">
        <v>3.7</v>
      </c>
      <c r="L344">
        <v>8</v>
      </c>
      <c r="M344" t="s">
        <v>80</v>
      </c>
    </row>
    <row r="345" spans="1:13">
      <c r="A345" t="s">
        <v>659</v>
      </c>
      <c r="B345" t="s">
        <v>660</v>
      </c>
      <c r="C345" t="s">
        <v>170</v>
      </c>
      <c r="D345" t="s">
        <v>116</v>
      </c>
      <c r="E345" t="s">
        <v>17</v>
      </c>
      <c r="F345" t="s">
        <v>18</v>
      </c>
      <c r="G345" t="s">
        <v>19</v>
      </c>
      <c r="H345" t="s">
        <v>36</v>
      </c>
      <c r="I345">
        <v>6960</v>
      </c>
      <c r="J345">
        <v>6</v>
      </c>
      <c r="K345">
        <v>4.5</v>
      </c>
      <c r="L345">
        <v>1</v>
      </c>
      <c r="M345" t="s">
        <v>37</v>
      </c>
    </row>
    <row r="346" spans="1:13">
      <c r="A346" t="s">
        <v>661</v>
      </c>
      <c r="B346" t="s">
        <v>589</v>
      </c>
      <c r="C346" t="s">
        <v>50</v>
      </c>
      <c r="D346" t="s">
        <v>97</v>
      </c>
      <c r="E346" t="s">
        <v>35</v>
      </c>
      <c r="F346" t="s">
        <v>60</v>
      </c>
      <c r="G346" t="s">
        <v>19</v>
      </c>
      <c r="H346" t="s">
        <v>36</v>
      </c>
      <c r="I346">
        <v>282224</v>
      </c>
      <c r="J346">
        <v>8</v>
      </c>
      <c r="K346">
        <v>3.4</v>
      </c>
      <c r="L346">
        <v>4</v>
      </c>
      <c r="M346" t="s">
        <v>87</v>
      </c>
    </row>
    <row r="347" spans="1:13">
      <c r="A347" t="s">
        <v>662</v>
      </c>
      <c r="B347" t="s">
        <v>663</v>
      </c>
      <c r="C347" t="s">
        <v>78</v>
      </c>
      <c r="D347" t="s">
        <v>51</v>
      </c>
      <c r="E347" t="s">
        <v>52</v>
      </c>
      <c r="F347" t="s">
        <v>100</v>
      </c>
      <c r="G347" t="s">
        <v>54</v>
      </c>
      <c r="H347" t="s">
        <v>29</v>
      </c>
      <c r="I347">
        <v>7372</v>
      </c>
      <c r="J347">
        <v>4</v>
      </c>
      <c r="K347">
        <v>4.3</v>
      </c>
      <c r="L347">
        <v>1</v>
      </c>
      <c r="M347" t="s">
        <v>87</v>
      </c>
    </row>
    <row r="348" spans="1:13">
      <c r="A348" t="s">
        <v>664</v>
      </c>
      <c r="B348" t="s">
        <v>597</v>
      </c>
      <c r="C348" t="s">
        <v>24</v>
      </c>
      <c r="D348" t="s">
        <v>46</v>
      </c>
      <c r="E348" t="s">
        <v>42</v>
      </c>
      <c r="F348" t="s">
        <v>53</v>
      </c>
      <c r="G348" t="s">
        <v>54</v>
      </c>
      <c r="H348" t="s">
        <v>64</v>
      </c>
      <c r="I348">
        <v>15798</v>
      </c>
      <c r="J348">
        <v>6</v>
      </c>
      <c r="K348">
        <v>4</v>
      </c>
      <c r="L348">
        <v>1</v>
      </c>
      <c r="M348" t="s">
        <v>37</v>
      </c>
    </row>
    <row r="349" spans="1:13">
      <c r="A349" t="s">
        <v>665</v>
      </c>
      <c r="B349" t="s">
        <v>666</v>
      </c>
      <c r="C349" t="s">
        <v>45</v>
      </c>
      <c r="D349" t="s">
        <v>147</v>
      </c>
      <c r="E349" t="s">
        <v>52</v>
      </c>
      <c r="F349" t="s">
        <v>53</v>
      </c>
      <c r="G349" t="s">
        <v>54</v>
      </c>
      <c r="H349" t="s">
        <v>36</v>
      </c>
      <c r="I349">
        <v>7072</v>
      </c>
      <c r="J349">
        <v>8</v>
      </c>
      <c r="K349">
        <v>3.5</v>
      </c>
      <c r="L349">
        <v>2</v>
      </c>
      <c r="M349" t="s">
        <v>144</v>
      </c>
    </row>
    <row r="350" spans="1:13">
      <c r="A350" t="s">
        <v>667</v>
      </c>
      <c r="B350" t="s">
        <v>668</v>
      </c>
      <c r="C350" t="s">
        <v>146</v>
      </c>
      <c r="D350" t="s">
        <v>34</v>
      </c>
      <c r="E350" t="s">
        <v>35</v>
      </c>
      <c r="F350" t="s">
        <v>27</v>
      </c>
      <c r="G350" t="s">
        <v>19</v>
      </c>
      <c r="H350" t="s">
        <v>36</v>
      </c>
      <c r="I350">
        <v>65994</v>
      </c>
      <c r="J350">
        <v>2</v>
      </c>
      <c r="K350">
        <v>4.5999999999999996</v>
      </c>
      <c r="L350">
        <v>6</v>
      </c>
      <c r="M350" t="s">
        <v>119</v>
      </c>
    </row>
    <row r="351" spans="1:13">
      <c r="A351" t="s">
        <v>669</v>
      </c>
      <c r="B351" t="s">
        <v>670</v>
      </c>
      <c r="C351" t="s">
        <v>179</v>
      </c>
      <c r="D351" t="s">
        <v>46</v>
      </c>
      <c r="E351" t="s">
        <v>42</v>
      </c>
      <c r="F351" t="s">
        <v>100</v>
      </c>
      <c r="G351" t="s">
        <v>19</v>
      </c>
      <c r="H351" t="s">
        <v>29</v>
      </c>
      <c r="I351">
        <v>26395</v>
      </c>
      <c r="J351">
        <v>5</v>
      </c>
      <c r="K351">
        <v>4.2</v>
      </c>
      <c r="L351">
        <v>8</v>
      </c>
      <c r="M351" t="s">
        <v>80</v>
      </c>
    </row>
    <row r="352" spans="1:13">
      <c r="A352" t="s">
        <v>671</v>
      </c>
      <c r="B352" t="s">
        <v>14</v>
      </c>
      <c r="C352" t="s">
        <v>146</v>
      </c>
      <c r="D352" t="s">
        <v>97</v>
      </c>
      <c r="E352" t="s">
        <v>35</v>
      </c>
      <c r="F352" t="s">
        <v>18</v>
      </c>
      <c r="G352" t="s">
        <v>28</v>
      </c>
      <c r="H352" t="s">
        <v>20</v>
      </c>
      <c r="I352">
        <v>68457</v>
      </c>
      <c r="J352">
        <v>3</v>
      </c>
      <c r="K352">
        <v>4.7</v>
      </c>
      <c r="L352">
        <v>6</v>
      </c>
      <c r="M352" t="s">
        <v>21</v>
      </c>
    </row>
    <row r="353" spans="1:13">
      <c r="A353" t="s">
        <v>672</v>
      </c>
      <c r="B353" t="s">
        <v>673</v>
      </c>
      <c r="C353" t="s">
        <v>78</v>
      </c>
      <c r="D353" t="s">
        <v>218</v>
      </c>
      <c r="E353" t="s">
        <v>17</v>
      </c>
      <c r="F353" t="s">
        <v>83</v>
      </c>
      <c r="G353" t="s">
        <v>104</v>
      </c>
      <c r="H353" t="s">
        <v>29</v>
      </c>
      <c r="I353">
        <v>3824</v>
      </c>
      <c r="J353">
        <v>4</v>
      </c>
      <c r="K353">
        <v>4.0999999999999996</v>
      </c>
      <c r="L353">
        <v>8</v>
      </c>
      <c r="M353" t="s">
        <v>192</v>
      </c>
    </row>
    <row r="354" spans="1:13">
      <c r="A354" t="s">
        <v>674</v>
      </c>
      <c r="B354" t="s">
        <v>675</v>
      </c>
      <c r="C354" t="s">
        <v>68</v>
      </c>
      <c r="D354" t="s">
        <v>46</v>
      </c>
      <c r="E354" t="s">
        <v>42</v>
      </c>
      <c r="F354" t="s">
        <v>60</v>
      </c>
      <c r="G354" t="s">
        <v>19</v>
      </c>
      <c r="H354" t="s">
        <v>36</v>
      </c>
      <c r="I354">
        <v>3526</v>
      </c>
      <c r="J354">
        <v>2</v>
      </c>
      <c r="K354">
        <v>4.8</v>
      </c>
      <c r="L354">
        <v>4</v>
      </c>
      <c r="M354" t="s">
        <v>87</v>
      </c>
    </row>
    <row r="355" spans="1:13">
      <c r="A355" t="s">
        <v>676</v>
      </c>
      <c r="B355" t="s">
        <v>275</v>
      </c>
      <c r="C355" t="s">
        <v>15</v>
      </c>
      <c r="D355" t="s">
        <v>116</v>
      </c>
      <c r="E355" t="s">
        <v>17</v>
      </c>
      <c r="F355" t="s">
        <v>83</v>
      </c>
      <c r="G355" t="s">
        <v>28</v>
      </c>
      <c r="H355" t="s">
        <v>36</v>
      </c>
      <c r="I355">
        <v>11008</v>
      </c>
      <c r="J355">
        <v>8</v>
      </c>
      <c r="K355">
        <v>4.3</v>
      </c>
      <c r="L355">
        <v>2</v>
      </c>
      <c r="M355" t="s">
        <v>119</v>
      </c>
    </row>
    <row r="356" spans="1:13">
      <c r="A356" t="s">
        <v>677</v>
      </c>
      <c r="B356" t="s">
        <v>379</v>
      </c>
      <c r="C356" t="s">
        <v>40</v>
      </c>
      <c r="D356" t="s">
        <v>41</v>
      </c>
      <c r="E356" t="s">
        <v>42</v>
      </c>
      <c r="F356" t="s">
        <v>18</v>
      </c>
      <c r="G356" t="s">
        <v>19</v>
      </c>
      <c r="H356" t="s">
        <v>36</v>
      </c>
      <c r="I356">
        <v>20139</v>
      </c>
      <c r="J356">
        <v>7</v>
      </c>
      <c r="K356">
        <v>3.3</v>
      </c>
      <c r="L356">
        <v>2</v>
      </c>
      <c r="M356" t="s">
        <v>55</v>
      </c>
    </row>
    <row r="357" spans="1:13">
      <c r="A357" t="s">
        <v>678</v>
      </c>
      <c r="B357" t="s">
        <v>387</v>
      </c>
      <c r="C357" t="s">
        <v>78</v>
      </c>
      <c r="D357" t="s">
        <v>86</v>
      </c>
      <c r="E357" t="s">
        <v>17</v>
      </c>
      <c r="F357" t="s">
        <v>27</v>
      </c>
      <c r="G357" t="s">
        <v>28</v>
      </c>
      <c r="H357" t="s">
        <v>36</v>
      </c>
      <c r="I357">
        <v>4816</v>
      </c>
      <c r="J357">
        <v>7</v>
      </c>
      <c r="K357">
        <v>4.3</v>
      </c>
      <c r="L357">
        <v>3</v>
      </c>
      <c r="M357" t="s">
        <v>65</v>
      </c>
    </row>
    <row r="358" spans="1:13">
      <c r="A358" t="s">
        <v>679</v>
      </c>
      <c r="B358" t="s">
        <v>141</v>
      </c>
      <c r="C358" t="s">
        <v>24</v>
      </c>
      <c r="D358" t="s">
        <v>59</v>
      </c>
      <c r="E358" t="s">
        <v>26</v>
      </c>
      <c r="F358" t="s">
        <v>100</v>
      </c>
      <c r="G358" t="s">
        <v>28</v>
      </c>
      <c r="H358" t="s">
        <v>29</v>
      </c>
      <c r="I358">
        <v>30040</v>
      </c>
      <c r="J358">
        <v>8</v>
      </c>
      <c r="K358">
        <v>4.2</v>
      </c>
      <c r="L358">
        <v>6</v>
      </c>
      <c r="M358" t="s">
        <v>119</v>
      </c>
    </row>
    <row r="359" spans="1:13">
      <c r="A359" t="s">
        <v>680</v>
      </c>
      <c r="B359" t="s">
        <v>681</v>
      </c>
      <c r="C359" t="s">
        <v>50</v>
      </c>
      <c r="D359" t="s">
        <v>165</v>
      </c>
      <c r="E359" t="s">
        <v>35</v>
      </c>
      <c r="F359" t="s">
        <v>100</v>
      </c>
      <c r="G359" t="s">
        <v>104</v>
      </c>
      <c r="H359" t="s">
        <v>29</v>
      </c>
      <c r="I359">
        <v>269370</v>
      </c>
      <c r="J359">
        <v>6</v>
      </c>
      <c r="K359">
        <v>4.2</v>
      </c>
      <c r="L359">
        <v>4</v>
      </c>
      <c r="M359" t="s">
        <v>126</v>
      </c>
    </row>
    <row r="360" spans="1:13">
      <c r="A360" t="s">
        <v>682</v>
      </c>
      <c r="B360" t="s">
        <v>300</v>
      </c>
      <c r="C360" t="s">
        <v>15</v>
      </c>
      <c r="D360" t="s">
        <v>90</v>
      </c>
      <c r="E360" t="s">
        <v>42</v>
      </c>
      <c r="F360" t="s">
        <v>53</v>
      </c>
      <c r="G360" t="s">
        <v>19</v>
      </c>
      <c r="H360" t="s">
        <v>20</v>
      </c>
      <c r="I360">
        <v>5580</v>
      </c>
      <c r="J360">
        <v>1</v>
      </c>
      <c r="K360">
        <v>4.0999999999999996</v>
      </c>
      <c r="L360">
        <v>5</v>
      </c>
      <c r="M360" t="s">
        <v>55</v>
      </c>
    </row>
    <row r="361" spans="1:13">
      <c r="A361" t="s">
        <v>683</v>
      </c>
      <c r="B361" t="s">
        <v>118</v>
      </c>
      <c r="C361" t="s">
        <v>146</v>
      </c>
      <c r="D361" t="s">
        <v>113</v>
      </c>
      <c r="E361" t="s">
        <v>35</v>
      </c>
      <c r="F361" t="s">
        <v>53</v>
      </c>
      <c r="G361" t="s">
        <v>19</v>
      </c>
      <c r="H361" t="s">
        <v>20</v>
      </c>
      <c r="I361">
        <v>377090</v>
      </c>
      <c r="J361">
        <v>5</v>
      </c>
      <c r="K361">
        <v>3.5</v>
      </c>
      <c r="L361">
        <v>1</v>
      </c>
      <c r="M361" t="s">
        <v>119</v>
      </c>
    </row>
    <row r="362" spans="1:13">
      <c r="A362" t="s">
        <v>684</v>
      </c>
      <c r="B362" t="s">
        <v>413</v>
      </c>
      <c r="C362" t="s">
        <v>75</v>
      </c>
      <c r="D362" t="s">
        <v>130</v>
      </c>
      <c r="E362" t="s">
        <v>35</v>
      </c>
      <c r="F362" t="s">
        <v>27</v>
      </c>
      <c r="G362" t="s">
        <v>104</v>
      </c>
      <c r="H362" t="s">
        <v>64</v>
      </c>
      <c r="I362">
        <v>167444</v>
      </c>
      <c r="J362">
        <v>4</v>
      </c>
      <c r="K362">
        <v>3.9</v>
      </c>
      <c r="L362">
        <v>4</v>
      </c>
      <c r="M362" t="s">
        <v>30</v>
      </c>
    </row>
    <row r="363" spans="1:13">
      <c r="A363" t="s">
        <v>685</v>
      </c>
      <c r="B363" t="s">
        <v>118</v>
      </c>
      <c r="C363" t="s">
        <v>170</v>
      </c>
      <c r="D363" t="s">
        <v>51</v>
      </c>
      <c r="E363" t="s">
        <v>52</v>
      </c>
      <c r="F363" t="s">
        <v>53</v>
      </c>
      <c r="G363" t="s">
        <v>28</v>
      </c>
      <c r="H363" t="s">
        <v>64</v>
      </c>
      <c r="I363">
        <v>2960</v>
      </c>
      <c r="J363">
        <v>2</v>
      </c>
      <c r="K363">
        <v>3.3</v>
      </c>
      <c r="L363">
        <v>1</v>
      </c>
      <c r="M363" t="s">
        <v>119</v>
      </c>
    </row>
    <row r="364" spans="1:13">
      <c r="A364" t="s">
        <v>686</v>
      </c>
      <c r="B364" t="s">
        <v>687</v>
      </c>
      <c r="C364" t="s">
        <v>170</v>
      </c>
      <c r="D364" t="s">
        <v>86</v>
      </c>
      <c r="E364" t="s">
        <v>17</v>
      </c>
      <c r="F364" t="s">
        <v>100</v>
      </c>
      <c r="G364" t="s">
        <v>19</v>
      </c>
      <c r="H364" t="s">
        <v>20</v>
      </c>
      <c r="I364">
        <v>1598</v>
      </c>
      <c r="J364">
        <v>1</v>
      </c>
      <c r="K364">
        <v>3.3</v>
      </c>
      <c r="L364">
        <v>3</v>
      </c>
      <c r="M364" t="s">
        <v>119</v>
      </c>
    </row>
    <row r="365" spans="1:13">
      <c r="A365" t="s">
        <v>688</v>
      </c>
      <c r="B365" t="s">
        <v>306</v>
      </c>
      <c r="C365" t="s">
        <v>125</v>
      </c>
      <c r="D365" t="s">
        <v>116</v>
      </c>
      <c r="E365" t="s">
        <v>17</v>
      </c>
      <c r="F365" t="s">
        <v>100</v>
      </c>
      <c r="G365" t="s">
        <v>54</v>
      </c>
      <c r="H365" t="s">
        <v>64</v>
      </c>
      <c r="I365">
        <v>1508</v>
      </c>
      <c r="J365">
        <v>2</v>
      </c>
      <c r="K365">
        <v>3.4</v>
      </c>
      <c r="L365">
        <v>2</v>
      </c>
      <c r="M365" t="s">
        <v>47</v>
      </c>
    </row>
    <row r="366" spans="1:13">
      <c r="A366" t="s">
        <v>689</v>
      </c>
      <c r="B366" t="s">
        <v>690</v>
      </c>
      <c r="C366" t="s">
        <v>58</v>
      </c>
      <c r="D366" t="s">
        <v>113</v>
      </c>
      <c r="E366" t="s">
        <v>35</v>
      </c>
      <c r="F366" t="s">
        <v>83</v>
      </c>
      <c r="G366" t="s">
        <v>19</v>
      </c>
      <c r="H366" t="s">
        <v>20</v>
      </c>
      <c r="I366">
        <v>141239</v>
      </c>
      <c r="J366">
        <v>7</v>
      </c>
      <c r="K366">
        <v>3.6</v>
      </c>
      <c r="L366">
        <v>7</v>
      </c>
      <c r="M366" t="s">
        <v>55</v>
      </c>
    </row>
    <row r="367" spans="1:13">
      <c r="A367" t="s">
        <v>691</v>
      </c>
      <c r="B367" t="s">
        <v>692</v>
      </c>
      <c r="C367" t="s">
        <v>170</v>
      </c>
      <c r="D367" t="s">
        <v>218</v>
      </c>
      <c r="E367" t="s">
        <v>17</v>
      </c>
      <c r="F367" t="s">
        <v>53</v>
      </c>
      <c r="G367" t="s">
        <v>54</v>
      </c>
      <c r="H367" t="s">
        <v>29</v>
      </c>
      <c r="I367">
        <v>10212</v>
      </c>
      <c r="J367">
        <v>6</v>
      </c>
      <c r="K367">
        <v>3.9</v>
      </c>
      <c r="L367">
        <v>4</v>
      </c>
      <c r="M367" t="s">
        <v>47</v>
      </c>
    </row>
    <row r="368" spans="1:13">
      <c r="A368" t="s">
        <v>693</v>
      </c>
      <c r="B368" t="s">
        <v>595</v>
      </c>
      <c r="C368" t="s">
        <v>72</v>
      </c>
      <c r="D368" t="s">
        <v>109</v>
      </c>
      <c r="E368" t="s">
        <v>52</v>
      </c>
      <c r="F368" t="s">
        <v>27</v>
      </c>
      <c r="G368" t="s">
        <v>54</v>
      </c>
      <c r="H368" t="s">
        <v>36</v>
      </c>
      <c r="I368">
        <v>6776</v>
      </c>
      <c r="J368">
        <v>8</v>
      </c>
      <c r="K368">
        <v>3.6</v>
      </c>
      <c r="L368">
        <v>6</v>
      </c>
      <c r="M368" t="s">
        <v>192</v>
      </c>
    </row>
    <row r="369" spans="1:13">
      <c r="A369" t="s">
        <v>694</v>
      </c>
      <c r="B369" t="s">
        <v>673</v>
      </c>
      <c r="C369" t="s">
        <v>170</v>
      </c>
      <c r="D369" t="s">
        <v>86</v>
      </c>
      <c r="E369" t="s">
        <v>17</v>
      </c>
      <c r="F369" t="s">
        <v>83</v>
      </c>
      <c r="G369" t="s">
        <v>19</v>
      </c>
      <c r="H369" t="s">
        <v>20</v>
      </c>
      <c r="I369">
        <v>2667</v>
      </c>
      <c r="J369">
        <v>3</v>
      </c>
      <c r="K369">
        <v>4</v>
      </c>
      <c r="L369">
        <v>1</v>
      </c>
      <c r="M369" t="s">
        <v>192</v>
      </c>
    </row>
    <row r="370" spans="1:13">
      <c r="A370" t="s">
        <v>695</v>
      </c>
      <c r="B370" t="s">
        <v>149</v>
      </c>
      <c r="C370" t="s">
        <v>103</v>
      </c>
      <c r="D370" t="s">
        <v>59</v>
      </c>
      <c r="E370" t="s">
        <v>26</v>
      </c>
      <c r="F370" t="s">
        <v>83</v>
      </c>
      <c r="G370" t="s">
        <v>54</v>
      </c>
      <c r="H370" t="s">
        <v>29</v>
      </c>
      <c r="I370">
        <v>82808</v>
      </c>
      <c r="J370">
        <v>8</v>
      </c>
      <c r="K370">
        <v>4.8</v>
      </c>
      <c r="L370">
        <v>1</v>
      </c>
      <c r="M370" t="s">
        <v>30</v>
      </c>
    </row>
    <row r="371" spans="1:13">
      <c r="A371" t="s">
        <v>696</v>
      </c>
      <c r="B371" t="s">
        <v>697</v>
      </c>
      <c r="C371" t="s">
        <v>68</v>
      </c>
      <c r="D371" t="s">
        <v>109</v>
      </c>
      <c r="E371" t="s">
        <v>52</v>
      </c>
      <c r="F371" t="s">
        <v>18</v>
      </c>
      <c r="G371" t="s">
        <v>104</v>
      </c>
      <c r="H371" t="s">
        <v>64</v>
      </c>
      <c r="I371">
        <v>2272</v>
      </c>
      <c r="J371">
        <v>8</v>
      </c>
      <c r="K371">
        <v>3.7</v>
      </c>
      <c r="L371">
        <v>6</v>
      </c>
      <c r="M371" t="s">
        <v>144</v>
      </c>
    </row>
    <row r="372" spans="1:13">
      <c r="A372" t="s">
        <v>698</v>
      </c>
      <c r="B372" t="s">
        <v>62</v>
      </c>
      <c r="C372" t="s">
        <v>78</v>
      </c>
      <c r="D372" t="s">
        <v>51</v>
      </c>
      <c r="E372" t="s">
        <v>52</v>
      </c>
      <c r="F372" t="s">
        <v>27</v>
      </c>
      <c r="G372" t="s">
        <v>54</v>
      </c>
      <c r="H372" t="s">
        <v>36</v>
      </c>
      <c r="I372">
        <v>4470</v>
      </c>
      <c r="J372">
        <v>2</v>
      </c>
      <c r="K372">
        <v>3.5</v>
      </c>
      <c r="L372">
        <v>8</v>
      </c>
      <c r="M372" t="s">
        <v>65</v>
      </c>
    </row>
    <row r="373" spans="1:13">
      <c r="A373" t="s">
        <v>699</v>
      </c>
      <c r="B373" t="s">
        <v>124</v>
      </c>
      <c r="C373" t="s">
        <v>122</v>
      </c>
      <c r="D373" t="s">
        <v>109</v>
      </c>
      <c r="E373" t="s">
        <v>52</v>
      </c>
      <c r="F373" t="s">
        <v>100</v>
      </c>
      <c r="G373" t="s">
        <v>104</v>
      </c>
      <c r="H373" t="s">
        <v>36</v>
      </c>
      <c r="I373">
        <v>7144</v>
      </c>
      <c r="J373">
        <v>8</v>
      </c>
      <c r="K373">
        <v>3.8</v>
      </c>
      <c r="L373">
        <v>5</v>
      </c>
      <c r="M373" t="s">
        <v>126</v>
      </c>
    </row>
    <row r="374" spans="1:13">
      <c r="A374" t="s">
        <v>700</v>
      </c>
      <c r="B374" t="s">
        <v>308</v>
      </c>
      <c r="C374" t="s">
        <v>112</v>
      </c>
      <c r="D374" t="s">
        <v>97</v>
      </c>
      <c r="E374" t="s">
        <v>35</v>
      </c>
      <c r="F374" t="s">
        <v>27</v>
      </c>
      <c r="G374" t="s">
        <v>19</v>
      </c>
      <c r="H374" t="s">
        <v>64</v>
      </c>
      <c r="I374">
        <v>236490</v>
      </c>
      <c r="J374">
        <v>5</v>
      </c>
      <c r="K374">
        <v>3.4</v>
      </c>
      <c r="L374">
        <v>7</v>
      </c>
      <c r="M374" t="s">
        <v>144</v>
      </c>
    </row>
    <row r="375" spans="1:13">
      <c r="A375" t="s">
        <v>701</v>
      </c>
      <c r="B375" t="s">
        <v>702</v>
      </c>
      <c r="C375" t="s">
        <v>58</v>
      </c>
      <c r="D375" t="s">
        <v>63</v>
      </c>
      <c r="E375" t="s">
        <v>52</v>
      </c>
      <c r="F375" t="s">
        <v>100</v>
      </c>
      <c r="G375" t="s">
        <v>19</v>
      </c>
      <c r="H375" t="s">
        <v>20</v>
      </c>
      <c r="I375">
        <v>7990</v>
      </c>
      <c r="J375">
        <v>5</v>
      </c>
      <c r="K375">
        <v>3.6</v>
      </c>
      <c r="L375">
        <v>3</v>
      </c>
      <c r="M375" t="s">
        <v>47</v>
      </c>
    </row>
    <row r="376" spans="1:13">
      <c r="A376" t="s">
        <v>703</v>
      </c>
      <c r="B376" t="s">
        <v>363</v>
      </c>
      <c r="C376" t="s">
        <v>24</v>
      </c>
      <c r="D376" t="s">
        <v>165</v>
      </c>
      <c r="E376" t="s">
        <v>35</v>
      </c>
      <c r="F376" t="s">
        <v>53</v>
      </c>
      <c r="G376" t="s">
        <v>19</v>
      </c>
      <c r="H376" t="s">
        <v>36</v>
      </c>
      <c r="I376">
        <v>308798</v>
      </c>
      <c r="J376">
        <v>7</v>
      </c>
      <c r="K376">
        <v>4.2</v>
      </c>
      <c r="L376">
        <v>2</v>
      </c>
      <c r="M376" t="s">
        <v>80</v>
      </c>
    </row>
    <row r="377" spans="1:13">
      <c r="A377" t="s">
        <v>704</v>
      </c>
      <c r="B377" t="s">
        <v>705</v>
      </c>
      <c r="C377" t="s">
        <v>45</v>
      </c>
      <c r="D377" t="s">
        <v>97</v>
      </c>
      <c r="E377" t="s">
        <v>35</v>
      </c>
      <c r="F377" t="s">
        <v>100</v>
      </c>
      <c r="G377" t="s">
        <v>104</v>
      </c>
      <c r="H377" t="s">
        <v>20</v>
      </c>
      <c r="I377">
        <v>112085</v>
      </c>
      <c r="J377">
        <v>5</v>
      </c>
      <c r="K377">
        <v>3.4</v>
      </c>
      <c r="L377">
        <v>1</v>
      </c>
      <c r="M377" t="s">
        <v>55</v>
      </c>
    </row>
    <row r="378" spans="1:13">
      <c r="A378" t="s">
        <v>706</v>
      </c>
      <c r="B378" t="s">
        <v>178</v>
      </c>
      <c r="C378" t="s">
        <v>129</v>
      </c>
      <c r="D378" t="s">
        <v>79</v>
      </c>
      <c r="E378" t="s">
        <v>26</v>
      </c>
      <c r="F378" t="s">
        <v>83</v>
      </c>
      <c r="G378" t="s">
        <v>28</v>
      </c>
      <c r="H378" t="s">
        <v>64</v>
      </c>
      <c r="I378">
        <v>9030</v>
      </c>
      <c r="J378">
        <v>1</v>
      </c>
      <c r="K378">
        <v>4.7</v>
      </c>
      <c r="L378">
        <v>8</v>
      </c>
      <c r="M378" t="s">
        <v>37</v>
      </c>
    </row>
    <row r="379" spans="1:13">
      <c r="A379" t="s">
        <v>707</v>
      </c>
      <c r="B379" t="s">
        <v>708</v>
      </c>
      <c r="C379" t="s">
        <v>179</v>
      </c>
      <c r="D379" t="s">
        <v>159</v>
      </c>
      <c r="E379" t="s">
        <v>42</v>
      </c>
      <c r="F379" t="s">
        <v>83</v>
      </c>
      <c r="G379" t="s">
        <v>54</v>
      </c>
      <c r="H379" t="s">
        <v>20</v>
      </c>
      <c r="I379">
        <v>3288</v>
      </c>
      <c r="J379">
        <v>4</v>
      </c>
      <c r="K379">
        <v>4.9000000000000004</v>
      </c>
      <c r="L379">
        <v>4</v>
      </c>
      <c r="M379" t="s">
        <v>80</v>
      </c>
    </row>
    <row r="380" spans="1:13">
      <c r="A380" t="s">
        <v>709</v>
      </c>
      <c r="B380" t="s">
        <v>523</v>
      </c>
      <c r="C380" t="s">
        <v>170</v>
      </c>
      <c r="D380" t="s">
        <v>90</v>
      </c>
      <c r="E380" t="s">
        <v>42</v>
      </c>
      <c r="F380" t="s">
        <v>60</v>
      </c>
      <c r="G380" t="s">
        <v>54</v>
      </c>
      <c r="H380" t="s">
        <v>36</v>
      </c>
      <c r="I380">
        <v>24096</v>
      </c>
      <c r="J380">
        <v>6</v>
      </c>
      <c r="K380">
        <v>4.3</v>
      </c>
      <c r="L380">
        <v>7</v>
      </c>
      <c r="M380" t="s">
        <v>119</v>
      </c>
    </row>
    <row r="381" spans="1:13">
      <c r="A381" t="s">
        <v>710</v>
      </c>
      <c r="B381" t="s">
        <v>666</v>
      </c>
      <c r="C381" t="s">
        <v>179</v>
      </c>
      <c r="D381" t="s">
        <v>90</v>
      </c>
      <c r="E381" t="s">
        <v>42</v>
      </c>
      <c r="F381" t="s">
        <v>53</v>
      </c>
      <c r="G381" t="s">
        <v>28</v>
      </c>
      <c r="H381" t="s">
        <v>64</v>
      </c>
      <c r="I381">
        <v>4084</v>
      </c>
      <c r="J381">
        <v>4</v>
      </c>
      <c r="K381">
        <v>3.9</v>
      </c>
      <c r="L381">
        <v>1</v>
      </c>
      <c r="M381" t="s">
        <v>144</v>
      </c>
    </row>
    <row r="382" spans="1:13">
      <c r="A382" t="s">
        <v>711</v>
      </c>
      <c r="B382" t="s">
        <v>158</v>
      </c>
      <c r="C382" t="s">
        <v>146</v>
      </c>
      <c r="D382" t="s">
        <v>130</v>
      </c>
      <c r="E382" t="s">
        <v>35</v>
      </c>
      <c r="F382" t="s">
        <v>18</v>
      </c>
      <c r="G382" t="s">
        <v>54</v>
      </c>
      <c r="H382" t="s">
        <v>20</v>
      </c>
      <c r="I382">
        <v>248592</v>
      </c>
      <c r="J382">
        <v>3</v>
      </c>
      <c r="K382">
        <v>4.8</v>
      </c>
      <c r="L382">
        <v>8</v>
      </c>
      <c r="M382" t="s">
        <v>47</v>
      </c>
    </row>
    <row r="383" spans="1:13">
      <c r="A383" t="s">
        <v>712</v>
      </c>
      <c r="B383" t="s">
        <v>713</v>
      </c>
      <c r="C383" t="s">
        <v>146</v>
      </c>
      <c r="D383" t="s">
        <v>79</v>
      </c>
      <c r="E383" t="s">
        <v>26</v>
      </c>
      <c r="F383" t="s">
        <v>18</v>
      </c>
      <c r="G383" t="s">
        <v>104</v>
      </c>
      <c r="H383" t="s">
        <v>29</v>
      </c>
      <c r="I383">
        <v>57631</v>
      </c>
      <c r="J383">
        <v>7</v>
      </c>
      <c r="K383">
        <v>4.3</v>
      </c>
      <c r="L383">
        <v>4</v>
      </c>
      <c r="M383" t="s">
        <v>55</v>
      </c>
    </row>
    <row r="384" spans="1:13">
      <c r="A384" t="s">
        <v>714</v>
      </c>
      <c r="B384" t="s">
        <v>359</v>
      </c>
      <c r="C384" t="s">
        <v>50</v>
      </c>
      <c r="D384" t="s">
        <v>147</v>
      </c>
      <c r="E384" t="s">
        <v>52</v>
      </c>
      <c r="F384" t="s">
        <v>100</v>
      </c>
      <c r="G384" t="s">
        <v>28</v>
      </c>
      <c r="H384" t="s">
        <v>36</v>
      </c>
      <c r="I384">
        <v>4180</v>
      </c>
      <c r="J384">
        <v>2</v>
      </c>
      <c r="K384">
        <v>4.5</v>
      </c>
      <c r="L384">
        <v>3</v>
      </c>
      <c r="M384" t="s">
        <v>87</v>
      </c>
    </row>
    <row r="385" spans="1:13">
      <c r="A385" t="s">
        <v>715</v>
      </c>
      <c r="B385" t="s">
        <v>716</v>
      </c>
      <c r="C385" t="s">
        <v>40</v>
      </c>
      <c r="D385" t="s">
        <v>109</v>
      </c>
      <c r="E385" t="s">
        <v>52</v>
      </c>
      <c r="F385" t="s">
        <v>27</v>
      </c>
      <c r="G385" t="s">
        <v>19</v>
      </c>
      <c r="H385" t="s">
        <v>36</v>
      </c>
      <c r="I385">
        <v>2526</v>
      </c>
      <c r="J385">
        <v>3</v>
      </c>
      <c r="K385">
        <v>3.8</v>
      </c>
      <c r="L385">
        <v>8</v>
      </c>
      <c r="M385" t="s">
        <v>30</v>
      </c>
    </row>
    <row r="386" spans="1:13">
      <c r="A386" t="s">
        <v>717</v>
      </c>
      <c r="B386" t="s">
        <v>361</v>
      </c>
      <c r="C386" t="s">
        <v>122</v>
      </c>
      <c r="D386" t="s">
        <v>63</v>
      </c>
      <c r="E386" t="s">
        <v>52</v>
      </c>
      <c r="F386" t="s">
        <v>83</v>
      </c>
      <c r="G386" t="s">
        <v>28</v>
      </c>
      <c r="H386" t="s">
        <v>64</v>
      </c>
      <c r="I386">
        <v>10640</v>
      </c>
      <c r="J386">
        <v>5</v>
      </c>
      <c r="K386">
        <v>4.7</v>
      </c>
      <c r="L386">
        <v>8</v>
      </c>
      <c r="M386" t="s">
        <v>144</v>
      </c>
    </row>
    <row r="387" spans="1:13">
      <c r="A387" t="s">
        <v>718</v>
      </c>
      <c r="B387" t="s">
        <v>290</v>
      </c>
      <c r="C387" t="s">
        <v>33</v>
      </c>
      <c r="D387" t="s">
        <v>90</v>
      </c>
      <c r="E387" t="s">
        <v>42</v>
      </c>
      <c r="F387" t="s">
        <v>83</v>
      </c>
      <c r="G387" t="s">
        <v>19</v>
      </c>
      <c r="H387" t="s">
        <v>36</v>
      </c>
      <c r="I387">
        <v>5777</v>
      </c>
      <c r="J387">
        <v>1</v>
      </c>
      <c r="K387">
        <v>4.2</v>
      </c>
      <c r="L387">
        <v>4</v>
      </c>
      <c r="M387" t="s">
        <v>87</v>
      </c>
    </row>
    <row r="388" spans="1:13">
      <c r="A388" t="s">
        <v>719</v>
      </c>
      <c r="B388" t="s">
        <v>404</v>
      </c>
      <c r="C388" t="s">
        <v>24</v>
      </c>
      <c r="D388" t="s">
        <v>113</v>
      </c>
      <c r="E388" t="s">
        <v>35</v>
      </c>
      <c r="F388" t="s">
        <v>27</v>
      </c>
      <c r="G388" t="s">
        <v>104</v>
      </c>
      <c r="H388" t="s">
        <v>20</v>
      </c>
      <c r="I388">
        <v>45899</v>
      </c>
      <c r="J388">
        <v>1</v>
      </c>
      <c r="K388">
        <v>3.4</v>
      </c>
      <c r="L388">
        <v>3</v>
      </c>
      <c r="M388" t="s">
        <v>80</v>
      </c>
    </row>
    <row r="389" spans="1:13">
      <c r="A389" t="s">
        <v>720</v>
      </c>
      <c r="B389" t="s">
        <v>603</v>
      </c>
      <c r="C389" t="s">
        <v>40</v>
      </c>
      <c r="D389" t="s">
        <v>46</v>
      </c>
      <c r="E389" t="s">
        <v>42</v>
      </c>
      <c r="F389" t="s">
        <v>60</v>
      </c>
      <c r="G389" t="s">
        <v>19</v>
      </c>
      <c r="H389" t="s">
        <v>36</v>
      </c>
      <c r="I389">
        <v>7608</v>
      </c>
      <c r="J389">
        <v>2</v>
      </c>
      <c r="K389">
        <v>4.5999999999999996</v>
      </c>
      <c r="L389">
        <v>2</v>
      </c>
      <c r="M389" t="s">
        <v>144</v>
      </c>
    </row>
    <row r="390" spans="1:13">
      <c r="A390" t="s">
        <v>721</v>
      </c>
      <c r="B390" t="s">
        <v>722</v>
      </c>
      <c r="C390" t="s">
        <v>125</v>
      </c>
      <c r="D390" t="s">
        <v>130</v>
      </c>
      <c r="E390" t="s">
        <v>35</v>
      </c>
      <c r="F390" t="s">
        <v>27</v>
      </c>
      <c r="G390" t="s">
        <v>104</v>
      </c>
      <c r="H390" t="s">
        <v>64</v>
      </c>
      <c r="I390">
        <v>209300</v>
      </c>
      <c r="J390">
        <v>7</v>
      </c>
      <c r="K390">
        <v>3.4</v>
      </c>
      <c r="L390">
        <v>2</v>
      </c>
      <c r="M390" t="s">
        <v>65</v>
      </c>
    </row>
    <row r="391" spans="1:13">
      <c r="A391" t="s">
        <v>723</v>
      </c>
      <c r="B391" t="s">
        <v>533</v>
      </c>
      <c r="C391" t="s">
        <v>45</v>
      </c>
      <c r="D391" t="s">
        <v>59</v>
      </c>
      <c r="E391" t="s">
        <v>26</v>
      </c>
      <c r="F391" t="s">
        <v>83</v>
      </c>
      <c r="G391" t="s">
        <v>104</v>
      </c>
      <c r="H391" t="s">
        <v>20</v>
      </c>
      <c r="I391">
        <v>53724</v>
      </c>
      <c r="J391">
        <v>6</v>
      </c>
      <c r="K391">
        <v>4.0999999999999996</v>
      </c>
      <c r="L391">
        <v>3</v>
      </c>
      <c r="M391" t="s">
        <v>21</v>
      </c>
    </row>
    <row r="392" spans="1:13">
      <c r="A392" t="s">
        <v>724</v>
      </c>
      <c r="B392" t="s">
        <v>143</v>
      </c>
      <c r="C392" t="s">
        <v>129</v>
      </c>
      <c r="D392" t="s">
        <v>16</v>
      </c>
      <c r="E392" t="s">
        <v>17</v>
      </c>
      <c r="F392" t="s">
        <v>100</v>
      </c>
      <c r="G392" t="s">
        <v>19</v>
      </c>
      <c r="H392" t="s">
        <v>36</v>
      </c>
      <c r="I392">
        <v>12640</v>
      </c>
      <c r="J392">
        <v>8</v>
      </c>
      <c r="K392">
        <v>3.9</v>
      </c>
      <c r="L392">
        <v>6</v>
      </c>
      <c r="M392" t="s">
        <v>144</v>
      </c>
    </row>
    <row r="393" spans="1:13">
      <c r="A393" t="s">
        <v>725</v>
      </c>
      <c r="B393" t="s">
        <v>135</v>
      </c>
      <c r="C393" t="s">
        <v>170</v>
      </c>
      <c r="D393" t="s">
        <v>109</v>
      </c>
      <c r="E393" t="s">
        <v>52</v>
      </c>
      <c r="F393" t="s">
        <v>53</v>
      </c>
      <c r="G393" t="s">
        <v>28</v>
      </c>
      <c r="H393" t="s">
        <v>36</v>
      </c>
      <c r="I393">
        <v>2958</v>
      </c>
      <c r="J393">
        <v>2</v>
      </c>
      <c r="K393">
        <v>4.5999999999999996</v>
      </c>
      <c r="L393">
        <v>2</v>
      </c>
      <c r="M393" t="s">
        <v>21</v>
      </c>
    </row>
    <row r="394" spans="1:13">
      <c r="A394" t="s">
        <v>726</v>
      </c>
      <c r="B394" t="s">
        <v>727</v>
      </c>
      <c r="C394" t="s">
        <v>146</v>
      </c>
      <c r="D394" t="s">
        <v>63</v>
      </c>
      <c r="E394" t="s">
        <v>52</v>
      </c>
      <c r="F394" t="s">
        <v>100</v>
      </c>
      <c r="G394" t="s">
        <v>104</v>
      </c>
      <c r="H394" t="s">
        <v>64</v>
      </c>
      <c r="I394">
        <v>13272</v>
      </c>
      <c r="J394">
        <v>6</v>
      </c>
      <c r="K394">
        <v>3.4</v>
      </c>
      <c r="L394">
        <v>3</v>
      </c>
      <c r="M394" t="s">
        <v>126</v>
      </c>
    </row>
    <row r="395" spans="1:13">
      <c r="A395" t="s">
        <v>728</v>
      </c>
      <c r="B395" t="s">
        <v>729</v>
      </c>
      <c r="C395" t="s">
        <v>129</v>
      </c>
      <c r="D395" t="s">
        <v>41</v>
      </c>
      <c r="E395" t="s">
        <v>42</v>
      </c>
      <c r="F395" t="s">
        <v>18</v>
      </c>
      <c r="G395" t="s">
        <v>19</v>
      </c>
      <c r="H395" t="s">
        <v>29</v>
      </c>
      <c r="I395">
        <v>25445</v>
      </c>
      <c r="J395">
        <v>5</v>
      </c>
      <c r="K395">
        <v>3.6</v>
      </c>
      <c r="L395">
        <v>6</v>
      </c>
      <c r="M395" t="s">
        <v>65</v>
      </c>
    </row>
    <row r="396" spans="1:13">
      <c r="A396" t="s">
        <v>730</v>
      </c>
      <c r="B396" t="s">
        <v>731</v>
      </c>
      <c r="C396" t="s">
        <v>170</v>
      </c>
      <c r="D396" t="s">
        <v>218</v>
      </c>
      <c r="E396" t="s">
        <v>17</v>
      </c>
      <c r="F396" t="s">
        <v>27</v>
      </c>
      <c r="G396" t="s">
        <v>54</v>
      </c>
      <c r="H396" t="s">
        <v>29</v>
      </c>
      <c r="I396">
        <v>4407</v>
      </c>
      <c r="J396">
        <v>3</v>
      </c>
      <c r="K396">
        <v>4.8</v>
      </c>
      <c r="L396">
        <v>5</v>
      </c>
      <c r="M396" t="s">
        <v>55</v>
      </c>
    </row>
    <row r="397" spans="1:13">
      <c r="A397" t="s">
        <v>732</v>
      </c>
      <c r="B397" t="s">
        <v>220</v>
      </c>
      <c r="C397" t="s">
        <v>129</v>
      </c>
      <c r="D397" t="s">
        <v>41</v>
      </c>
      <c r="E397" t="s">
        <v>42</v>
      </c>
      <c r="F397" t="s">
        <v>18</v>
      </c>
      <c r="G397" t="s">
        <v>19</v>
      </c>
      <c r="H397" t="s">
        <v>36</v>
      </c>
      <c r="I397">
        <v>9880</v>
      </c>
      <c r="J397">
        <v>4</v>
      </c>
      <c r="K397">
        <v>3.7</v>
      </c>
      <c r="L397">
        <v>2</v>
      </c>
      <c r="M397" t="s">
        <v>65</v>
      </c>
    </row>
    <row r="398" spans="1:13">
      <c r="A398" t="s">
        <v>733</v>
      </c>
      <c r="B398" t="s">
        <v>734</v>
      </c>
      <c r="C398" t="s">
        <v>68</v>
      </c>
      <c r="D398" t="s">
        <v>41</v>
      </c>
      <c r="E398" t="s">
        <v>42</v>
      </c>
      <c r="F398" t="s">
        <v>100</v>
      </c>
      <c r="G398" t="s">
        <v>19</v>
      </c>
      <c r="H398" t="s">
        <v>20</v>
      </c>
      <c r="I398">
        <v>14967</v>
      </c>
      <c r="J398">
        <v>3</v>
      </c>
      <c r="K398">
        <v>4.5999999999999996</v>
      </c>
      <c r="L398">
        <v>3</v>
      </c>
      <c r="M398" t="s">
        <v>65</v>
      </c>
    </row>
    <row r="399" spans="1:13">
      <c r="A399" t="s">
        <v>735</v>
      </c>
      <c r="B399" t="s">
        <v>454</v>
      </c>
      <c r="C399" t="s">
        <v>68</v>
      </c>
      <c r="D399" t="s">
        <v>116</v>
      </c>
      <c r="E399" t="s">
        <v>17</v>
      </c>
      <c r="F399" t="s">
        <v>100</v>
      </c>
      <c r="G399" t="s">
        <v>104</v>
      </c>
      <c r="H399" t="s">
        <v>36</v>
      </c>
      <c r="I399">
        <v>616</v>
      </c>
      <c r="J399">
        <v>2</v>
      </c>
      <c r="K399">
        <v>3.8</v>
      </c>
      <c r="L399">
        <v>1</v>
      </c>
      <c r="M399" t="s">
        <v>55</v>
      </c>
    </row>
    <row r="400" spans="1:13">
      <c r="A400" t="s">
        <v>736</v>
      </c>
      <c r="B400" t="s">
        <v>737</v>
      </c>
      <c r="C400" t="s">
        <v>68</v>
      </c>
      <c r="D400" t="s">
        <v>59</v>
      </c>
      <c r="E400" t="s">
        <v>26</v>
      </c>
      <c r="F400" t="s">
        <v>53</v>
      </c>
      <c r="G400" t="s">
        <v>19</v>
      </c>
      <c r="H400" t="s">
        <v>20</v>
      </c>
      <c r="I400">
        <v>21328</v>
      </c>
      <c r="J400">
        <v>4</v>
      </c>
      <c r="K400">
        <v>4.2</v>
      </c>
      <c r="L400">
        <v>8</v>
      </c>
      <c r="M400" t="s">
        <v>192</v>
      </c>
    </row>
    <row r="401" spans="1:13">
      <c r="A401" t="s">
        <v>738</v>
      </c>
      <c r="B401" t="s">
        <v>739</v>
      </c>
      <c r="C401" t="s">
        <v>58</v>
      </c>
      <c r="D401" t="s">
        <v>113</v>
      </c>
      <c r="E401" t="s">
        <v>35</v>
      </c>
      <c r="F401" t="s">
        <v>83</v>
      </c>
      <c r="G401" t="s">
        <v>19</v>
      </c>
      <c r="H401" t="s">
        <v>36</v>
      </c>
      <c r="I401">
        <v>96832</v>
      </c>
      <c r="J401">
        <v>2</v>
      </c>
      <c r="K401">
        <v>3.7</v>
      </c>
      <c r="L401">
        <v>5</v>
      </c>
      <c r="M401" t="s">
        <v>144</v>
      </c>
    </row>
    <row r="402" spans="1:13">
      <c r="A402" t="s">
        <v>740</v>
      </c>
      <c r="B402" t="s">
        <v>624</v>
      </c>
      <c r="C402" t="s">
        <v>33</v>
      </c>
      <c r="D402" t="s">
        <v>165</v>
      </c>
      <c r="E402" t="s">
        <v>35</v>
      </c>
      <c r="F402" t="s">
        <v>18</v>
      </c>
      <c r="G402" t="s">
        <v>28</v>
      </c>
      <c r="H402" t="s">
        <v>64</v>
      </c>
      <c r="I402">
        <v>50400</v>
      </c>
      <c r="J402">
        <v>8</v>
      </c>
      <c r="K402">
        <v>3.3</v>
      </c>
      <c r="L402">
        <v>7</v>
      </c>
      <c r="M402" t="s">
        <v>126</v>
      </c>
    </row>
    <row r="403" spans="1:13">
      <c r="A403" t="s">
        <v>741</v>
      </c>
      <c r="B403" t="s">
        <v>595</v>
      </c>
      <c r="C403" t="s">
        <v>58</v>
      </c>
      <c r="D403" t="s">
        <v>51</v>
      </c>
      <c r="E403" t="s">
        <v>52</v>
      </c>
      <c r="F403" t="s">
        <v>83</v>
      </c>
      <c r="G403" t="s">
        <v>54</v>
      </c>
      <c r="H403" t="s">
        <v>64</v>
      </c>
      <c r="I403">
        <v>9666</v>
      </c>
      <c r="J403">
        <v>6</v>
      </c>
      <c r="K403">
        <v>5</v>
      </c>
      <c r="L403">
        <v>8</v>
      </c>
      <c r="M403" t="s">
        <v>192</v>
      </c>
    </row>
    <row r="404" spans="1:13">
      <c r="A404" t="s">
        <v>742</v>
      </c>
      <c r="B404" t="s">
        <v>743</v>
      </c>
      <c r="C404" t="s">
        <v>50</v>
      </c>
      <c r="D404" t="s">
        <v>116</v>
      </c>
      <c r="E404" t="s">
        <v>17</v>
      </c>
      <c r="F404" t="s">
        <v>83</v>
      </c>
      <c r="G404" t="s">
        <v>104</v>
      </c>
      <c r="H404" t="s">
        <v>29</v>
      </c>
      <c r="I404">
        <v>10104</v>
      </c>
      <c r="J404">
        <v>8</v>
      </c>
      <c r="K404">
        <v>3.7</v>
      </c>
      <c r="L404">
        <v>6</v>
      </c>
      <c r="M404" t="s">
        <v>126</v>
      </c>
    </row>
    <row r="405" spans="1:13">
      <c r="A405" t="s">
        <v>744</v>
      </c>
      <c r="B405" t="s">
        <v>308</v>
      </c>
      <c r="C405" t="s">
        <v>129</v>
      </c>
      <c r="D405" t="s">
        <v>90</v>
      </c>
      <c r="E405" t="s">
        <v>42</v>
      </c>
      <c r="F405" t="s">
        <v>100</v>
      </c>
      <c r="G405" t="s">
        <v>19</v>
      </c>
      <c r="H405" t="s">
        <v>36</v>
      </c>
      <c r="I405">
        <v>9242</v>
      </c>
      <c r="J405">
        <v>2</v>
      </c>
      <c r="K405">
        <v>4.7</v>
      </c>
      <c r="L405">
        <v>5</v>
      </c>
      <c r="M405" t="s">
        <v>144</v>
      </c>
    </row>
    <row r="406" spans="1:13">
      <c r="A406" t="s">
        <v>745</v>
      </c>
      <c r="B406" t="s">
        <v>681</v>
      </c>
      <c r="C406" t="s">
        <v>78</v>
      </c>
      <c r="D406" t="s">
        <v>41</v>
      </c>
      <c r="E406" t="s">
        <v>42</v>
      </c>
      <c r="F406" t="s">
        <v>83</v>
      </c>
      <c r="G406" t="s">
        <v>28</v>
      </c>
      <c r="H406" t="s">
        <v>64</v>
      </c>
      <c r="I406">
        <v>7966</v>
      </c>
      <c r="J406">
        <v>2</v>
      </c>
      <c r="K406">
        <v>3.9</v>
      </c>
      <c r="L406">
        <v>4</v>
      </c>
      <c r="M406" t="s">
        <v>126</v>
      </c>
    </row>
    <row r="407" spans="1:13">
      <c r="A407" t="s">
        <v>746</v>
      </c>
      <c r="B407" t="s">
        <v>475</v>
      </c>
      <c r="C407" t="s">
        <v>58</v>
      </c>
      <c r="D407" t="s">
        <v>218</v>
      </c>
      <c r="E407" t="s">
        <v>17</v>
      </c>
      <c r="F407" t="s">
        <v>60</v>
      </c>
      <c r="G407" t="s">
        <v>54</v>
      </c>
      <c r="H407" t="s">
        <v>64</v>
      </c>
      <c r="I407">
        <v>8337</v>
      </c>
      <c r="J407">
        <v>7</v>
      </c>
      <c r="K407">
        <v>4.4000000000000004</v>
      </c>
      <c r="L407">
        <v>2</v>
      </c>
      <c r="M407" t="s">
        <v>37</v>
      </c>
    </row>
    <row r="408" spans="1:13">
      <c r="A408" t="s">
        <v>747</v>
      </c>
      <c r="B408" t="s">
        <v>564</v>
      </c>
      <c r="C408" t="s">
        <v>170</v>
      </c>
      <c r="D408" t="s">
        <v>165</v>
      </c>
      <c r="E408" t="s">
        <v>35</v>
      </c>
      <c r="F408" t="s">
        <v>60</v>
      </c>
      <c r="G408" t="s">
        <v>54</v>
      </c>
      <c r="H408" t="s">
        <v>36</v>
      </c>
      <c r="I408">
        <v>445504</v>
      </c>
      <c r="J408">
        <v>8</v>
      </c>
      <c r="K408">
        <v>3.4</v>
      </c>
      <c r="L408">
        <v>7</v>
      </c>
      <c r="M408" t="s">
        <v>87</v>
      </c>
    </row>
    <row r="409" spans="1:13">
      <c r="A409" t="s">
        <v>748</v>
      </c>
      <c r="B409" t="s">
        <v>640</v>
      </c>
      <c r="C409" t="s">
        <v>179</v>
      </c>
      <c r="D409" t="s">
        <v>63</v>
      </c>
      <c r="E409" t="s">
        <v>52</v>
      </c>
      <c r="F409" t="s">
        <v>83</v>
      </c>
      <c r="G409" t="s">
        <v>104</v>
      </c>
      <c r="H409" t="s">
        <v>29</v>
      </c>
      <c r="I409">
        <v>861</v>
      </c>
      <c r="J409">
        <v>1</v>
      </c>
      <c r="K409">
        <v>3.9</v>
      </c>
      <c r="L409">
        <v>8</v>
      </c>
      <c r="M409" t="s">
        <v>30</v>
      </c>
    </row>
    <row r="410" spans="1:13">
      <c r="A410" t="s">
        <v>749</v>
      </c>
      <c r="B410" t="s">
        <v>391</v>
      </c>
      <c r="C410" t="s">
        <v>33</v>
      </c>
      <c r="D410" t="s">
        <v>59</v>
      </c>
      <c r="E410" t="s">
        <v>26</v>
      </c>
      <c r="F410" t="s">
        <v>53</v>
      </c>
      <c r="G410" t="s">
        <v>54</v>
      </c>
      <c r="H410" t="s">
        <v>36</v>
      </c>
      <c r="I410">
        <v>44532</v>
      </c>
      <c r="J410">
        <v>6</v>
      </c>
      <c r="K410">
        <v>4.7</v>
      </c>
      <c r="L410">
        <v>5</v>
      </c>
      <c r="M410" t="s">
        <v>47</v>
      </c>
    </row>
    <row r="411" spans="1:13">
      <c r="A411" t="s">
        <v>750</v>
      </c>
      <c r="B411" t="s">
        <v>675</v>
      </c>
      <c r="C411" t="s">
        <v>50</v>
      </c>
      <c r="D411" t="s">
        <v>59</v>
      </c>
      <c r="E411" t="s">
        <v>26</v>
      </c>
      <c r="F411" t="s">
        <v>60</v>
      </c>
      <c r="G411" t="s">
        <v>28</v>
      </c>
      <c r="H411" t="s">
        <v>20</v>
      </c>
      <c r="I411">
        <v>36295</v>
      </c>
      <c r="J411">
        <v>5</v>
      </c>
      <c r="K411">
        <v>4.3</v>
      </c>
      <c r="L411">
        <v>7</v>
      </c>
      <c r="M411" t="s">
        <v>87</v>
      </c>
    </row>
    <row r="412" spans="1:13">
      <c r="A412" t="s">
        <v>751</v>
      </c>
      <c r="B412" t="s">
        <v>752</v>
      </c>
      <c r="C412" t="s">
        <v>72</v>
      </c>
      <c r="D412" t="s">
        <v>51</v>
      </c>
      <c r="E412" t="s">
        <v>52</v>
      </c>
      <c r="F412" t="s">
        <v>18</v>
      </c>
      <c r="G412" t="s">
        <v>54</v>
      </c>
      <c r="H412" t="s">
        <v>36</v>
      </c>
      <c r="I412">
        <v>7300</v>
      </c>
      <c r="J412">
        <v>4</v>
      </c>
      <c r="K412">
        <v>3.7</v>
      </c>
      <c r="L412">
        <v>3</v>
      </c>
      <c r="M412" t="s">
        <v>80</v>
      </c>
    </row>
    <row r="413" spans="1:13">
      <c r="A413" t="s">
        <v>753</v>
      </c>
      <c r="B413" t="s">
        <v>275</v>
      </c>
      <c r="C413" t="s">
        <v>45</v>
      </c>
      <c r="D413" t="s">
        <v>51</v>
      </c>
      <c r="E413" t="s">
        <v>52</v>
      </c>
      <c r="F413" t="s">
        <v>83</v>
      </c>
      <c r="G413" t="s">
        <v>28</v>
      </c>
      <c r="H413" t="s">
        <v>64</v>
      </c>
      <c r="I413">
        <v>4172</v>
      </c>
      <c r="J413">
        <v>7</v>
      </c>
      <c r="K413">
        <v>4.7</v>
      </c>
      <c r="L413">
        <v>7</v>
      </c>
      <c r="M413" t="s">
        <v>119</v>
      </c>
    </row>
    <row r="414" spans="1:13">
      <c r="A414" t="s">
        <v>754</v>
      </c>
      <c r="B414" t="s">
        <v>352</v>
      </c>
      <c r="C414" t="s">
        <v>112</v>
      </c>
      <c r="D414" t="s">
        <v>69</v>
      </c>
      <c r="E414" t="s">
        <v>26</v>
      </c>
      <c r="F414" t="s">
        <v>53</v>
      </c>
      <c r="G414" t="s">
        <v>28</v>
      </c>
      <c r="H414" t="s">
        <v>29</v>
      </c>
      <c r="I414">
        <v>5526</v>
      </c>
      <c r="J414">
        <v>6</v>
      </c>
      <c r="K414">
        <v>4.2</v>
      </c>
      <c r="L414">
        <v>4</v>
      </c>
      <c r="M414" t="s">
        <v>55</v>
      </c>
    </row>
    <row r="415" spans="1:13">
      <c r="A415" t="s">
        <v>755</v>
      </c>
      <c r="B415" t="s">
        <v>756</v>
      </c>
      <c r="C415" t="s">
        <v>72</v>
      </c>
      <c r="D415" t="s">
        <v>16</v>
      </c>
      <c r="E415" t="s">
        <v>17</v>
      </c>
      <c r="F415" t="s">
        <v>27</v>
      </c>
      <c r="G415" t="s">
        <v>104</v>
      </c>
      <c r="H415" t="s">
        <v>64</v>
      </c>
      <c r="I415">
        <v>13944</v>
      </c>
      <c r="J415">
        <v>8</v>
      </c>
      <c r="K415">
        <v>4.9000000000000004</v>
      </c>
      <c r="L415">
        <v>2</v>
      </c>
      <c r="M415" t="s">
        <v>30</v>
      </c>
    </row>
    <row r="416" spans="1:13">
      <c r="A416" t="s">
        <v>757</v>
      </c>
      <c r="B416" t="s">
        <v>169</v>
      </c>
      <c r="C416" t="s">
        <v>45</v>
      </c>
      <c r="D416" t="s">
        <v>25</v>
      </c>
      <c r="E416" t="s">
        <v>26</v>
      </c>
      <c r="F416" t="s">
        <v>18</v>
      </c>
      <c r="G416" t="s">
        <v>104</v>
      </c>
      <c r="H416" t="s">
        <v>36</v>
      </c>
      <c r="I416">
        <v>19268</v>
      </c>
      <c r="J416">
        <v>2</v>
      </c>
      <c r="K416">
        <v>4.5999999999999996</v>
      </c>
      <c r="L416">
        <v>5</v>
      </c>
      <c r="M416" t="s">
        <v>65</v>
      </c>
    </row>
    <row r="417" spans="1:13">
      <c r="A417" t="s">
        <v>758</v>
      </c>
      <c r="B417" t="s">
        <v>525</v>
      </c>
      <c r="C417" t="s">
        <v>45</v>
      </c>
      <c r="D417" t="s">
        <v>90</v>
      </c>
      <c r="E417" t="s">
        <v>42</v>
      </c>
      <c r="F417" t="s">
        <v>27</v>
      </c>
      <c r="G417" t="s">
        <v>104</v>
      </c>
      <c r="H417" t="s">
        <v>29</v>
      </c>
      <c r="I417">
        <v>28728</v>
      </c>
      <c r="J417">
        <v>8</v>
      </c>
      <c r="K417">
        <v>3.7</v>
      </c>
      <c r="L417">
        <v>1</v>
      </c>
      <c r="M417" t="s">
        <v>65</v>
      </c>
    </row>
    <row r="418" spans="1:13">
      <c r="A418" t="s">
        <v>759</v>
      </c>
      <c r="B418" t="s">
        <v>760</v>
      </c>
      <c r="C418" t="s">
        <v>72</v>
      </c>
      <c r="D418" t="s">
        <v>116</v>
      </c>
      <c r="E418" t="s">
        <v>17</v>
      </c>
      <c r="F418" t="s">
        <v>100</v>
      </c>
      <c r="G418" t="s">
        <v>54</v>
      </c>
      <c r="H418" t="s">
        <v>29</v>
      </c>
      <c r="I418">
        <v>4419</v>
      </c>
      <c r="J418">
        <v>3</v>
      </c>
      <c r="K418">
        <v>3.7</v>
      </c>
      <c r="L418">
        <v>2</v>
      </c>
      <c r="M418" t="s">
        <v>30</v>
      </c>
    </row>
    <row r="419" spans="1:13">
      <c r="A419" t="s">
        <v>761</v>
      </c>
      <c r="B419" t="s">
        <v>595</v>
      </c>
      <c r="C419" t="s">
        <v>146</v>
      </c>
      <c r="D419" t="s">
        <v>34</v>
      </c>
      <c r="E419" t="s">
        <v>35</v>
      </c>
      <c r="F419" t="s">
        <v>53</v>
      </c>
      <c r="G419" t="s">
        <v>19</v>
      </c>
      <c r="H419" t="s">
        <v>29</v>
      </c>
      <c r="I419">
        <v>21805</v>
      </c>
      <c r="J419">
        <v>5</v>
      </c>
      <c r="K419">
        <v>3.5</v>
      </c>
      <c r="L419">
        <v>3</v>
      </c>
      <c r="M419" t="s">
        <v>192</v>
      </c>
    </row>
    <row r="420" spans="1:13">
      <c r="A420" t="s">
        <v>762</v>
      </c>
      <c r="B420" t="s">
        <v>763</v>
      </c>
      <c r="C420" t="s">
        <v>50</v>
      </c>
      <c r="D420" t="s">
        <v>51</v>
      </c>
      <c r="E420" t="s">
        <v>52</v>
      </c>
      <c r="F420" t="s">
        <v>83</v>
      </c>
      <c r="G420" t="s">
        <v>28</v>
      </c>
      <c r="H420" t="s">
        <v>20</v>
      </c>
      <c r="I420">
        <v>595</v>
      </c>
      <c r="J420">
        <v>1</v>
      </c>
      <c r="K420">
        <v>4.7</v>
      </c>
      <c r="L420">
        <v>7</v>
      </c>
      <c r="M420" t="s">
        <v>37</v>
      </c>
    </row>
    <row r="421" spans="1:13">
      <c r="A421" t="s">
        <v>764</v>
      </c>
      <c r="B421" t="s">
        <v>697</v>
      </c>
      <c r="C421" t="s">
        <v>78</v>
      </c>
      <c r="D421" t="s">
        <v>109</v>
      </c>
      <c r="E421" t="s">
        <v>52</v>
      </c>
      <c r="F421" t="s">
        <v>83</v>
      </c>
      <c r="G421" t="s">
        <v>28</v>
      </c>
      <c r="H421" t="s">
        <v>64</v>
      </c>
      <c r="I421">
        <v>2325</v>
      </c>
      <c r="J421">
        <v>5</v>
      </c>
      <c r="K421">
        <v>4.0999999999999996</v>
      </c>
      <c r="L421">
        <v>8</v>
      </c>
      <c r="M421" t="s">
        <v>144</v>
      </c>
    </row>
    <row r="422" spans="1:13">
      <c r="A422" t="s">
        <v>765</v>
      </c>
      <c r="B422" t="s">
        <v>404</v>
      </c>
      <c r="C422" t="s">
        <v>68</v>
      </c>
      <c r="D422" t="s">
        <v>46</v>
      </c>
      <c r="E422" t="s">
        <v>42</v>
      </c>
      <c r="F422" t="s">
        <v>100</v>
      </c>
      <c r="G422" t="s">
        <v>104</v>
      </c>
      <c r="H422" t="s">
        <v>64</v>
      </c>
      <c r="I422">
        <v>26803</v>
      </c>
      <c r="J422">
        <v>7</v>
      </c>
      <c r="K422">
        <v>3.8</v>
      </c>
      <c r="L422">
        <v>1</v>
      </c>
      <c r="M422" t="s">
        <v>80</v>
      </c>
    </row>
    <row r="423" spans="1:13">
      <c r="A423" t="s">
        <v>766</v>
      </c>
      <c r="B423" t="s">
        <v>462</v>
      </c>
      <c r="C423" t="s">
        <v>58</v>
      </c>
      <c r="D423" t="s">
        <v>59</v>
      </c>
      <c r="E423" t="s">
        <v>26</v>
      </c>
      <c r="F423" t="s">
        <v>83</v>
      </c>
      <c r="G423" t="s">
        <v>104</v>
      </c>
      <c r="H423" t="s">
        <v>20</v>
      </c>
      <c r="I423">
        <v>36040</v>
      </c>
      <c r="J423">
        <v>5</v>
      </c>
      <c r="K423">
        <v>4</v>
      </c>
      <c r="L423">
        <v>4</v>
      </c>
      <c r="M423" t="s">
        <v>126</v>
      </c>
    </row>
    <row r="424" spans="1:13">
      <c r="A424" t="s">
        <v>767</v>
      </c>
      <c r="B424" t="s">
        <v>605</v>
      </c>
      <c r="C424" t="s">
        <v>129</v>
      </c>
      <c r="D424" t="s">
        <v>165</v>
      </c>
      <c r="E424" t="s">
        <v>35</v>
      </c>
      <c r="F424" t="s">
        <v>83</v>
      </c>
      <c r="G424" t="s">
        <v>104</v>
      </c>
      <c r="H424" t="s">
        <v>29</v>
      </c>
      <c r="I424">
        <v>56403</v>
      </c>
      <c r="J424">
        <v>1</v>
      </c>
      <c r="K424">
        <v>3.4</v>
      </c>
      <c r="L424">
        <v>8</v>
      </c>
      <c r="M424" t="s">
        <v>144</v>
      </c>
    </row>
    <row r="425" spans="1:13">
      <c r="A425" t="s">
        <v>768</v>
      </c>
      <c r="B425" t="s">
        <v>143</v>
      </c>
      <c r="C425" t="s">
        <v>75</v>
      </c>
      <c r="D425" t="s">
        <v>147</v>
      </c>
      <c r="E425" t="s">
        <v>52</v>
      </c>
      <c r="F425" t="s">
        <v>100</v>
      </c>
      <c r="G425" t="s">
        <v>19</v>
      </c>
      <c r="H425" t="s">
        <v>64</v>
      </c>
      <c r="I425">
        <v>2276</v>
      </c>
      <c r="J425">
        <v>2</v>
      </c>
      <c r="K425">
        <v>4.5</v>
      </c>
      <c r="L425">
        <v>2</v>
      </c>
      <c r="M425" t="s">
        <v>144</v>
      </c>
    </row>
    <row r="426" spans="1:13">
      <c r="A426" t="s">
        <v>769</v>
      </c>
      <c r="B426" t="s">
        <v>675</v>
      </c>
      <c r="C426" t="s">
        <v>133</v>
      </c>
      <c r="D426" t="s">
        <v>79</v>
      </c>
      <c r="E426" t="s">
        <v>26</v>
      </c>
      <c r="F426" t="s">
        <v>27</v>
      </c>
      <c r="G426" t="s">
        <v>104</v>
      </c>
      <c r="H426" t="s">
        <v>29</v>
      </c>
      <c r="I426">
        <v>33795</v>
      </c>
      <c r="J426">
        <v>3</v>
      </c>
      <c r="K426">
        <v>4</v>
      </c>
      <c r="L426">
        <v>5</v>
      </c>
      <c r="M426" t="s">
        <v>87</v>
      </c>
    </row>
    <row r="427" spans="1:13">
      <c r="A427" t="s">
        <v>770</v>
      </c>
      <c r="B427" t="s">
        <v>115</v>
      </c>
      <c r="C427" t="s">
        <v>24</v>
      </c>
      <c r="D427" t="s">
        <v>147</v>
      </c>
      <c r="E427" t="s">
        <v>52</v>
      </c>
      <c r="F427" t="s">
        <v>60</v>
      </c>
      <c r="G427" t="s">
        <v>54</v>
      </c>
      <c r="H427" t="s">
        <v>64</v>
      </c>
      <c r="I427">
        <v>1841</v>
      </c>
      <c r="J427">
        <v>1</v>
      </c>
      <c r="K427">
        <v>4.9000000000000004</v>
      </c>
      <c r="L427">
        <v>5</v>
      </c>
      <c r="M427" t="s">
        <v>21</v>
      </c>
    </row>
    <row r="428" spans="1:13">
      <c r="A428" t="s">
        <v>771</v>
      </c>
      <c r="B428" t="s">
        <v>393</v>
      </c>
      <c r="C428" t="s">
        <v>146</v>
      </c>
      <c r="D428" t="s">
        <v>51</v>
      </c>
      <c r="E428" t="s">
        <v>52</v>
      </c>
      <c r="F428" t="s">
        <v>27</v>
      </c>
      <c r="G428" t="s">
        <v>104</v>
      </c>
      <c r="H428" t="s">
        <v>36</v>
      </c>
      <c r="I428">
        <v>6712</v>
      </c>
      <c r="J428">
        <v>8</v>
      </c>
      <c r="K428">
        <v>4.3</v>
      </c>
      <c r="L428">
        <v>2</v>
      </c>
      <c r="M428" t="s">
        <v>37</v>
      </c>
    </row>
    <row r="429" spans="1:13">
      <c r="A429" t="s">
        <v>772</v>
      </c>
      <c r="B429" t="s">
        <v>589</v>
      </c>
      <c r="C429" t="s">
        <v>50</v>
      </c>
      <c r="D429" t="s">
        <v>16</v>
      </c>
      <c r="E429" t="s">
        <v>17</v>
      </c>
      <c r="F429" t="s">
        <v>53</v>
      </c>
      <c r="G429" t="s">
        <v>19</v>
      </c>
      <c r="H429" t="s">
        <v>29</v>
      </c>
      <c r="I429">
        <v>6065</v>
      </c>
      <c r="J429">
        <v>5</v>
      </c>
      <c r="K429">
        <v>4.4000000000000004</v>
      </c>
      <c r="L429">
        <v>1</v>
      </c>
      <c r="M429" t="s">
        <v>87</v>
      </c>
    </row>
    <row r="430" spans="1:13">
      <c r="A430" t="s">
        <v>773</v>
      </c>
      <c r="B430" t="s">
        <v>326</v>
      </c>
      <c r="C430" t="s">
        <v>125</v>
      </c>
      <c r="D430" t="s">
        <v>41</v>
      </c>
      <c r="E430" t="s">
        <v>42</v>
      </c>
      <c r="F430" t="s">
        <v>18</v>
      </c>
      <c r="G430" t="s">
        <v>104</v>
      </c>
      <c r="H430" t="s">
        <v>29</v>
      </c>
      <c r="I430">
        <v>10192</v>
      </c>
      <c r="J430">
        <v>8</v>
      </c>
      <c r="K430">
        <v>3.6</v>
      </c>
      <c r="L430">
        <v>7</v>
      </c>
      <c r="M430" t="s">
        <v>65</v>
      </c>
    </row>
    <row r="431" spans="1:13">
      <c r="A431" t="s">
        <v>774</v>
      </c>
      <c r="B431" t="s">
        <v>217</v>
      </c>
      <c r="C431" t="s">
        <v>179</v>
      </c>
      <c r="D431" t="s">
        <v>97</v>
      </c>
      <c r="E431" t="s">
        <v>35</v>
      </c>
      <c r="F431" t="s">
        <v>83</v>
      </c>
      <c r="G431" t="s">
        <v>54</v>
      </c>
      <c r="H431" t="s">
        <v>64</v>
      </c>
      <c r="I431">
        <v>94144</v>
      </c>
      <c r="J431">
        <v>2</v>
      </c>
      <c r="K431">
        <v>4.5999999999999996</v>
      </c>
      <c r="L431">
        <v>5</v>
      </c>
      <c r="M431" t="s">
        <v>144</v>
      </c>
    </row>
    <row r="432" spans="1:13">
      <c r="A432" t="s">
        <v>775</v>
      </c>
      <c r="B432" t="s">
        <v>298</v>
      </c>
      <c r="C432" t="s">
        <v>72</v>
      </c>
      <c r="D432" t="s">
        <v>109</v>
      </c>
      <c r="E432" t="s">
        <v>52</v>
      </c>
      <c r="F432" t="s">
        <v>18</v>
      </c>
      <c r="G432" t="s">
        <v>19</v>
      </c>
      <c r="H432" t="s">
        <v>36</v>
      </c>
      <c r="I432">
        <v>12047</v>
      </c>
      <c r="J432">
        <v>7</v>
      </c>
      <c r="K432">
        <v>4</v>
      </c>
      <c r="L432">
        <v>4</v>
      </c>
      <c r="M432" t="s">
        <v>119</v>
      </c>
    </row>
    <row r="433" spans="1:13">
      <c r="A433" t="s">
        <v>776</v>
      </c>
      <c r="B433" t="s">
        <v>74</v>
      </c>
      <c r="C433" t="s">
        <v>15</v>
      </c>
      <c r="D433" t="s">
        <v>79</v>
      </c>
      <c r="E433" t="s">
        <v>26</v>
      </c>
      <c r="F433" t="s">
        <v>18</v>
      </c>
      <c r="G433" t="s">
        <v>104</v>
      </c>
      <c r="H433" t="s">
        <v>36</v>
      </c>
      <c r="I433">
        <v>66836</v>
      </c>
      <c r="J433">
        <v>7</v>
      </c>
      <c r="K433">
        <v>4.9000000000000004</v>
      </c>
      <c r="L433">
        <v>8</v>
      </c>
      <c r="M433" t="s">
        <v>65</v>
      </c>
    </row>
    <row r="434" spans="1:13">
      <c r="A434" t="s">
        <v>777</v>
      </c>
      <c r="B434" t="s">
        <v>176</v>
      </c>
      <c r="C434" t="s">
        <v>75</v>
      </c>
      <c r="D434" t="s">
        <v>113</v>
      </c>
      <c r="E434" t="s">
        <v>35</v>
      </c>
      <c r="F434" t="s">
        <v>18</v>
      </c>
      <c r="G434" t="s">
        <v>19</v>
      </c>
      <c r="H434" t="s">
        <v>64</v>
      </c>
      <c r="I434">
        <v>125158</v>
      </c>
      <c r="J434">
        <v>2</v>
      </c>
      <c r="K434">
        <v>4.5</v>
      </c>
      <c r="L434">
        <v>4</v>
      </c>
      <c r="M434" t="s">
        <v>55</v>
      </c>
    </row>
    <row r="435" spans="1:13">
      <c r="A435" t="s">
        <v>778</v>
      </c>
      <c r="B435" t="s">
        <v>215</v>
      </c>
      <c r="C435" t="s">
        <v>68</v>
      </c>
      <c r="D435" t="s">
        <v>116</v>
      </c>
      <c r="E435" t="s">
        <v>17</v>
      </c>
      <c r="F435" t="s">
        <v>60</v>
      </c>
      <c r="G435" t="s">
        <v>19</v>
      </c>
      <c r="H435" t="s">
        <v>36</v>
      </c>
      <c r="I435">
        <v>797</v>
      </c>
      <c r="J435">
        <v>1</v>
      </c>
      <c r="K435">
        <v>3.3</v>
      </c>
      <c r="L435">
        <v>5</v>
      </c>
      <c r="M435" t="s">
        <v>192</v>
      </c>
    </row>
    <row r="436" spans="1:13">
      <c r="A436" t="s">
        <v>779</v>
      </c>
      <c r="B436" t="s">
        <v>220</v>
      </c>
      <c r="C436" t="s">
        <v>58</v>
      </c>
      <c r="D436" t="s">
        <v>16</v>
      </c>
      <c r="E436" t="s">
        <v>17</v>
      </c>
      <c r="F436" t="s">
        <v>100</v>
      </c>
      <c r="G436" t="s">
        <v>19</v>
      </c>
      <c r="H436" t="s">
        <v>29</v>
      </c>
      <c r="I436">
        <v>1716</v>
      </c>
      <c r="J436">
        <v>4</v>
      </c>
      <c r="K436">
        <v>3.9</v>
      </c>
      <c r="L436">
        <v>2</v>
      </c>
      <c r="M436" t="s">
        <v>65</v>
      </c>
    </row>
    <row r="437" spans="1:13">
      <c r="A437" t="s">
        <v>780</v>
      </c>
      <c r="B437" t="s">
        <v>489</v>
      </c>
      <c r="C437" t="s">
        <v>129</v>
      </c>
      <c r="D437" t="s">
        <v>147</v>
      </c>
      <c r="E437" t="s">
        <v>52</v>
      </c>
      <c r="F437" t="s">
        <v>100</v>
      </c>
      <c r="G437" t="s">
        <v>19</v>
      </c>
      <c r="H437" t="s">
        <v>64</v>
      </c>
      <c r="I437">
        <v>1524</v>
      </c>
      <c r="J437">
        <v>3</v>
      </c>
      <c r="K437">
        <v>4.5999999999999996</v>
      </c>
      <c r="L437">
        <v>3</v>
      </c>
      <c r="M437" t="s">
        <v>30</v>
      </c>
    </row>
    <row r="438" spans="1:13">
      <c r="A438" t="s">
        <v>781</v>
      </c>
      <c r="B438" t="s">
        <v>670</v>
      </c>
      <c r="C438" t="s">
        <v>24</v>
      </c>
      <c r="D438" t="s">
        <v>147</v>
      </c>
      <c r="E438" t="s">
        <v>52</v>
      </c>
      <c r="F438" t="s">
        <v>18</v>
      </c>
      <c r="G438" t="s">
        <v>104</v>
      </c>
      <c r="H438" t="s">
        <v>64</v>
      </c>
      <c r="I438">
        <v>3580</v>
      </c>
      <c r="J438">
        <v>2</v>
      </c>
      <c r="K438">
        <v>3.3</v>
      </c>
      <c r="L438">
        <v>1</v>
      </c>
      <c r="M438" t="s">
        <v>80</v>
      </c>
    </row>
    <row r="439" spans="1:13">
      <c r="A439" t="s">
        <v>782</v>
      </c>
      <c r="B439" t="s">
        <v>635</v>
      </c>
      <c r="C439" t="s">
        <v>45</v>
      </c>
      <c r="D439" t="s">
        <v>159</v>
      </c>
      <c r="E439" t="s">
        <v>42</v>
      </c>
      <c r="F439" t="s">
        <v>27</v>
      </c>
      <c r="G439" t="s">
        <v>54</v>
      </c>
      <c r="H439" t="s">
        <v>20</v>
      </c>
      <c r="I439">
        <v>13167</v>
      </c>
      <c r="J439">
        <v>3</v>
      </c>
      <c r="K439">
        <v>3.6</v>
      </c>
      <c r="L439">
        <v>3</v>
      </c>
      <c r="M439" t="s">
        <v>37</v>
      </c>
    </row>
    <row r="440" spans="1:13">
      <c r="A440" t="s">
        <v>783</v>
      </c>
      <c r="B440" t="s">
        <v>784</v>
      </c>
      <c r="C440" t="s">
        <v>45</v>
      </c>
      <c r="D440" t="s">
        <v>41</v>
      </c>
      <c r="E440" t="s">
        <v>42</v>
      </c>
      <c r="F440" t="s">
        <v>53</v>
      </c>
      <c r="G440" t="s">
        <v>19</v>
      </c>
      <c r="H440" t="s">
        <v>64</v>
      </c>
      <c r="I440">
        <v>26340</v>
      </c>
      <c r="J440">
        <v>5</v>
      </c>
      <c r="K440">
        <v>3.5</v>
      </c>
      <c r="L440">
        <v>2</v>
      </c>
      <c r="M440" t="s">
        <v>192</v>
      </c>
    </row>
    <row r="441" spans="1:13">
      <c r="A441" t="s">
        <v>785</v>
      </c>
      <c r="B441" t="s">
        <v>697</v>
      </c>
      <c r="C441" t="s">
        <v>33</v>
      </c>
      <c r="D441" t="s">
        <v>109</v>
      </c>
      <c r="E441" t="s">
        <v>52</v>
      </c>
      <c r="F441" t="s">
        <v>27</v>
      </c>
      <c r="G441" t="s">
        <v>104</v>
      </c>
      <c r="H441" t="s">
        <v>29</v>
      </c>
      <c r="I441">
        <v>3444</v>
      </c>
      <c r="J441">
        <v>4</v>
      </c>
      <c r="K441">
        <v>3.5</v>
      </c>
      <c r="L441">
        <v>1</v>
      </c>
      <c r="M441" t="s">
        <v>144</v>
      </c>
    </row>
    <row r="442" spans="1:13">
      <c r="A442" t="s">
        <v>786</v>
      </c>
      <c r="B442" t="s">
        <v>195</v>
      </c>
      <c r="C442" t="s">
        <v>24</v>
      </c>
      <c r="D442" t="s">
        <v>51</v>
      </c>
      <c r="E442" t="s">
        <v>52</v>
      </c>
      <c r="F442" t="s">
        <v>18</v>
      </c>
      <c r="G442" t="s">
        <v>28</v>
      </c>
      <c r="H442" t="s">
        <v>36</v>
      </c>
      <c r="I442">
        <v>12636</v>
      </c>
      <c r="J442">
        <v>6</v>
      </c>
      <c r="K442">
        <v>4.9000000000000004</v>
      </c>
      <c r="L442">
        <v>3</v>
      </c>
      <c r="M442" t="s">
        <v>21</v>
      </c>
    </row>
    <row r="443" spans="1:13">
      <c r="A443" t="s">
        <v>787</v>
      </c>
      <c r="B443" t="s">
        <v>313</v>
      </c>
      <c r="C443" t="s">
        <v>122</v>
      </c>
      <c r="D443" t="s">
        <v>86</v>
      </c>
      <c r="E443" t="s">
        <v>17</v>
      </c>
      <c r="F443" t="s">
        <v>27</v>
      </c>
      <c r="G443" t="s">
        <v>28</v>
      </c>
      <c r="H443" t="s">
        <v>20</v>
      </c>
      <c r="I443">
        <v>6948</v>
      </c>
      <c r="J443">
        <v>6</v>
      </c>
      <c r="K443">
        <v>3.8</v>
      </c>
      <c r="L443">
        <v>2</v>
      </c>
      <c r="M443" t="s">
        <v>47</v>
      </c>
    </row>
    <row r="444" spans="1:13">
      <c r="A444" t="s">
        <v>788</v>
      </c>
      <c r="B444" t="s">
        <v>185</v>
      </c>
      <c r="C444" t="s">
        <v>24</v>
      </c>
      <c r="D444" t="s">
        <v>159</v>
      </c>
      <c r="E444" t="s">
        <v>42</v>
      </c>
      <c r="F444" t="s">
        <v>60</v>
      </c>
      <c r="G444" t="s">
        <v>104</v>
      </c>
      <c r="H444" t="s">
        <v>20</v>
      </c>
      <c r="I444">
        <v>34160</v>
      </c>
      <c r="J444">
        <v>8</v>
      </c>
      <c r="K444">
        <v>3.6</v>
      </c>
      <c r="L444">
        <v>8</v>
      </c>
      <c r="M444" t="s">
        <v>87</v>
      </c>
    </row>
    <row r="445" spans="1:13">
      <c r="A445" t="s">
        <v>789</v>
      </c>
      <c r="B445" t="s">
        <v>790</v>
      </c>
      <c r="C445" t="s">
        <v>103</v>
      </c>
      <c r="D445" t="s">
        <v>159</v>
      </c>
      <c r="E445" t="s">
        <v>42</v>
      </c>
      <c r="F445" t="s">
        <v>83</v>
      </c>
      <c r="G445" t="s">
        <v>54</v>
      </c>
      <c r="H445" t="s">
        <v>64</v>
      </c>
      <c r="I445">
        <v>10452</v>
      </c>
      <c r="J445">
        <v>6</v>
      </c>
      <c r="K445">
        <v>4.4000000000000004</v>
      </c>
      <c r="L445">
        <v>1</v>
      </c>
      <c r="M445" t="s">
        <v>192</v>
      </c>
    </row>
    <row r="446" spans="1:13">
      <c r="A446" t="s">
        <v>791</v>
      </c>
      <c r="B446" t="s">
        <v>336</v>
      </c>
      <c r="C446" t="s">
        <v>58</v>
      </c>
      <c r="D446" t="s">
        <v>90</v>
      </c>
      <c r="E446" t="s">
        <v>42</v>
      </c>
      <c r="F446" t="s">
        <v>100</v>
      </c>
      <c r="G446" t="s">
        <v>19</v>
      </c>
      <c r="H446" t="s">
        <v>36</v>
      </c>
      <c r="I446">
        <v>11904</v>
      </c>
      <c r="J446">
        <v>6</v>
      </c>
      <c r="K446">
        <v>4.9000000000000004</v>
      </c>
      <c r="L446">
        <v>3</v>
      </c>
      <c r="M446" t="s">
        <v>80</v>
      </c>
    </row>
    <row r="447" spans="1:13">
      <c r="A447" t="s">
        <v>792</v>
      </c>
      <c r="B447" t="s">
        <v>32</v>
      </c>
      <c r="C447" t="s">
        <v>58</v>
      </c>
      <c r="D447" t="s">
        <v>90</v>
      </c>
      <c r="E447" t="s">
        <v>42</v>
      </c>
      <c r="F447" t="s">
        <v>83</v>
      </c>
      <c r="G447" t="s">
        <v>19</v>
      </c>
      <c r="H447" t="s">
        <v>36</v>
      </c>
      <c r="I447">
        <v>33656</v>
      </c>
      <c r="J447">
        <v>8</v>
      </c>
      <c r="K447">
        <v>3.6</v>
      </c>
      <c r="L447">
        <v>7</v>
      </c>
      <c r="M447" t="s">
        <v>37</v>
      </c>
    </row>
    <row r="448" spans="1:13">
      <c r="A448" t="s">
        <v>793</v>
      </c>
      <c r="B448" t="s">
        <v>583</v>
      </c>
      <c r="C448" t="s">
        <v>146</v>
      </c>
      <c r="D448" t="s">
        <v>41</v>
      </c>
      <c r="E448" t="s">
        <v>42</v>
      </c>
      <c r="F448" t="s">
        <v>60</v>
      </c>
      <c r="G448" t="s">
        <v>19</v>
      </c>
      <c r="H448" t="s">
        <v>36</v>
      </c>
      <c r="I448">
        <v>40400</v>
      </c>
      <c r="J448">
        <v>8</v>
      </c>
      <c r="K448">
        <v>4.0999999999999996</v>
      </c>
      <c r="L448">
        <v>2</v>
      </c>
      <c r="M448" t="s">
        <v>144</v>
      </c>
    </row>
    <row r="449" spans="1:13">
      <c r="A449" t="s">
        <v>794</v>
      </c>
      <c r="B449" t="s">
        <v>411</v>
      </c>
      <c r="C449" t="s">
        <v>15</v>
      </c>
      <c r="D449" t="s">
        <v>25</v>
      </c>
      <c r="E449" t="s">
        <v>26</v>
      </c>
      <c r="F449" t="s">
        <v>60</v>
      </c>
      <c r="G449" t="s">
        <v>104</v>
      </c>
      <c r="H449" t="s">
        <v>20</v>
      </c>
      <c r="I449">
        <v>33012</v>
      </c>
      <c r="J449">
        <v>7</v>
      </c>
      <c r="K449">
        <v>4.4000000000000004</v>
      </c>
      <c r="L449">
        <v>2</v>
      </c>
      <c r="M449" t="s">
        <v>119</v>
      </c>
    </row>
    <row r="450" spans="1:13">
      <c r="A450" t="s">
        <v>795</v>
      </c>
      <c r="B450" t="s">
        <v>44</v>
      </c>
      <c r="C450" t="s">
        <v>75</v>
      </c>
      <c r="D450" t="s">
        <v>41</v>
      </c>
      <c r="E450" t="s">
        <v>42</v>
      </c>
      <c r="F450" t="s">
        <v>60</v>
      </c>
      <c r="G450" t="s">
        <v>104</v>
      </c>
      <c r="H450" t="s">
        <v>36</v>
      </c>
      <c r="I450">
        <v>29872</v>
      </c>
      <c r="J450">
        <v>8</v>
      </c>
      <c r="K450">
        <v>4</v>
      </c>
      <c r="L450">
        <v>1</v>
      </c>
      <c r="M450" t="s">
        <v>47</v>
      </c>
    </row>
    <row r="451" spans="1:13">
      <c r="A451" t="s">
        <v>796</v>
      </c>
      <c r="B451" t="s">
        <v>797</v>
      </c>
      <c r="C451" t="s">
        <v>33</v>
      </c>
      <c r="D451" t="s">
        <v>97</v>
      </c>
      <c r="E451" t="s">
        <v>35</v>
      </c>
      <c r="F451" t="s">
        <v>18</v>
      </c>
      <c r="G451" t="s">
        <v>28</v>
      </c>
      <c r="H451" t="s">
        <v>29</v>
      </c>
      <c r="I451">
        <v>335296</v>
      </c>
      <c r="J451">
        <v>4</v>
      </c>
      <c r="K451">
        <v>4.0999999999999996</v>
      </c>
      <c r="L451">
        <v>6</v>
      </c>
      <c r="M451" t="s">
        <v>21</v>
      </c>
    </row>
    <row r="452" spans="1:13">
      <c r="A452" t="s">
        <v>798</v>
      </c>
      <c r="B452" t="s">
        <v>799</v>
      </c>
      <c r="C452" t="s">
        <v>78</v>
      </c>
      <c r="D452" t="s">
        <v>41</v>
      </c>
      <c r="E452" t="s">
        <v>42</v>
      </c>
      <c r="F452" t="s">
        <v>18</v>
      </c>
      <c r="G452" t="s">
        <v>28</v>
      </c>
      <c r="H452" t="s">
        <v>20</v>
      </c>
      <c r="I452">
        <v>14262</v>
      </c>
      <c r="J452">
        <v>6</v>
      </c>
      <c r="K452">
        <v>5</v>
      </c>
      <c r="L452">
        <v>4</v>
      </c>
      <c r="M452" t="s">
        <v>55</v>
      </c>
    </row>
    <row r="453" spans="1:13">
      <c r="A453" t="s">
        <v>800</v>
      </c>
      <c r="B453" t="s">
        <v>154</v>
      </c>
      <c r="C453" t="s">
        <v>125</v>
      </c>
      <c r="D453" t="s">
        <v>109</v>
      </c>
      <c r="E453" t="s">
        <v>52</v>
      </c>
      <c r="F453" t="s">
        <v>100</v>
      </c>
      <c r="G453" t="s">
        <v>54</v>
      </c>
      <c r="H453" t="s">
        <v>64</v>
      </c>
      <c r="I453">
        <v>9910</v>
      </c>
      <c r="J453">
        <v>5</v>
      </c>
      <c r="K453">
        <v>3.9</v>
      </c>
      <c r="L453">
        <v>8</v>
      </c>
      <c r="M453" t="s">
        <v>126</v>
      </c>
    </row>
    <row r="454" spans="1:13">
      <c r="A454" t="s">
        <v>801</v>
      </c>
      <c r="B454" t="s">
        <v>802</v>
      </c>
      <c r="C454" t="s">
        <v>40</v>
      </c>
      <c r="D454" t="s">
        <v>59</v>
      </c>
      <c r="E454" t="s">
        <v>26</v>
      </c>
      <c r="F454" t="s">
        <v>18</v>
      </c>
      <c r="G454" t="s">
        <v>54</v>
      </c>
      <c r="H454" t="s">
        <v>20</v>
      </c>
      <c r="I454">
        <v>13380</v>
      </c>
      <c r="J454">
        <v>6</v>
      </c>
      <c r="K454">
        <v>3.3</v>
      </c>
      <c r="L454">
        <v>3</v>
      </c>
      <c r="M454" t="s">
        <v>47</v>
      </c>
    </row>
    <row r="455" spans="1:13">
      <c r="A455" t="s">
        <v>803</v>
      </c>
      <c r="B455" t="s">
        <v>298</v>
      </c>
      <c r="C455" t="s">
        <v>78</v>
      </c>
      <c r="D455" t="s">
        <v>113</v>
      </c>
      <c r="E455" t="s">
        <v>35</v>
      </c>
      <c r="F455" t="s">
        <v>83</v>
      </c>
      <c r="G455" t="s">
        <v>28</v>
      </c>
      <c r="H455" t="s">
        <v>29</v>
      </c>
      <c r="I455">
        <v>87816</v>
      </c>
      <c r="J455">
        <v>3</v>
      </c>
      <c r="K455">
        <v>3.2</v>
      </c>
      <c r="L455">
        <v>7</v>
      </c>
      <c r="M455" t="s">
        <v>119</v>
      </c>
    </row>
    <row r="456" spans="1:13">
      <c r="A456" t="s">
        <v>804</v>
      </c>
      <c r="B456" t="s">
        <v>805</v>
      </c>
      <c r="C456" t="s">
        <v>133</v>
      </c>
      <c r="D456" t="s">
        <v>90</v>
      </c>
      <c r="E456" t="s">
        <v>42</v>
      </c>
      <c r="F456" t="s">
        <v>100</v>
      </c>
      <c r="G456" t="s">
        <v>104</v>
      </c>
      <c r="H456" t="s">
        <v>29</v>
      </c>
      <c r="I456">
        <v>880</v>
      </c>
      <c r="J456">
        <v>1</v>
      </c>
      <c r="K456">
        <v>4.7</v>
      </c>
      <c r="L456">
        <v>6</v>
      </c>
      <c r="M456" t="s">
        <v>192</v>
      </c>
    </row>
    <row r="457" spans="1:13">
      <c r="A457" t="s">
        <v>806</v>
      </c>
      <c r="B457" t="s">
        <v>406</v>
      </c>
      <c r="C457" t="s">
        <v>40</v>
      </c>
      <c r="D457" t="s">
        <v>90</v>
      </c>
      <c r="E457" t="s">
        <v>42</v>
      </c>
      <c r="F457" t="s">
        <v>18</v>
      </c>
      <c r="G457" t="s">
        <v>19</v>
      </c>
      <c r="H457" t="s">
        <v>29</v>
      </c>
      <c r="I457">
        <v>10530</v>
      </c>
      <c r="J457">
        <v>5</v>
      </c>
      <c r="K457">
        <v>3.6</v>
      </c>
      <c r="L457">
        <v>6</v>
      </c>
      <c r="M457" t="s">
        <v>47</v>
      </c>
    </row>
    <row r="458" spans="1:13">
      <c r="A458" t="s">
        <v>807</v>
      </c>
      <c r="B458" t="s">
        <v>415</v>
      </c>
      <c r="C458" t="s">
        <v>24</v>
      </c>
      <c r="D458" t="s">
        <v>97</v>
      </c>
      <c r="E458" t="s">
        <v>35</v>
      </c>
      <c r="F458" t="s">
        <v>83</v>
      </c>
      <c r="G458" t="s">
        <v>54</v>
      </c>
      <c r="H458" t="s">
        <v>36</v>
      </c>
      <c r="I458">
        <v>119661</v>
      </c>
      <c r="J458">
        <v>3</v>
      </c>
      <c r="K458">
        <v>4.7</v>
      </c>
      <c r="L458">
        <v>3</v>
      </c>
      <c r="M458" t="s">
        <v>80</v>
      </c>
    </row>
    <row r="459" spans="1:13">
      <c r="A459" t="s">
        <v>808</v>
      </c>
      <c r="B459" t="s">
        <v>510</v>
      </c>
      <c r="C459" t="s">
        <v>129</v>
      </c>
      <c r="D459" t="s">
        <v>165</v>
      </c>
      <c r="E459" t="s">
        <v>35</v>
      </c>
      <c r="F459" t="s">
        <v>83</v>
      </c>
      <c r="G459" t="s">
        <v>104</v>
      </c>
      <c r="H459" t="s">
        <v>64</v>
      </c>
      <c r="I459">
        <v>213456</v>
      </c>
      <c r="J459">
        <v>8</v>
      </c>
      <c r="K459">
        <v>4.5</v>
      </c>
      <c r="L459">
        <v>6</v>
      </c>
      <c r="M459" t="s">
        <v>80</v>
      </c>
    </row>
    <row r="460" spans="1:13">
      <c r="A460" t="s">
        <v>809</v>
      </c>
      <c r="B460" t="s">
        <v>810</v>
      </c>
      <c r="C460" t="s">
        <v>72</v>
      </c>
      <c r="D460" t="s">
        <v>79</v>
      </c>
      <c r="E460" t="s">
        <v>26</v>
      </c>
      <c r="F460" t="s">
        <v>18</v>
      </c>
      <c r="G460" t="s">
        <v>104</v>
      </c>
      <c r="H460" t="s">
        <v>29</v>
      </c>
      <c r="I460">
        <v>15905</v>
      </c>
      <c r="J460">
        <v>5</v>
      </c>
      <c r="K460">
        <v>4.9000000000000004</v>
      </c>
      <c r="L460">
        <v>6</v>
      </c>
      <c r="M460" t="s">
        <v>30</v>
      </c>
    </row>
    <row r="461" spans="1:13">
      <c r="A461" t="s">
        <v>811</v>
      </c>
      <c r="B461" t="s">
        <v>252</v>
      </c>
      <c r="C461" t="s">
        <v>78</v>
      </c>
      <c r="D461" t="s">
        <v>46</v>
      </c>
      <c r="E461" t="s">
        <v>42</v>
      </c>
      <c r="F461" t="s">
        <v>18</v>
      </c>
      <c r="G461" t="s">
        <v>104</v>
      </c>
      <c r="H461" t="s">
        <v>36</v>
      </c>
      <c r="I461">
        <v>4860</v>
      </c>
      <c r="J461">
        <v>3</v>
      </c>
      <c r="K461">
        <v>4.8</v>
      </c>
      <c r="L461">
        <v>3</v>
      </c>
      <c r="M461" t="s">
        <v>30</v>
      </c>
    </row>
    <row r="462" spans="1:13">
      <c r="A462" t="s">
        <v>812</v>
      </c>
      <c r="B462" t="s">
        <v>306</v>
      </c>
      <c r="C462" t="s">
        <v>103</v>
      </c>
      <c r="D462" t="s">
        <v>159</v>
      </c>
      <c r="E462" t="s">
        <v>42</v>
      </c>
      <c r="F462" t="s">
        <v>83</v>
      </c>
      <c r="G462" t="s">
        <v>54</v>
      </c>
      <c r="H462" t="s">
        <v>36</v>
      </c>
      <c r="I462">
        <v>34086</v>
      </c>
      <c r="J462">
        <v>6</v>
      </c>
      <c r="K462">
        <v>3.6</v>
      </c>
      <c r="L462">
        <v>4</v>
      </c>
      <c r="M462" t="s">
        <v>47</v>
      </c>
    </row>
    <row r="463" spans="1:13">
      <c r="A463" t="s">
        <v>813</v>
      </c>
      <c r="B463" t="s">
        <v>139</v>
      </c>
      <c r="C463" t="s">
        <v>129</v>
      </c>
      <c r="D463" t="s">
        <v>69</v>
      </c>
      <c r="E463" t="s">
        <v>26</v>
      </c>
      <c r="F463" t="s">
        <v>60</v>
      </c>
      <c r="G463" t="s">
        <v>19</v>
      </c>
      <c r="H463" t="s">
        <v>64</v>
      </c>
      <c r="I463">
        <v>12012</v>
      </c>
      <c r="J463">
        <v>2</v>
      </c>
      <c r="K463">
        <v>4.3</v>
      </c>
      <c r="L463">
        <v>1</v>
      </c>
      <c r="M463" t="s">
        <v>119</v>
      </c>
    </row>
    <row r="464" spans="1:13">
      <c r="A464" t="s">
        <v>814</v>
      </c>
      <c r="B464" t="s">
        <v>310</v>
      </c>
      <c r="C464" t="s">
        <v>179</v>
      </c>
      <c r="D464" t="s">
        <v>97</v>
      </c>
      <c r="E464" t="s">
        <v>35</v>
      </c>
      <c r="F464" t="s">
        <v>27</v>
      </c>
      <c r="G464" t="s">
        <v>28</v>
      </c>
      <c r="H464" t="s">
        <v>64</v>
      </c>
      <c r="I464">
        <v>48552</v>
      </c>
      <c r="J464">
        <v>1</v>
      </c>
      <c r="K464">
        <v>4.8</v>
      </c>
      <c r="L464">
        <v>2</v>
      </c>
      <c r="M464" t="s">
        <v>55</v>
      </c>
    </row>
    <row r="465" spans="1:13">
      <c r="A465" t="s">
        <v>815</v>
      </c>
      <c r="B465" t="s">
        <v>708</v>
      </c>
      <c r="C465" t="s">
        <v>40</v>
      </c>
      <c r="D465" t="s">
        <v>46</v>
      </c>
      <c r="E465" t="s">
        <v>42</v>
      </c>
      <c r="F465" t="s">
        <v>60</v>
      </c>
      <c r="G465" t="s">
        <v>104</v>
      </c>
      <c r="H465" t="s">
        <v>36</v>
      </c>
      <c r="I465">
        <v>38570</v>
      </c>
      <c r="J465">
        <v>7</v>
      </c>
      <c r="K465">
        <v>3.4</v>
      </c>
      <c r="L465">
        <v>4</v>
      </c>
      <c r="M465" t="s">
        <v>80</v>
      </c>
    </row>
    <row r="466" spans="1:13">
      <c r="A466" t="s">
        <v>816</v>
      </c>
      <c r="B466" t="s">
        <v>561</v>
      </c>
      <c r="C466" t="s">
        <v>179</v>
      </c>
      <c r="D466" t="s">
        <v>69</v>
      </c>
      <c r="E466" t="s">
        <v>26</v>
      </c>
      <c r="F466" t="s">
        <v>83</v>
      </c>
      <c r="G466" t="s">
        <v>28</v>
      </c>
      <c r="H466" t="s">
        <v>29</v>
      </c>
      <c r="I466">
        <v>9906</v>
      </c>
      <c r="J466">
        <v>1</v>
      </c>
      <c r="K466">
        <v>4</v>
      </c>
      <c r="L466">
        <v>3</v>
      </c>
      <c r="M466" t="s">
        <v>87</v>
      </c>
    </row>
    <row r="467" spans="1:13">
      <c r="A467" t="s">
        <v>817</v>
      </c>
      <c r="B467" t="s">
        <v>666</v>
      </c>
      <c r="C467" t="s">
        <v>72</v>
      </c>
      <c r="D467" t="s">
        <v>69</v>
      </c>
      <c r="E467" t="s">
        <v>26</v>
      </c>
      <c r="F467" t="s">
        <v>53</v>
      </c>
      <c r="G467" t="s">
        <v>104</v>
      </c>
      <c r="H467" t="s">
        <v>64</v>
      </c>
      <c r="I467">
        <v>41965</v>
      </c>
      <c r="J467">
        <v>5</v>
      </c>
      <c r="K467">
        <v>3.6</v>
      </c>
      <c r="L467">
        <v>1</v>
      </c>
      <c r="M467" t="s">
        <v>144</v>
      </c>
    </row>
    <row r="468" spans="1:13">
      <c r="A468" t="s">
        <v>818</v>
      </c>
      <c r="B468" t="s">
        <v>545</v>
      </c>
      <c r="C468" t="s">
        <v>45</v>
      </c>
      <c r="D468" t="s">
        <v>218</v>
      </c>
      <c r="E468" t="s">
        <v>17</v>
      </c>
      <c r="F468" t="s">
        <v>27</v>
      </c>
      <c r="G468" t="s">
        <v>104</v>
      </c>
      <c r="H468" t="s">
        <v>64</v>
      </c>
      <c r="I468">
        <v>3921</v>
      </c>
      <c r="J468">
        <v>3</v>
      </c>
      <c r="K468">
        <v>4.0999999999999996</v>
      </c>
      <c r="L468">
        <v>2</v>
      </c>
      <c r="M468" t="s">
        <v>47</v>
      </c>
    </row>
    <row r="469" spans="1:13">
      <c r="A469" t="s">
        <v>819</v>
      </c>
      <c r="B469" t="s">
        <v>533</v>
      </c>
      <c r="C469" t="s">
        <v>24</v>
      </c>
      <c r="D469" t="s">
        <v>69</v>
      </c>
      <c r="E469" t="s">
        <v>26</v>
      </c>
      <c r="F469" t="s">
        <v>100</v>
      </c>
      <c r="G469" t="s">
        <v>54</v>
      </c>
      <c r="H469" t="s">
        <v>20</v>
      </c>
      <c r="I469">
        <v>81800</v>
      </c>
      <c r="J469">
        <v>8</v>
      </c>
      <c r="K469">
        <v>3.2</v>
      </c>
      <c r="L469">
        <v>5</v>
      </c>
      <c r="M469" t="s">
        <v>21</v>
      </c>
    </row>
    <row r="470" spans="1:13">
      <c r="A470" t="s">
        <v>820</v>
      </c>
      <c r="B470" t="s">
        <v>411</v>
      </c>
      <c r="C470" t="s">
        <v>33</v>
      </c>
      <c r="D470" t="s">
        <v>97</v>
      </c>
      <c r="E470" t="s">
        <v>35</v>
      </c>
      <c r="F470" t="s">
        <v>53</v>
      </c>
      <c r="G470" t="s">
        <v>104</v>
      </c>
      <c r="H470" t="s">
        <v>36</v>
      </c>
      <c r="I470">
        <v>28296</v>
      </c>
      <c r="J470">
        <v>3</v>
      </c>
      <c r="K470">
        <v>4</v>
      </c>
      <c r="L470">
        <v>6</v>
      </c>
      <c r="M470" t="s">
        <v>119</v>
      </c>
    </row>
    <row r="471" spans="1:13">
      <c r="A471" t="s">
        <v>821</v>
      </c>
      <c r="B471" t="s">
        <v>784</v>
      </c>
      <c r="C471" t="s">
        <v>103</v>
      </c>
      <c r="D471" t="s">
        <v>79</v>
      </c>
      <c r="E471" t="s">
        <v>26</v>
      </c>
      <c r="F471" t="s">
        <v>27</v>
      </c>
      <c r="G471" t="s">
        <v>104</v>
      </c>
      <c r="H471" t="s">
        <v>36</v>
      </c>
      <c r="I471">
        <v>17940</v>
      </c>
      <c r="J471">
        <v>3</v>
      </c>
      <c r="K471">
        <v>4.7</v>
      </c>
      <c r="L471">
        <v>5</v>
      </c>
      <c r="M471" t="s">
        <v>192</v>
      </c>
    </row>
    <row r="472" spans="1:13">
      <c r="A472" t="s">
        <v>822</v>
      </c>
      <c r="B472" t="s">
        <v>371</v>
      </c>
      <c r="C472" t="s">
        <v>68</v>
      </c>
      <c r="D472" t="s">
        <v>59</v>
      </c>
      <c r="E472" t="s">
        <v>26</v>
      </c>
      <c r="F472" t="s">
        <v>83</v>
      </c>
      <c r="G472" t="s">
        <v>19</v>
      </c>
      <c r="H472" t="s">
        <v>20</v>
      </c>
      <c r="I472">
        <v>8744</v>
      </c>
      <c r="J472">
        <v>1</v>
      </c>
      <c r="K472">
        <v>3.9</v>
      </c>
      <c r="L472">
        <v>3</v>
      </c>
      <c r="M472" t="s">
        <v>80</v>
      </c>
    </row>
    <row r="473" spans="1:13">
      <c r="A473" t="s">
        <v>823</v>
      </c>
      <c r="B473" t="s">
        <v>545</v>
      </c>
      <c r="C473" t="s">
        <v>72</v>
      </c>
      <c r="D473" t="s">
        <v>147</v>
      </c>
      <c r="E473" t="s">
        <v>52</v>
      </c>
      <c r="F473" t="s">
        <v>60</v>
      </c>
      <c r="G473" t="s">
        <v>104</v>
      </c>
      <c r="H473" t="s">
        <v>20</v>
      </c>
      <c r="I473">
        <v>5816</v>
      </c>
      <c r="J473">
        <v>8</v>
      </c>
      <c r="K473">
        <v>3.8</v>
      </c>
      <c r="L473">
        <v>6</v>
      </c>
      <c r="M473" t="s">
        <v>47</v>
      </c>
    </row>
    <row r="474" spans="1:13">
      <c r="A474" t="s">
        <v>824</v>
      </c>
      <c r="B474" t="s">
        <v>825</v>
      </c>
      <c r="C474" t="s">
        <v>133</v>
      </c>
      <c r="D474" t="s">
        <v>113</v>
      </c>
      <c r="E474" t="s">
        <v>35</v>
      </c>
      <c r="F474" t="s">
        <v>27</v>
      </c>
      <c r="G474" t="s">
        <v>54</v>
      </c>
      <c r="H474" t="s">
        <v>36</v>
      </c>
      <c r="I474">
        <v>128788</v>
      </c>
      <c r="J474">
        <v>4</v>
      </c>
      <c r="K474">
        <v>3.6</v>
      </c>
      <c r="L474">
        <v>2</v>
      </c>
      <c r="M474" t="s">
        <v>80</v>
      </c>
    </row>
    <row r="475" spans="1:13">
      <c r="A475" t="s">
        <v>826</v>
      </c>
      <c r="B475" t="s">
        <v>692</v>
      </c>
      <c r="C475" t="s">
        <v>103</v>
      </c>
      <c r="D475" t="s">
        <v>116</v>
      </c>
      <c r="E475" t="s">
        <v>17</v>
      </c>
      <c r="F475" t="s">
        <v>18</v>
      </c>
      <c r="G475" t="s">
        <v>54</v>
      </c>
      <c r="H475" t="s">
        <v>29</v>
      </c>
      <c r="I475">
        <v>702</v>
      </c>
      <c r="J475">
        <v>1</v>
      </c>
      <c r="K475">
        <v>3.3</v>
      </c>
      <c r="L475">
        <v>2</v>
      </c>
      <c r="M475" t="s">
        <v>47</v>
      </c>
    </row>
    <row r="476" spans="1:13">
      <c r="A476" t="s">
        <v>827</v>
      </c>
      <c r="B476" t="s">
        <v>593</v>
      </c>
      <c r="C476" t="s">
        <v>58</v>
      </c>
      <c r="D476" t="s">
        <v>16</v>
      </c>
      <c r="E476" t="s">
        <v>17</v>
      </c>
      <c r="F476" t="s">
        <v>53</v>
      </c>
      <c r="G476" t="s">
        <v>104</v>
      </c>
      <c r="H476" t="s">
        <v>20</v>
      </c>
      <c r="I476">
        <v>6012</v>
      </c>
      <c r="J476">
        <v>4</v>
      </c>
      <c r="K476">
        <v>3.4</v>
      </c>
      <c r="L476">
        <v>5</v>
      </c>
      <c r="M476" t="s">
        <v>80</v>
      </c>
    </row>
    <row r="477" spans="1:13">
      <c r="A477" t="s">
        <v>828</v>
      </c>
      <c r="B477" t="s">
        <v>829</v>
      </c>
      <c r="C477" t="s">
        <v>78</v>
      </c>
      <c r="D477" t="s">
        <v>79</v>
      </c>
      <c r="E477" t="s">
        <v>26</v>
      </c>
      <c r="F477" t="s">
        <v>18</v>
      </c>
      <c r="G477" t="s">
        <v>54</v>
      </c>
      <c r="H477" t="s">
        <v>20</v>
      </c>
      <c r="I477">
        <v>7876</v>
      </c>
      <c r="J477">
        <v>2</v>
      </c>
      <c r="K477">
        <v>4.9000000000000004</v>
      </c>
      <c r="L477">
        <v>3</v>
      </c>
      <c r="M477" t="s">
        <v>65</v>
      </c>
    </row>
    <row r="478" spans="1:13">
      <c r="A478" t="s">
        <v>830</v>
      </c>
      <c r="B478" t="s">
        <v>799</v>
      </c>
      <c r="C478" t="s">
        <v>133</v>
      </c>
      <c r="D478" t="s">
        <v>69</v>
      </c>
      <c r="E478" t="s">
        <v>26</v>
      </c>
      <c r="F478" t="s">
        <v>18</v>
      </c>
      <c r="G478" t="s">
        <v>104</v>
      </c>
      <c r="H478" t="s">
        <v>36</v>
      </c>
      <c r="I478">
        <v>21057</v>
      </c>
      <c r="J478">
        <v>3</v>
      </c>
      <c r="K478">
        <v>4</v>
      </c>
      <c r="L478">
        <v>4</v>
      </c>
      <c r="M478" t="s">
        <v>55</v>
      </c>
    </row>
    <row r="479" spans="1:13">
      <c r="A479" t="s">
        <v>831</v>
      </c>
      <c r="B479" t="s">
        <v>729</v>
      </c>
      <c r="C479" t="s">
        <v>68</v>
      </c>
      <c r="D479" t="s">
        <v>41</v>
      </c>
      <c r="E479" t="s">
        <v>42</v>
      </c>
      <c r="F479" t="s">
        <v>60</v>
      </c>
      <c r="G479" t="s">
        <v>104</v>
      </c>
      <c r="H479" t="s">
        <v>64</v>
      </c>
      <c r="I479">
        <v>15792</v>
      </c>
      <c r="J479">
        <v>3</v>
      </c>
      <c r="K479">
        <v>3.3</v>
      </c>
      <c r="L479">
        <v>8</v>
      </c>
      <c r="M479" t="s">
        <v>65</v>
      </c>
    </row>
    <row r="480" spans="1:13">
      <c r="A480" t="s">
        <v>832</v>
      </c>
      <c r="B480" t="s">
        <v>833</v>
      </c>
      <c r="C480" t="s">
        <v>129</v>
      </c>
      <c r="D480" t="s">
        <v>59</v>
      </c>
      <c r="E480" t="s">
        <v>26</v>
      </c>
      <c r="F480" t="s">
        <v>83</v>
      </c>
      <c r="G480" t="s">
        <v>54</v>
      </c>
      <c r="H480" t="s">
        <v>64</v>
      </c>
      <c r="I480">
        <v>31144</v>
      </c>
      <c r="J480">
        <v>8</v>
      </c>
      <c r="K480">
        <v>4.7</v>
      </c>
      <c r="L480">
        <v>8</v>
      </c>
      <c r="M480" t="s">
        <v>119</v>
      </c>
    </row>
    <row r="481" spans="1:13">
      <c r="A481" t="s">
        <v>834</v>
      </c>
      <c r="B481" t="s">
        <v>82</v>
      </c>
      <c r="C481" t="s">
        <v>75</v>
      </c>
      <c r="D481" t="s">
        <v>116</v>
      </c>
      <c r="E481" t="s">
        <v>17</v>
      </c>
      <c r="F481" t="s">
        <v>53</v>
      </c>
      <c r="G481" t="s">
        <v>19</v>
      </c>
      <c r="H481" t="s">
        <v>29</v>
      </c>
      <c r="I481">
        <v>1088</v>
      </c>
      <c r="J481">
        <v>2</v>
      </c>
      <c r="K481">
        <v>5</v>
      </c>
      <c r="L481">
        <v>3</v>
      </c>
      <c r="M481" t="s">
        <v>47</v>
      </c>
    </row>
    <row r="482" spans="1:13">
      <c r="A482" t="s">
        <v>835</v>
      </c>
      <c r="B482" t="s">
        <v>203</v>
      </c>
      <c r="C482" t="s">
        <v>129</v>
      </c>
      <c r="D482" t="s">
        <v>51</v>
      </c>
      <c r="E482" t="s">
        <v>52</v>
      </c>
      <c r="F482" t="s">
        <v>60</v>
      </c>
      <c r="G482" t="s">
        <v>28</v>
      </c>
      <c r="H482" t="s">
        <v>64</v>
      </c>
      <c r="I482">
        <v>9176</v>
      </c>
      <c r="J482">
        <v>4</v>
      </c>
      <c r="K482">
        <v>3.7</v>
      </c>
      <c r="L482">
        <v>7</v>
      </c>
      <c r="M482" t="s">
        <v>80</v>
      </c>
    </row>
    <row r="483" spans="1:13">
      <c r="A483" t="s">
        <v>836</v>
      </c>
      <c r="B483" t="s">
        <v>837</v>
      </c>
      <c r="C483" t="s">
        <v>15</v>
      </c>
      <c r="D483" t="s">
        <v>59</v>
      </c>
      <c r="E483" t="s">
        <v>26</v>
      </c>
      <c r="F483" t="s">
        <v>18</v>
      </c>
      <c r="G483" t="s">
        <v>54</v>
      </c>
      <c r="H483" t="s">
        <v>36</v>
      </c>
      <c r="I483">
        <v>71576</v>
      </c>
      <c r="J483">
        <v>8</v>
      </c>
      <c r="K483">
        <v>3.6</v>
      </c>
      <c r="L483">
        <v>3</v>
      </c>
      <c r="M483" t="s">
        <v>80</v>
      </c>
    </row>
    <row r="484" spans="1:13">
      <c r="A484" t="s">
        <v>838</v>
      </c>
      <c r="B484" t="s">
        <v>393</v>
      </c>
      <c r="C484" t="s">
        <v>112</v>
      </c>
      <c r="D484" t="s">
        <v>41</v>
      </c>
      <c r="E484" t="s">
        <v>42</v>
      </c>
      <c r="F484" t="s">
        <v>60</v>
      </c>
      <c r="G484" t="s">
        <v>28</v>
      </c>
      <c r="H484" t="s">
        <v>20</v>
      </c>
      <c r="I484">
        <v>22260</v>
      </c>
      <c r="J484">
        <v>7</v>
      </c>
      <c r="K484">
        <v>4.3</v>
      </c>
      <c r="L484">
        <v>2</v>
      </c>
      <c r="M484" t="s">
        <v>37</v>
      </c>
    </row>
    <row r="485" spans="1:13">
      <c r="A485" t="s">
        <v>839</v>
      </c>
      <c r="B485" t="s">
        <v>579</v>
      </c>
      <c r="C485" t="s">
        <v>133</v>
      </c>
      <c r="D485" t="s">
        <v>97</v>
      </c>
      <c r="E485" t="s">
        <v>35</v>
      </c>
      <c r="F485" t="s">
        <v>18</v>
      </c>
      <c r="G485" t="s">
        <v>28</v>
      </c>
      <c r="H485" t="s">
        <v>64</v>
      </c>
      <c r="I485">
        <v>366740</v>
      </c>
      <c r="J485">
        <v>5</v>
      </c>
      <c r="K485">
        <v>4.9000000000000004</v>
      </c>
      <c r="L485">
        <v>1</v>
      </c>
      <c r="M485" t="s">
        <v>65</v>
      </c>
    </row>
    <row r="486" spans="1:13">
      <c r="A486" t="s">
        <v>840</v>
      </c>
      <c r="B486" t="s">
        <v>841</v>
      </c>
      <c r="C486" t="s">
        <v>24</v>
      </c>
      <c r="D486" t="s">
        <v>97</v>
      </c>
      <c r="E486" t="s">
        <v>35</v>
      </c>
      <c r="F486" t="s">
        <v>60</v>
      </c>
      <c r="G486" t="s">
        <v>28</v>
      </c>
      <c r="H486" t="s">
        <v>20</v>
      </c>
      <c r="I486">
        <v>205456</v>
      </c>
      <c r="J486">
        <v>8</v>
      </c>
      <c r="K486">
        <v>4.7</v>
      </c>
      <c r="L486">
        <v>5</v>
      </c>
      <c r="M486" t="s">
        <v>47</v>
      </c>
    </row>
    <row r="487" spans="1:13">
      <c r="A487" t="s">
        <v>842</v>
      </c>
      <c r="B487" t="s">
        <v>843</v>
      </c>
      <c r="C487" t="s">
        <v>112</v>
      </c>
      <c r="D487" t="s">
        <v>97</v>
      </c>
      <c r="E487" t="s">
        <v>35</v>
      </c>
      <c r="F487" t="s">
        <v>18</v>
      </c>
      <c r="G487" t="s">
        <v>28</v>
      </c>
      <c r="H487" t="s">
        <v>29</v>
      </c>
      <c r="I487">
        <v>150170</v>
      </c>
      <c r="J487">
        <v>2</v>
      </c>
      <c r="K487">
        <v>4</v>
      </c>
      <c r="L487">
        <v>3</v>
      </c>
      <c r="M487" t="s">
        <v>65</v>
      </c>
    </row>
    <row r="488" spans="1:13">
      <c r="A488" t="s">
        <v>844</v>
      </c>
      <c r="B488" t="s">
        <v>595</v>
      </c>
      <c r="C488" t="s">
        <v>129</v>
      </c>
      <c r="D488" t="s">
        <v>90</v>
      </c>
      <c r="E488" t="s">
        <v>42</v>
      </c>
      <c r="F488" t="s">
        <v>27</v>
      </c>
      <c r="G488" t="s">
        <v>54</v>
      </c>
      <c r="H488" t="s">
        <v>29</v>
      </c>
      <c r="I488">
        <v>5580</v>
      </c>
      <c r="J488">
        <v>6</v>
      </c>
      <c r="K488">
        <v>3.3</v>
      </c>
      <c r="L488">
        <v>6</v>
      </c>
      <c r="M488" t="s">
        <v>192</v>
      </c>
    </row>
    <row r="489" spans="1:13">
      <c r="A489" t="s">
        <v>845</v>
      </c>
      <c r="B489" t="s">
        <v>846</v>
      </c>
      <c r="C489" t="s">
        <v>40</v>
      </c>
      <c r="D489" t="s">
        <v>41</v>
      </c>
      <c r="E489" t="s">
        <v>42</v>
      </c>
      <c r="F489" t="s">
        <v>100</v>
      </c>
      <c r="G489" t="s">
        <v>54</v>
      </c>
      <c r="H489" t="s">
        <v>36</v>
      </c>
      <c r="I489">
        <v>6972</v>
      </c>
      <c r="J489">
        <v>6</v>
      </c>
      <c r="K489">
        <v>3.6</v>
      </c>
      <c r="L489">
        <v>4</v>
      </c>
      <c r="M489" t="s">
        <v>47</v>
      </c>
    </row>
    <row r="490" spans="1:13">
      <c r="A490" t="s">
        <v>847</v>
      </c>
      <c r="B490" t="s">
        <v>156</v>
      </c>
      <c r="C490" t="s">
        <v>58</v>
      </c>
      <c r="D490" t="s">
        <v>113</v>
      </c>
      <c r="E490" t="s">
        <v>35</v>
      </c>
      <c r="F490" t="s">
        <v>100</v>
      </c>
      <c r="G490" t="s">
        <v>28</v>
      </c>
      <c r="H490" t="s">
        <v>29</v>
      </c>
      <c r="I490">
        <v>135732</v>
      </c>
      <c r="J490">
        <v>3</v>
      </c>
      <c r="K490">
        <v>4.4000000000000004</v>
      </c>
      <c r="L490">
        <v>7</v>
      </c>
      <c r="M490" t="s">
        <v>126</v>
      </c>
    </row>
    <row r="491" spans="1:13">
      <c r="A491" t="s">
        <v>848</v>
      </c>
      <c r="B491" t="s">
        <v>543</v>
      </c>
      <c r="C491" t="s">
        <v>68</v>
      </c>
      <c r="D491" t="s">
        <v>116</v>
      </c>
      <c r="E491" t="s">
        <v>17</v>
      </c>
      <c r="F491" t="s">
        <v>27</v>
      </c>
      <c r="G491" t="s">
        <v>19</v>
      </c>
      <c r="H491" t="s">
        <v>29</v>
      </c>
      <c r="I491">
        <v>948</v>
      </c>
      <c r="J491">
        <v>1</v>
      </c>
      <c r="K491">
        <v>4.2</v>
      </c>
      <c r="L491">
        <v>8</v>
      </c>
      <c r="M491" t="s">
        <v>30</v>
      </c>
    </row>
    <row r="492" spans="1:13">
      <c r="A492" t="s">
        <v>849</v>
      </c>
      <c r="B492" t="s">
        <v>415</v>
      </c>
      <c r="C492" t="s">
        <v>78</v>
      </c>
      <c r="D492" t="s">
        <v>46</v>
      </c>
      <c r="E492" t="s">
        <v>42</v>
      </c>
      <c r="F492" t="s">
        <v>83</v>
      </c>
      <c r="G492" t="s">
        <v>104</v>
      </c>
      <c r="H492" t="s">
        <v>29</v>
      </c>
      <c r="I492">
        <v>23855</v>
      </c>
      <c r="J492">
        <v>5</v>
      </c>
      <c r="K492">
        <v>4.7</v>
      </c>
      <c r="L492">
        <v>2</v>
      </c>
      <c r="M492" t="s">
        <v>80</v>
      </c>
    </row>
    <row r="493" spans="1:13">
      <c r="A493" t="s">
        <v>850</v>
      </c>
      <c r="B493" t="s">
        <v>252</v>
      </c>
      <c r="C493" t="s">
        <v>58</v>
      </c>
      <c r="D493" t="s">
        <v>218</v>
      </c>
      <c r="E493" t="s">
        <v>17</v>
      </c>
      <c r="F493" t="s">
        <v>100</v>
      </c>
      <c r="G493" t="s">
        <v>28</v>
      </c>
      <c r="H493" t="s">
        <v>64</v>
      </c>
      <c r="I493">
        <v>5334</v>
      </c>
      <c r="J493">
        <v>7</v>
      </c>
      <c r="K493">
        <v>3.8</v>
      </c>
      <c r="L493">
        <v>2</v>
      </c>
      <c r="M493" t="s">
        <v>30</v>
      </c>
    </row>
    <row r="494" spans="1:13">
      <c r="A494" t="s">
        <v>851</v>
      </c>
      <c r="B494" t="s">
        <v>263</v>
      </c>
      <c r="C494" t="s">
        <v>103</v>
      </c>
      <c r="D494" t="s">
        <v>109</v>
      </c>
      <c r="E494" t="s">
        <v>52</v>
      </c>
      <c r="F494" t="s">
        <v>100</v>
      </c>
      <c r="G494" t="s">
        <v>28</v>
      </c>
      <c r="H494" t="s">
        <v>20</v>
      </c>
      <c r="I494">
        <v>7390</v>
      </c>
      <c r="J494">
        <v>5</v>
      </c>
      <c r="K494">
        <v>3.6</v>
      </c>
      <c r="L494">
        <v>7</v>
      </c>
      <c r="M494" t="s">
        <v>87</v>
      </c>
    </row>
    <row r="495" spans="1:13">
      <c r="A495" t="s">
        <v>852</v>
      </c>
      <c r="B495" t="s">
        <v>424</v>
      </c>
      <c r="C495" t="s">
        <v>58</v>
      </c>
      <c r="D495" t="s">
        <v>86</v>
      </c>
      <c r="E495" t="s">
        <v>17</v>
      </c>
      <c r="F495" t="s">
        <v>27</v>
      </c>
      <c r="G495" t="s">
        <v>54</v>
      </c>
      <c r="H495" t="s">
        <v>20</v>
      </c>
      <c r="I495">
        <v>5888</v>
      </c>
      <c r="J495">
        <v>8</v>
      </c>
      <c r="K495">
        <v>4.7</v>
      </c>
      <c r="L495">
        <v>7</v>
      </c>
      <c r="M495" t="s">
        <v>30</v>
      </c>
    </row>
    <row r="496" spans="1:13">
      <c r="A496" t="s">
        <v>853</v>
      </c>
      <c r="B496" t="s">
        <v>837</v>
      </c>
      <c r="C496" t="s">
        <v>179</v>
      </c>
      <c r="D496" t="s">
        <v>97</v>
      </c>
      <c r="E496" t="s">
        <v>35</v>
      </c>
      <c r="F496" t="s">
        <v>60</v>
      </c>
      <c r="G496" t="s">
        <v>104</v>
      </c>
      <c r="H496" t="s">
        <v>29</v>
      </c>
      <c r="I496">
        <v>238268</v>
      </c>
      <c r="J496">
        <v>4</v>
      </c>
      <c r="K496">
        <v>4.7</v>
      </c>
      <c r="L496">
        <v>2</v>
      </c>
      <c r="M496" t="s">
        <v>80</v>
      </c>
    </row>
    <row r="497" spans="1:13">
      <c r="A497" t="s">
        <v>854</v>
      </c>
      <c r="B497" t="s">
        <v>833</v>
      </c>
      <c r="C497" t="s">
        <v>146</v>
      </c>
      <c r="D497" t="s">
        <v>109</v>
      </c>
      <c r="E497" t="s">
        <v>52</v>
      </c>
      <c r="F497" t="s">
        <v>60</v>
      </c>
      <c r="G497" t="s">
        <v>28</v>
      </c>
      <c r="H497" t="s">
        <v>64</v>
      </c>
      <c r="I497">
        <v>4904</v>
      </c>
      <c r="J497">
        <v>4</v>
      </c>
      <c r="K497">
        <v>3.2</v>
      </c>
      <c r="L497">
        <v>5</v>
      </c>
      <c r="M497" t="s">
        <v>119</v>
      </c>
    </row>
    <row r="498" spans="1:13">
      <c r="A498" t="s">
        <v>855</v>
      </c>
      <c r="B498" t="s">
        <v>487</v>
      </c>
      <c r="C498" t="s">
        <v>125</v>
      </c>
      <c r="D498" t="s">
        <v>86</v>
      </c>
      <c r="E498" t="s">
        <v>17</v>
      </c>
      <c r="F498" t="s">
        <v>18</v>
      </c>
      <c r="G498" t="s">
        <v>54</v>
      </c>
      <c r="H498" t="s">
        <v>36</v>
      </c>
      <c r="I498">
        <v>2895</v>
      </c>
      <c r="J498">
        <v>5</v>
      </c>
      <c r="K498">
        <v>4.2</v>
      </c>
      <c r="L498">
        <v>1</v>
      </c>
      <c r="M498" t="s">
        <v>80</v>
      </c>
    </row>
    <row r="499" spans="1:13">
      <c r="A499" t="s">
        <v>856</v>
      </c>
      <c r="B499" t="s">
        <v>187</v>
      </c>
      <c r="C499" t="s">
        <v>112</v>
      </c>
      <c r="D499" t="s">
        <v>165</v>
      </c>
      <c r="E499" t="s">
        <v>35</v>
      </c>
      <c r="F499" t="s">
        <v>27</v>
      </c>
      <c r="G499" t="s">
        <v>104</v>
      </c>
      <c r="H499" t="s">
        <v>64</v>
      </c>
      <c r="I499">
        <v>28672</v>
      </c>
      <c r="J499">
        <v>2</v>
      </c>
      <c r="K499">
        <v>3.6</v>
      </c>
      <c r="L499">
        <v>2</v>
      </c>
      <c r="M499" t="s">
        <v>126</v>
      </c>
    </row>
    <row r="500" spans="1:13">
      <c r="A500" t="s">
        <v>857</v>
      </c>
      <c r="B500" t="s">
        <v>250</v>
      </c>
      <c r="C500" t="s">
        <v>72</v>
      </c>
      <c r="D500" t="s">
        <v>86</v>
      </c>
      <c r="E500" t="s">
        <v>17</v>
      </c>
      <c r="F500" t="s">
        <v>18</v>
      </c>
      <c r="G500" t="s">
        <v>19</v>
      </c>
      <c r="H500" t="s">
        <v>20</v>
      </c>
      <c r="I500">
        <v>1882</v>
      </c>
      <c r="J500">
        <v>2</v>
      </c>
      <c r="K500">
        <v>4.9000000000000004</v>
      </c>
      <c r="L500">
        <v>4</v>
      </c>
      <c r="M500" t="s">
        <v>192</v>
      </c>
    </row>
    <row r="501" spans="1:13">
      <c r="A501" t="s">
        <v>858</v>
      </c>
      <c r="B501" t="s">
        <v>859</v>
      </c>
      <c r="C501" t="s">
        <v>170</v>
      </c>
      <c r="D501" t="s">
        <v>97</v>
      </c>
      <c r="E501" t="s">
        <v>35</v>
      </c>
      <c r="F501" t="s">
        <v>100</v>
      </c>
      <c r="G501" t="s">
        <v>28</v>
      </c>
      <c r="H501" t="s">
        <v>64</v>
      </c>
      <c r="I501">
        <v>333860</v>
      </c>
      <c r="J501">
        <v>5</v>
      </c>
      <c r="K501">
        <v>4.5</v>
      </c>
      <c r="L501">
        <v>2</v>
      </c>
      <c r="M501" t="s">
        <v>55</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Sheet5</vt:lpstr>
      <vt:lpstr>PIVOT</vt:lpstr>
      <vt:lpstr>DASBOARD</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Veda Karna</dc:creator>
  <cp:lastModifiedBy>admin</cp:lastModifiedBy>
  <dcterms:created xsi:type="dcterms:W3CDTF">2026-09-04T11:04:00Z</dcterms:created>
  <dcterms:modified xsi:type="dcterms:W3CDTF">2026-09-15T16:16:42Z</dcterms:modified>
</cp:coreProperties>
</file>