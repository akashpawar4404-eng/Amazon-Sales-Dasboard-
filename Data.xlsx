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ocuments\EXCLE PROJECT\"/>
    </mc:Choice>
  </mc:AlternateContent>
  <xr:revisionPtr revIDLastSave="0" documentId="13_ncr:1_{3EBB5945-4CB3-4AB7-B2D3-D2A0C837695B}" xr6:coauthVersionLast="47" xr6:coauthVersionMax="47" xr10:uidLastSave="{00000000-0000-0000-0000-000000000000}"/>
  <bookViews>
    <workbookView xWindow="-120" yWindow="-120" windowWidth="20730" windowHeight="11160" activeTab="2" xr2:uid="{80B3B757-169E-45B6-89C9-D705E5FE94D5}"/>
  </bookViews>
  <sheets>
    <sheet name="Sheet5" sheetId="8" r:id="rId1"/>
    <sheet name="PIVOT" sheetId="7" r:id="rId2"/>
    <sheet name="DASBOARD" sheetId="9" r:id="rId3"/>
    <sheet name="Data" sheetId="2" r:id="rId4"/>
  </sheets>
  <definedNames>
    <definedName name="_xlchart.v5.0" hidden="1">PIVOT!$Y$3</definedName>
    <definedName name="_xlchart.v5.1" hidden="1">PIVOT!$Y$4:$Y$10</definedName>
    <definedName name="_xlchart.v5.2" hidden="1">PIVOT!$Z$3</definedName>
    <definedName name="_xlchart.v5.3" hidden="1">PIVOT!$Z$4:$Z$10</definedName>
    <definedName name="_xlchart.v5.4" hidden="1">PIVOT!$Y$3</definedName>
    <definedName name="_xlchart.v5.5" hidden="1">PIVOT!$Y$4:$Y$10</definedName>
    <definedName name="_xlchart.v5.6" hidden="1">PIVOT!$Z$3</definedName>
    <definedName name="_xlchart.v5.7" hidden="1">PIVOT!$Z$4:$Z$10</definedName>
    <definedName name="Slicer_Month">#N/A</definedName>
    <definedName name="Slicer_Payment_Method">#N/A</definedName>
    <definedName name="Slicer_Sales">#N/A</definedName>
    <definedName name="Slicer_Sell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4" i="7" l="1"/>
  <c r="B6" i="9" a="1"/>
  <c r="B6" i="9"/>
  <c r="Z5" i="7"/>
  <c r="Z6" i="7"/>
  <c r="Z7" i="7"/>
  <c r="Z8" i="7"/>
  <c r="Z9" i="7"/>
  <c r="Z4" i="7"/>
  <c r="Y5" i="7"/>
  <c r="Y6" i="7"/>
  <c r="Y7" i="7"/>
  <c r="Y8" i="7"/>
  <c r="Y9" i="7"/>
  <c r="Q5" i="7"/>
  <c r="R5" i="7"/>
  <c r="S5" i="7"/>
  <c r="T5" i="7"/>
  <c r="U5" i="7"/>
  <c r="Q6" i="7"/>
  <c r="R6" i="7"/>
  <c r="S6" i="7"/>
  <c r="T6" i="7"/>
  <c r="U6" i="7"/>
  <c r="Q7" i="7"/>
  <c r="R7" i="7"/>
  <c r="S7" i="7"/>
  <c r="T7" i="7"/>
  <c r="U7" i="7"/>
  <c r="Q8" i="7"/>
  <c r="R8" i="7"/>
  <c r="S8" i="7"/>
  <c r="T8" i="7"/>
  <c r="U8" i="7"/>
  <c r="Q9" i="7"/>
  <c r="R9" i="7"/>
  <c r="S9" i="7"/>
  <c r="T9" i="7"/>
  <c r="U9" i="7"/>
  <c r="Q10" i="7"/>
  <c r="R10" i="7"/>
  <c r="S10" i="7"/>
  <c r="T10" i="7"/>
  <c r="U10" i="7"/>
  <c r="R4" i="7"/>
  <c r="S4" i="7"/>
  <c r="T4" i="7"/>
  <c r="U4" i="7"/>
  <c r="Q4" i="7"/>
  <c r="A14" i="7"/>
  <c r="A12" i="7"/>
  <c r="A15" i="7"/>
  <c r="A13" i="7"/>
  <c r="A11" i="7"/>
  <c r="Z10" i="7" l="1"/>
  <c r="AA9" i="7" s="1"/>
  <c r="AA8" i="7"/>
  <c r="AA4" i="7"/>
  <c r="U11" i="7"/>
  <c r="AA7" i="7" l="1"/>
  <c r="AA6" i="7"/>
  <c r="AA10" i="7"/>
  <c r="AA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<sst xmlns="http://schemas.openxmlformats.org/spreadsheetml/2006/main" count="11096" uniqueCount="879">
  <si>
    <t>Order_ID</t>
  </si>
  <si>
    <t>Date</t>
  </si>
  <si>
    <t>Customer_Name</t>
  </si>
  <si>
    <t>Product</t>
  </si>
  <si>
    <t>Category</t>
  </si>
  <si>
    <t>State</t>
  </si>
  <si>
    <t>Seller</t>
  </si>
  <si>
    <t>Payment_Method</t>
  </si>
  <si>
    <t>Sales</t>
  </si>
  <si>
    <t>Quantity</t>
  </si>
  <si>
    <t>Rating</t>
  </si>
  <si>
    <t>Delivery</t>
  </si>
  <si>
    <t>Month</t>
  </si>
  <si>
    <t>ORD10001</t>
  </si>
  <si>
    <t>21/05/2025</t>
  </si>
  <si>
    <t>Rohit</t>
  </si>
  <si>
    <t>Shampoo</t>
  </si>
  <si>
    <t>Beauty</t>
  </si>
  <si>
    <t>Karnataka</t>
  </si>
  <si>
    <t>BookWorld</t>
  </si>
  <si>
    <t>Cash</t>
  </si>
  <si>
    <t>May</t>
  </si>
  <si>
    <t>ORD10002</t>
  </si>
  <si>
    <t>15/10/2025</t>
  </si>
  <si>
    <t>Kavya</t>
  </si>
  <si>
    <t>Chair</t>
  </si>
  <si>
    <t>Home</t>
  </si>
  <si>
    <t>Gujrat</t>
  </si>
  <si>
    <t>TechStore</t>
  </si>
  <si>
    <t>Net Banking</t>
  </si>
  <si>
    <t>Oct</t>
  </si>
  <si>
    <t>ORD10003</t>
  </si>
  <si>
    <t>21/04/2025</t>
  </si>
  <si>
    <t>Neha</t>
  </si>
  <si>
    <t>iPhone 15</t>
  </si>
  <si>
    <t>Electronics</t>
  </si>
  <si>
    <t>Card</t>
  </si>
  <si>
    <t>Apr</t>
  </si>
  <si>
    <t>ORD10004</t>
  </si>
  <si>
    <t>10/10/2025</t>
  </si>
  <si>
    <t>Rahul</t>
  </si>
  <si>
    <t>Shoes</t>
  </si>
  <si>
    <t>Fashion</t>
  </si>
  <si>
    <t>ORD10005</t>
  </si>
  <si>
    <t>21/08/2025</t>
  </si>
  <si>
    <t>Akash</t>
  </si>
  <si>
    <t>Jeans</t>
  </si>
  <si>
    <t>Aug</t>
  </si>
  <si>
    <t>ORD10006</t>
  </si>
  <si>
    <t>14/07/2025</t>
  </si>
  <si>
    <t>Anjali</t>
  </si>
  <si>
    <t>Business Book</t>
  </si>
  <si>
    <t>Books</t>
  </si>
  <si>
    <t>Telangana</t>
  </si>
  <si>
    <t>BeautyCare</t>
  </si>
  <si>
    <t>Jul</t>
  </si>
  <si>
    <t>ORD10007</t>
  </si>
  <si>
    <t>19/04/2025</t>
  </si>
  <si>
    <t>Divya</t>
  </si>
  <si>
    <t>Bedsheet</t>
  </si>
  <si>
    <t>Maharashtra</t>
  </si>
  <si>
    <t>ORD10008</t>
  </si>
  <si>
    <t>18/09/2025</t>
  </si>
  <si>
    <t>Python Book</t>
  </si>
  <si>
    <t>UPI</t>
  </si>
  <si>
    <t>Sep</t>
  </si>
  <si>
    <t>ORD10009</t>
  </si>
  <si>
    <t>28/09/2025</t>
  </si>
  <si>
    <t>Arjun</t>
  </si>
  <si>
    <t>Lamp</t>
  </si>
  <si>
    <t>ORD10010</t>
  </si>
  <si>
    <t>15/05/2025</t>
  </si>
  <si>
    <t>Ali</t>
  </si>
  <si>
    <t>ORD10011</t>
  </si>
  <si>
    <t>08/09/2025</t>
  </si>
  <si>
    <t>Vikas</t>
  </si>
  <si>
    <t>ORD10012</t>
  </si>
  <si>
    <t>07/03/2025</t>
  </si>
  <si>
    <t>Naveen</t>
  </si>
  <si>
    <t>Mixer</t>
  </si>
  <si>
    <t>Mar</t>
  </si>
  <si>
    <t>ORD10013</t>
  </si>
  <si>
    <t>13/08/2025</t>
  </si>
  <si>
    <t>Delhi</t>
  </si>
  <si>
    <t>ORD10014</t>
  </si>
  <si>
    <t>04/02/2025</t>
  </si>
  <si>
    <t>Perfume</t>
  </si>
  <si>
    <t>Feb</t>
  </si>
  <si>
    <t>ORD10015</t>
  </si>
  <si>
    <t>08/04/2025</t>
  </si>
  <si>
    <t>Watch</t>
  </si>
  <si>
    <t>ORD10016</t>
  </si>
  <si>
    <t>09/04/2025</t>
  </si>
  <si>
    <t>ORD10017</t>
  </si>
  <si>
    <t>17/02/2025</t>
  </si>
  <si>
    <t>ORD10018</t>
  </si>
  <si>
    <t>27/05/2025</t>
  </si>
  <si>
    <t>AirPods Pro</t>
  </si>
  <si>
    <t>ORD10019</t>
  </si>
  <si>
    <t>27/10/2025</t>
  </si>
  <si>
    <t>Tamil Nadu</t>
  </si>
  <si>
    <t>ORD10020</t>
  </si>
  <si>
    <t>19/10/2025</t>
  </si>
  <si>
    <t>Priya</t>
  </si>
  <si>
    <t>HomeMart</t>
  </si>
  <si>
    <t>ORD10021</t>
  </si>
  <si>
    <t>09/03/2025</t>
  </si>
  <si>
    <t>ORD10022</t>
  </si>
  <si>
    <t>05/02/2025</t>
  </si>
  <si>
    <t>Cookbook</t>
  </si>
  <si>
    <t>ORD10023</t>
  </si>
  <si>
    <t>24/02/2025</t>
  </si>
  <si>
    <t>Pooja</t>
  </si>
  <si>
    <t>Laptop</t>
  </si>
  <si>
    <t>ORD10024</t>
  </si>
  <si>
    <t>22/05/2025</t>
  </si>
  <si>
    <t>Lipstick</t>
  </si>
  <si>
    <t>ORD10025</t>
  </si>
  <si>
    <t>20/12/2025</t>
  </si>
  <si>
    <t>Dec</t>
  </si>
  <si>
    <t>ORD10026</t>
  </si>
  <si>
    <t>16/12/2025</t>
  </si>
  <si>
    <t>Aman</t>
  </si>
  <si>
    <t>ORD10027</t>
  </si>
  <si>
    <t>20/06/2025</t>
  </si>
  <si>
    <t>Sanjay</t>
  </si>
  <si>
    <t>Jun</t>
  </si>
  <si>
    <t>ORD10028</t>
  </si>
  <si>
    <t>27/04/2025</t>
  </si>
  <si>
    <t>Kiran</t>
  </si>
  <si>
    <t>MacBook Air</t>
  </si>
  <si>
    <t>ORD10029</t>
  </si>
  <si>
    <t>14/05/2025</t>
  </si>
  <si>
    <t>Vijay</t>
  </si>
  <si>
    <t>ORD10030</t>
  </si>
  <si>
    <t>11/05/2025</t>
  </si>
  <si>
    <t>ORD10031</t>
  </si>
  <si>
    <t>06/12/2025</t>
  </si>
  <si>
    <t>ORD10032</t>
  </si>
  <si>
    <t>13/12/2025</t>
  </si>
  <si>
    <t>ORD10033</t>
  </si>
  <si>
    <t>12/12/2025</t>
  </si>
  <si>
    <t>ORD10034</t>
  </si>
  <si>
    <t>13/01/2025</t>
  </si>
  <si>
    <t>Jan</t>
  </si>
  <si>
    <t>ORD10035</t>
  </si>
  <si>
    <t>Meena</t>
  </si>
  <si>
    <t>Novel</t>
  </si>
  <si>
    <t>ORD10036</t>
  </si>
  <si>
    <t>08/10/2025</t>
  </si>
  <si>
    <t>ORD10037</t>
  </si>
  <si>
    <t>ORD10038</t>
  </si>
  <si>
    <t>28/07/2025</t>
  </si>
  <si>
    <t>ORD10039</t>
  </si>
  <si>
    <t>30/06/2025</t>
  </si>
  <si>
    <t>ORD10040</t>
  </si>
  <si>
    <t>22/06/2025</t>
  </si>
  <si>
    <t>ORD10041</t>
  </si>
  <si>
    <t>25/08/2025</t>
  </si>
  <si>
    <t>T-Shirt</t>
  </si>
  <si>
    <t>ORD10042</t>
  </si>
  <si>
    <t>10/01/2025</t>
  </si>
  <si>
    <t>ORD10043</t>
  </si>
  <si>
    <t>09/12/2025</t>
  </si>
  <si>
    <t>ORD10044</t>
  </si>
  <si>
    <t>Sony Headphones</t>
  </si>
  <si>
    <t>ORD10045</t>
  </si>
  <si>
    <t>05/12/2025</t>
  </si>
  <si>
    <t>ORD10046</t>
  </si>
  <si>
    <t>25/09/2025</t>
  </si>
  <si>
    <t>Sneha</t>
  </si>
  <si>
    <t>ORD10047</t>
  </si>
  <si>
    <t>26/08/2025</t>
  </si>
  <si>
    <t>ORD10048</t>
  </si>
  <si>
    <t>22/09/2025</t>
  </si>
  <si>
    <t>ORD10049</t>
  </si>
  <si>
    <t>27/07/2025</t>
  </si>
  <si>
    <t>ORD10050</t>
  </si>
  <si>
    <t>29/04/2025</t>
  </si>
  <si>
    <t>Ria</t>
  </si>
  <si>
    <t>ORD10051</t>
  </si>
  <si>
    <t>21/02/2025</t>
  </si>
  <si>
    <t>ORD10052</t>
  </si>
  <si>
    <t>22/02/2025</t>
  </si>
  <si>
    <t>ORD10053</t>
  </si>
  <si>
    <t>07/02/2025</t>
  </si>
  <si>
    <t>ORD10054</t>
  </si>
  <si>
    <t>02/06/2025</t>
  </si>
  <si>
    <t>ORD10055</t>
  </si>
  <si>
    <t>22/03/2025</t>
  </si>
  <si>
    <t>ORD10056</t>
  </si>
  <si>
    <t>17/11/2025</t>
  </si>
  <si>
    <t>Nov</t>
  </si>
  <si>
    <t>ORD10057</t>
  </si>
  <si>
    <t>ORD10058</t>
  </si>
  <si>
    <t>09/05/2025</t>
  </si>
  <si>
    <t>ORD10059</t>
  </si>
  <si>
    <t>23/05/2025</t>
  </si>
  <si>
    <t>ORD10060</t>
  </si>
  <si>
    <t>22/12/2025</t>
  </si>
  <si>
    <t>ORD10061</t>
  </si>
  <si>
    <t>31/07/2025</t>
  </si>
  <si>
    <t>ORD10062</t>
  </si>
  <si>
    <t>04/03/2025</t>
  </si>
  <si>
    <t>ORD10063</t>
  </si>
  <si>
    <t>13/09/2025</t>
  </si>
  <si>
    <t>ORD10064</t>
  </si>
  <si>
    <t>24/06/2025</t>
  </si>
  <si>
    <t>ORD10065</t>
  </si>
  <si>
    <t>06/10/2025</t>
  </si>
  <si>
    <t>ORD10066</t>
  </si>
  <si>
    <t>11/09/2025</t>
  </si>
  <si>
    <t>ORD10067</t>
  </si>
  <si>
    <t>02/12/2025</t>
  </si>
  <si>
    <t>ORD10068</t>
  </si>
  <si>
    <t>13/11/2025</t>
  </si>
  <si>
    <t>ORD10069</t>
  </si>
  <si>
    <t>29/01/2025</t>
  </si>
  <si>
    <t>Face Wash</t>
  </si>
  <si>
    <t>ORD10070</t>
  </si>
  <si>
    <t>12/09/2025</t>
  </si>
  <si>
    <t>ORD10071</t>
  </si>
  <si>
    <t>28/10/2025</t>
  </si>
  <si>
    <t>ORD10072</t>
  </si>
  <si>
    <t>22/10/2025</t>
  </si>
  <si>
    <t>ORD10073</t>
  </si>
  <si>
    <t>23/04/2025</t>
  </si>
  <si>
    <t>ORD10074</t>
  </si>
  <si>
    <t>01/06/2025</t>
  </si>
  <si>
    <t>ORD10075</t>
  </si>
  <si>
    <t>ORD10076</t>
  </si>
  <si>
    <t>02/10/2025</t>
  </si>
  <si>
    <t>ORD10077</t>
  </si>
  <si>
    <t>09/11/2025</t>
  </si>
  <si>
    <t>ORD10078</t>
  </si>
  <si>
    <t>01/05/2025</t>
  </si>
  <si>
    <t>ORD10079</t>
  </si>
  <si>
    <t>24/05/2025</t>
  </si>
  <si>
    <t>ORD10080</t>
  </si>
  <si>
    <t>ORD10081</t>
  </si>
  <si>
    <t>ORD10082</t>
  </si>
  <si>
    <t>ORD10083</t>
  </si>
  <si>
    <t>02/02/2025</t>
  </si>
  <si>
    <t>ORD10084</t>
  </si>
  <si>
    <t>03/09/2025</t>
  </si>
  <si>
    <t>ORD10085</t>
  </si>
  <si>
    <t>21/11/2025</t>
  </si>
  <si>
    <t>ORD10086</t>
  </si>
  <si>
    <t>ORD10087</t>
  </si>
  <si>
    <t>ORD10088</t>
  </si>
  <si>
    <t>04/11/2025</t>
  </si>
  <si>
    <t>ORD10089</t>
  </si>
  <si>
    <t>21/10/2025</t>
  </si>
  <si>
    <t>ORD10090</t>
  </si>
  <si>
    <t>ORD10091</t>
  </si>
  <si>
    <t>02/11/2025</t>
  </si>
  <si>
    <t>ORD10092</t>
  </si>
  <si>
    <t>01/08/2025</t>
  </si>
  <si>
    <t>ORD10093</t>
  </si>
  <si>
    <t>03/11/2025</t>
  </si>
  <si>
    <t>ORD10094</t>
  </si>
  <si>
    <t>08/03/2025</t>
  </si>
  <si>
    <t>ORD10095</t>
  </si>
  <si>
    <t>09/02/2025</t>
  </si>
  <si>
    <t>ORD10096</t>
  </si>
  <si>
    <t>ORD10097</t>
  </si>
  <si>
    <t>ORD10098</t>
  </si>
  <si>
    <t>05/11/2025</t>
  </si>
  <si>
    <t>ORD10099</t>
  </si>
  <si>
    <t>ORD10100</t>
  </si>
  <si>
    <t>ORD10101</t>
  </si>
  <si>
    <t>14/09/2025</t>
  </si>
  <si>
    <t>ORD10102</t>
  </si>
  <si>
    <t>06/07/2025</t>
  </si>
  <si>
    <t>ORD10103</t>
  </si>
  <si>
    <t>03/12/2025</t>
  </si>
  <si>
    <t>ORD10104</t>
  </si>
  <si>
    <t>26/11/2025</t>
  </si>
  <si>
    <t>ORD10105</t>
  </si>
  <si>
    <t>06/09/2025</t>
  </si>
  <si>
    <t>ORD10106</t>
  </si>
  <si>
    <t>ORD10107</t>
  </si>
  <si>
    <t>18/08/2025</t>
  </si>
  <si>
    <t>ORD10108</t>
  </si>
  <si>
    <t>06/11/2025</t>
  </si>
  <si>
    <t>ORD10109</t>
  </si>
  <si>
    <t>12/08/2025</t>
  </si>
  <si>
    <t>ORD10110</t>
  </si>
  <si>
    <t>13/06/2025</t>
  </si>
  <si>
    <t>ORD10111</t>
  </si>
  <si>
    <t>10/02/2025</t>
  </si>
  <si>
    <t>ORD10112</t>
  </si>
  <si>
    <t>03/08/2025</t>
  </si>
  <si>
    <t>ORD10113</t>
  </si>
  <si>
    <t>04/05/2025</t>
  </si>
  <si>
    <t>ORD10114</t>
  </si>
  <si>
    <t>09/01/2025</t>
  </si>
  <si>
    <t>ORD10115</t>
  </si>
  <si>
    <t>23/12/2025</t>
  </si>
  <si>
    <t>ORD10116</t>
  </si>
  <si>
    <t>23/07/2025</t>
  </si>
  <si>
    <t>ORD10117</t>
  </si>
  <si>
    <t>14/08/2025</t>
  </si>
  <si>
    <t>ORD10118</t>
  </si>
  <si>
    <t>07/10/2025</t>
  </si>
  <si>
    <t>ORD10119</t>
  </si>
  <si>
    <t>17/08/2025</t>
  </si>
  <si>
    <t>ORD10120</t>
  </si>
  <si>
    <t>16/01/2025</t>
  </si>
  <si>
    <t>ORD10121</t>
  </si>
  <si>
    <t>10/07/2025</t>
  </si>
  <si>
    <t>ORD10122</t>
  </si>
  <si>
    <t>ORD10123</t>
  </si>
  <si>
    <t>16/08/2025</t>
  </si>
  <si>
    <t>ORD10124</t>
  </si>
  <si>
    <t>ORD10125</t>
  </si>
  <si>
    <t>ORD10126</t>
  </si>
  <si>
    <t>ORD10127</t>
  </si>
  <si>
    <t>ORD10128</t>
  </si>
  <si>
    <t>16/10/2025</t>
  </si>
  <si>
    <t>ORD10129</t>
  </si>
  <si>
    <t>25/11/2025</t>
  </si>
  <si>
    <t>ORD10130</t>
  </si>
  <si>
    <t>ORD10131</t>
  </si>
  <si>
    <t>07/05/2025</t>
  </si>
  <si>
    <t>ORD10132</t>
  </si>
  <si>
    <t>21/09/2025</t>
  </si>
  <si>
    <t>ORD10133</t>
  </si>
  <si>
    <t>ORD10134</t>
  </si>
  <si>
    <t>ORD10135</t>
  </si>
  <si>
    <t>11/07/2025</t>
  </si>
  <si>
    <t>ORD10136</t>
  </si>
  <si>
    <t>18/03/2025</t>
  </si>
  <si>
    <t>ORD10137</t>
  </si>
  <si>
    <t>08/07/2025</t>
  </si>
  <si>
    <t>ORD10138</t>
  </si>
  <si>
    <t>29/03/2025</t>
  </si>
  <si>
    <t>ORD10139</t>
  </si>
  <si>
    <t>ORD10140</t>
  </si>
  <si>
    <t>ORD10141</t>
  </si>
  <si>
    <t>ORD10142</t>
  </si>
  <si>
    <t>ORD10143</t>
  </si>
  <si>
    <t>05/05/2025</t>
  </si>
  <si>
    <t>ORD10144</t>
  </si>
  <si>
    <t>09/10/2025</t>
  </si>
  <si>
    <t>ORD10145</t>
  </si>
  <si>
    <t>01/04/2025</t>
  </si>
  <si>
    <t>ORD10146</t>
  </si>
  <si>
    <t>20/05/2025</t>
  </si>
  <si>
    <t>ORD10147</t>
  </si>
  <si>
    <t>31/03/2025</t>
  </si>
  <si>
    <t>ORD10148</t>
  </si>
  <si>
    <t>16/07/2025</t>
  </si>
  <si>
    <t>ORD10149</t>
  </si>
  <si>
    <t>27/08/2025</t>
  </si>
  <si>
    <t>ORD10150</t>
  </si>
  <si>
    <t>20/03/2025</t>
  </si>
  <si>
    <t>ORD10151</t>
  </si>
  <si>
    <t>ORD10152</t>
  </si>
  <si>
    <t>16/02/2025</t>
  </si>
  <si>
    <t>ORD10153</t>
  </si>
  <si>
    <t>02/01/2025</t>
  </si>
  <si>
    <t>ORD10154</t>
  </si>
  <si>
    <t>11/03/2025</t>
  </si>
  <si>
    <t>ORD10155</t>
  </si>
  <si>
    <t>25/04/2025</t>
  </si>
  <si>
    <t>ORD10156</t>
  </si>
  <si>
    <t>27/02/2025</t>
  </si>
  <si>
    <t>ORD10157</t>
  </si>
  <si>
    <t>25/07/2025</t>
  </si>
  <si>
    <t>ORD10158</t>
  </si>
  <si>
    <t>15/03/2025</t>
  </si>
  <si>
    <t>ORD10159</t>
  </si>
  <si>
    <t>26/09/2025</t>
  </si>
  <si>
    <t>ORD10160</t>
  </si>
  <si>
    <t>ORD10161</t>
  </si>
  <si>
    <t>27/01/2025</t>
  </si>
  <si>
    <t>ORD10162</t>
  </si>
  <si>
    <t>ORD10163</t>
  </si>
  <si>
    <t>04/07/2025</t>
  </si>
  <si>
    <t>ORD10164</t>
  </si>
  <si>
    <t>11/10/2025</t>
  </si>
  <si>
    <t>ORD10165</t>
  </si>
  <si>
    <t>24/08/2025</t>
  </si>
  <si>
    <t>ORD10166</t>
  </si>
  <si>
    <t>12/03/2025</t>
  </si>
  <si>
    <t>ORD10167</t>
  </si>
  <si>
    <t>30/09/2025</t>
  </si>
  <si>
    <t>ORD10168</t>
  </si>
  <si>
    <t>ORD10169</t>
  </si>
  <si>
    <t>ORD10170</t>
  </si>
  <si>
    <t>11/08/2025</t>
  </si>
  <si>
    <t>ORD10171</t>
  </si>
  <si>
    <t>02/04/2025</t>
  </si>
  <si>
    <t>ORD10172</t>
  </si>
  <si>
    <t>ORD10173</t>
  </si>
  <si>
    <t>19/08/2025</t>
  </si>
  <si>
    <t>ORD10174</t>
  </si>
  <si>
    <t>18/05/2025</t>
  </si>
  <si>
    <t>ORD10175</t>
  </si>
  <si>
    <t>14/02/2025</t>
  </si>
  <si>
    <t>ORD10176</t>
  </si>
  <si>
    <t>30/05/2025</t>
  </si>
  <si>
    <t>ORD10177</t>
  </si>
  <si>
    <t>16/03/2025</t>
  </si>
  <si>
    <t>ORD10178</t>
  </si>
  <si>
    <t>23/08/2025</t>
  </si>
  <si>
    <t>ORD10179</t>
  </si>
  <si>
    <t>03/06/2025</t>
  </si>
  <si>
    <t>ORD10180</t>
  </si>
  <si>
    <t>ORD10181</t>
  </si>
  <si>
    <t>21/12/2025</t>
  </si>
  <si>
    <t>ORD10182</t>
  </si>
  <si>
    <t>26/10/2025</t>
  </si>
  <si>
    <t>ORD10183</t>
  </si>
  <si>
    <t>27/03/2025</t>
  </si>
  <si>
    <t>ORD10184</t>
  </si>
  <si>
    <t>ORD10185</t>
  </si>
  <si>
    <t>22/08/2025</t>
  </si>
  <si>
    <t>ORD10186</t>
  </si>
  <si>
    <t>25/06/2025</t>
  </si>
  <si>
    <t>ORD10187</t>
  </si>
  <si>
    <t>06/04/2025</t>
  </si>
  <si>
    <t>ORD10188</t>
  </si>
  <si>
    <t>23/10/2025</t>
  </si>
  <si>
    <t>ORD10189</t>
  </si>
  <si>
    <t>ORD10190</t>
  </si>
  <si>
    <t>03/05/2025</t>
  </si>
  <si>
    <t>ORD10191</t>
  </si>
  <si>
    <t>12/10/2025</t>
  </si>
  <si>
    <t>ORD10192</t>
  </si>
  <si>
    <t>ORD10193</t>
  </si>
  <si>
    <t>28/03/2025</t>
  </si>
  <si>
    <t>ORD10194</t>
  </si>
  <si>
    <t>06/08/2025</t>
  </si>
  <si>
    <t>ORD10195</t>
  </si>
  <si>
    <t>30/12/2025</t>
  </si>
  <si>
    <t>ORD10196</t>
  </si>
  <si>
    <t>ORD10197</t>
  </si>
  <si>
    <t>ORD10198</t>
  </si>
  <si>
    <t>17/06/2025</t>
  </si>
  <si>
    <t>ORD10199</t>
  </si>
  <si>
    <t>ORD10200</t>
  </si>
  <si>
    <t>ORD10201</t>
  </si>
  <si>
    <t>12/02/2025</t>
  </si>
  <si>
    <t>ORD10202</t>
  </si>
  <si>
    <t>02/09/2025</t>
  </si>
  <si>
    <t>ORD10203</t>
  </si>
  <si>
    <t>ORD10204</t>
  </si>
  <si>
    <t>ORD10205</t>
  </si>
  <si>
    <t>29/06/2025</t>
  </si>
  <si>
    <t>ORD10206</t>
  </si>
  <si>
    <t>20/07/2025</t>
  </si>
  <si>
    <t>ORD10207</t>
  </si>
  <si>
    <t>18/07/2025</t>
  </si>
  <si>
    <t>ORD10208</t>
  </si>
  <si>
    <t>17/09/2025</t>
  </si>
  <si>
    <t>ORD10209</t>
  </si>
  <si>
    <t>21/03/2025</t>
  </si>
  <si>
    <t>ORD10210</t>
  </si>
  <si>
    <t>03/03/2025</t>
  </si>
  <si>
    <t>ORD10211</t>
  </si>
  <si>
    <t>21/06/2025</t>
  </si>
  <si>
    <t>ORD10212</t>
  </si>
  <si>
    <t>ORD10213</t>
  </si>
  <si>
    <t>ORD10214</t>
  </si>
  <si>
    <t>ORD10215</t>
  </si>
  <si>
    <t>ORD10216</t>
  </si>
  <si>
    <t>30/04/2025</t>
  </si>
  <si>
    <t>ORD10217</t>
  </si>
  <si>
    <t>14/03/2025</t>
  </si>
  <si>
    <t>ORD10218</t>
  </si>
  <si>
    <t>23/11/2025</t>
  </si>
  <si>
    <t>ORD10219</t>
  </si>
  <si>
    <t>ORD10220</t>
  </si>
  <si>
    <t>17/04/2025</t>
  </si>
  <si>
    <t>ORD10221</t>
  </si>
  <si>
    <t>31/12/2025</t>
  </si>
  <si>
    <t>ORD10222</t>
  </si>
  <si>
    <t>ORD10223</t>
  </si>
  <si>
    <t>03/02/2025</t>
  </si>
  <si>
    <t>ORD10224</t>
  </si>
  <si>
    <t>15/07/2025</t>
  </si>
  <si>
    <t>ORD10225</t>
  </si>
  <si>
    <t>ORD10226</t>
  </si>
  <si>
    <t>26/06/2025</t>
  </si>
  <si>
    <t>ORD10227</t>
  </si>
  <si>
    <t>23/03/2025</t>
  </si>
  <si>
    <t>ORD10228</t>
  </si>
  <si>
    <t>31/10/2025</t>
  </si>
  <si>
    <t>ORD10229</t>
  </si>
  <si>
    <t>20/01/2025</t>
  </si>
  <si>
    <t>ORD10230</t>
  </si>
  <si>
    <t>15/06/2025</t>
  </si>
  <si>
    <t>ORD10231</t>
  </si>
  <si>
    <t>ORD10232</t>
  </si>
  <si>
    <t>ORD10233</t>
  </si>
  <si>
    <t>ORD10234</t>
  </si>
  <si>
    <t>ORD10235</t>
  </si>
  <si>
    <t>ORD10236</t>
  </si>
  <si>
    <t>ORD10237</t>
  </si>
  <si>
    <t>ORD10238</t>
  </si>
  <si>
    <t>ORD10239</t>
  </si>
  <si>
    <t>11/02/2025</t>
  </si>
  <si>
    <t>ORD10240</t>
  </si>
  <si>
    <t>09/07/2025</t>
  </si>
  <si>
    <t>ORD10241</t>
  </si>
  <si>
    <t>05/10/2025</t>
  </si>
  <si>
    <t>ORD10242</t>
  </si>
  <si>
    <t>ORD10243</t>
  </si>
  <si>
    <t>06/03/2025</t>
  </si>
  <si>
    <t>ORD10244</t>
  </si>
  <si>
    <t>ORD10245</t>
  </si>
  <si>
    <t>ORD10246</t>
  </si>
  <si>
    <t>26/07/2025</t>
  </si>
  <si>
    <t>ORD10247</t>
  </si>
  <si>
    <t>09/06/2025</t>
  </si>
  <si>
    <t>ORD10248</t>
  </si>
  <si>
    <t>ORD10249</t>
  </si>
  <si>
    <t>30/03/2025</t>
  </si>
  <si>
    <t>ORD10250</t>
  </si>
  <si>
    <t>22/11/2025</t>
  </si>
  <si>
    <t>ORD10251</t>
  </si>
  <si>
    <t>19/12/2025</t>
  </si>
  <si>
    <t>ORD10252</t>
  </si>
  <si>
    <t>20/09/2025</t>
  </si>
  <si>
    <t>ORD10253</t>
  </si>
  <si>
    <t>28/06/2025</t>
  </si>
  <si>
    <t>ORD10254</t>
  </si>
  <si>
    <t>ORD10255</t>
  </si>
  <si>
    <t>30/01/2025</t>
  </si>
  <si>
    <t>ORD10256</t>
  </si>
  <si>
    <t>ORD10257</t>
  </si>
  <si>
    <t>13/05/2025</t>
  </si>
  <si>
    <t>ORD10258</t>
  </si>
  <si>
    <t>ORD10259</t>
  </si>
  <si>
    <t>19/03/2025</t>
  </si>
  <si>
    <t>ORD10260</t>
  </si>
  <si>
    <t>03/01/2025</t>
  </si>
  <si>
    <t>ORD10261</t>
  </si>
  <si>
    <t>ORD10262</t>
  </si>
  <si>
    <t>ORD10263</t>
  </si>
  <si>
    <t>ORD10264</t>
  </si>
  <si>
    <t>29/10/2025</t>
  </si>
  <si>
    <t>ORD10265</t>
  </si>
  <si>
    <t>02/08/2025</t>
  </si>
  <si>
    <t>ORD10266</t>
  </si>
  <si>
    <t>15/11/2025</t>
  </si>
  <si>
    <t>ORD10267</t>
  </si>
  <si>
    <t>03/07/2025</t>
  </si>
  <si>
    <t>ORD10268</t>
  </si>
  <si>
    <t>ORD10269</t>
  </si>
  <si>
    <t>ORD10270</t>
  </si>
  <si>
    <t>ORD10271</t>
  </si>
  <si>
    <t>ORD10272</t>
  </si>
  <si>
    <t>17/12/2025</t>
  </si>
  <si>
    <t>ORD10273</t>
  </si>
  <si>
    <t>10/08/2025</t>
  </si>
  <si>
    <t>ORD10274</t>
  </si>
  <si>
    <t>08/02/2025</t>
  </si>
  <si>
    <t>ORD10275</t>
  </si>
  <si>
    <t>15/02/2025</t>
  </si>
  <si>
    <t>ORD10276</t>
  </si>
  <si>
    <t>ORD10277</t>
  </si>
  <si>
    <t>19/02/2025</t>
  </si>
  <si>
    <t>ORD10278</t>
  </si>
  <si>
    <t>ORD10279</t>
  </si>
  <si>
    <t>ORD10280</t>
  </si>
  <si>
    <t>ORD10281</t>
  </si>
  <si>
    <t>ORD10282</t>
  </si>
  <si>
    <t>15/09/2025</t>
  </si>
  <si>
    <t>ORD10283</t>
  </si>
  <si>
    <t>ORD10284</t>
  </si>
  <si>
    <t>15/04/2025</t>
  </si>
  <si>
    <t>ORD10285</t>
  </si>
  <si>
    <t>ORD10286</t>
  </si>
  <si>
    <t>10/04/2025</t>
  </si>
  <si>
    <t>ORD10287</t>
  </si>
  <si>
    <t>ORD10288</t>
  </si>
  <si>
    <t>09/09/2025</t>
  </si>
  <si>
    <t>ORD10289</t>
  </si>
  <si>
    <t>20/04/2025</t>
  </si>
  <si>
    <t>ORD10290</t>
  </si>
  <si>
    <t>21/01/2025</t>
  </si>
  <si>
    <t>ORD10291</t>
  </si>
  <si>
    <t>30/11/2025</t>
  </si>
  <si>
    <t>ORD10292</t>
  </si>
  <si>
    <t>03/10/2025</t>
  </si>
  <si>
    <t>ORD10293</t>
  </si>
  <si>
    <t>06/02/2025</t>
  </si>
  <si>
    <t>ORD10294</t>
  </si>
  <si>
    <t>ORD10295</t>
  </si>
  <si>
    <t>ORD10296</t>
  </si>
  <si>
    <t>05/03/2025</t>
  </si>
  <si>
    <t>ORD10297</t>
  </si>
  <si>
    <t>12/11/2025</t>
  </si>
  <si>
    <t>ORD10298</t>
  </si>
  <si>
    <t>12/04/2025</t>
  </si>
  <si>
    <t>ORD10299</t>
  </si>
  <si>
    <t>04/12/2025</t>
  </si>
  <si>
    <t>ORD10300</t>
  </si>
  <si>
    <t>ORD10301</t>
  </si>
  <si>
    <t>ORD10302</t>
  </si>
  <si>
    <t>19/01/2025</t>
  </si>
  <si>
    <t>ORD10303</t>
  </si>
  <si>
    <t>06/01/2025</t>
  </si>
  <si>
    <t>ORD10304</t>
  </si>
  <si>
    <t>ORD10305</t>
  </si>
  <si>
    <t>ORD10306</t>
  </si>
  <si>
    <t>ORD10307</t>
  </si>
  <si>
    <t>ORD10308</t>
  </si>
  <si>
    <t>18/04/2025</t>
  </si>
  <si>
    <t>ORD10309</t>
  </si>
  <si>
    <t>ORD10310</t>
  </si>
  <si>
    <t>ORD10311</t>
  </si>
  <si>
    <t>28/04/2025</t>
  </si>
  <si>
    <t>ORD10312</t>
  </si>
  <si>
    <t>ORD10313</t>
  </si>
  <si>
    <t>ORD10314</t>
  </si>
  <si>
    <t>12/05/2025</t>
  </si>
  <si>
    <t>ORD10315</t>
  </si>
  <si>
    <t>ORD10316</t>
  </si>
  <si>
    <t>14/10/2025</t>
  </si>
  <si>
    <t>ORD10317</t>
  </si>
  <si>
    <t>23/06/2025</t>
  </si>
  <si>
    <t>ORD10318</t>
  </si>
  <si>
    <t>08/11/2025</t>
  </si>
  <si>
    <t>ORD10319</t>
  </si>
  <si>
    <t>ORD10320</t>
  </si>
  <si>
    <t>ORD10321</t>
  </si>
  <si>
    <t>26/04/2025</t>
  </si>
  <si>
    <t>ORD10322</t>
  </si>
  <si>
    <t>ORD10323</t>
  </si>
  <si>
    <t>ORD10324</t>
  </si>
  <si>
    <t>ORD10325</t>
  </si>
  <si>
    <t>16/04/2025</t>
  </si>
  <si>
    <t>ORD10326</t>
  </si>
  <si>
    <t>04/09/2025</t>
  </si>
  <si>
    <t>ORD10327</t>
  </si>
  <si>
    <t>ORD10328</t>
  </si>
  <si>
    <t>25/10/2025</t>
  </si>
  <si>
    <t>ORD10329</t>
  </si>
  <si>
    <t>ORD10330</t>
  </si>
  <si>
    <t>ORD10331</t>
  </si>
  <si>
    <t>ORD10332</t>
  </si>
  <si>
    <t>ORD10333</t>
  </si>
  <si>
    <t>11/12/2025</t>
  </si>
  <si>
    <t>ORD10334</t>
  </si>
  <si>
    <t>ORD10335</t>
  </si>
  <si>
    <t>ORD10336</t>
  </si>
  <si>
    <t>ORD10337</t>
  </si>
  <si>
    <t>ORD10338</t>
  </si>
  <si>
    <t>04/10/2025</t>
  </si>
  <si>
    <t>ORD10339</t>
  </si>
  <si>
    <t>ORD10340</t>
  </si>
  <si>
    <t>ORD10341</t>
  </si>
  <si>
    <t>22/07/2025</t>
  </si>
  <si>
    <t>ORD10342</t>
  </si>
  <si>
    <t>ORD10343</t>
  </si>
  <si>
    <t>ORD10344</t>
  </si>
  <si>
    <t>22/04/2025</t>
  </si>
  <si>
    <t>ORD10345</t>
  </si>
  <si>
    <t>ORD10346</t>
  </si>
  <si>
    <t>18/02/2025</t>
  </si>
  <si>
    <t>ORD10347</t>
  </si>
  <si>
    <t>ORD10348</t>
  </si>
  <si>
    <t>22/01/2025</t>
  </si>
  <si>
    <t>ORD10349</t>
  </si>
  <si>
    <t>26/12/2025</t>
  </si>
  <si>
    <t>ORD10350</t>
  </si>
  <si>
    <t>10/03/2025</t>
  </si>
  <si>
    <t>ORD10351</t>
  </si>
  <si>
    <t>ORD10352</t>
  </si>
  <si>
    <t>14/11/2025</t>
  </si>
  <si>
    <t>ORD10353</t>
  </si>
  <si>
    <t>26/02/2025</t>
  </si>
  <si>
    <t>ORD10354</t>
  </si>
  <si>
    <t>ORD10355</t>
  </si>
  <si>
    <t>ORD10356</t>
  </si>
  <si>
    <t>ORD10357</t>
  </si>
  <si>
    <t>ORD10358</t>
  </si>
  <si>
    <t>16/06/2025</t>
  </si>
  <si>
    <t>ORD10359</t>
  </si>
  <si>
    <t>ORD10360</t>
  </si>
  <si>
    <t>ORD10361</t>
  </si>
  <si>
    <t>ORD10362</t>
  </si>
  <si>
    <t>ORD10363</t>
  </si>
  <si>
    <t>01/12/2025</t>
  </si>
  <si>
    <t>ORD10364</t>
  </si>
  <si>
    <t>ORD10365</t>
  </si>
  <si>
    <t>24/07/2025</t>
  </si>
  <si>
    <t>ORD10366</t>
  </si>
  <si>
    <t>09/08/2025</t>
  </si>
  <si>
    <t>ORD10367</t>
  </si>
  <si>
    <t>ORD10368</t>
  </si>
  <si>
    <t>ORD10369</t>
  </si>
  <si>
    <t>ORD10370</t>
  </si>
  <si>
    <t>28/01/2025</t>
  </si>
  <si>
    <t>ORD10371</t>
  </si>
  <si>
    <t>ORD10372</t>
  </si>
  <si>
    <t>ORD10373</t>
  </si>
  <si>
    <t>ORD10374</t>
  </si>
  <si>
    <t>07/08/2025</t>
  </si>
  <si>
    <t>ORD10375</t>
  </si>
  <si>
    <t>ORD10376</t>
  </si>
  <si>
    <t>30/07/2025</t>
  </si>
  <si>
    <t>ORD10377</t>
  </si>
  <si>
    <t>ORD10378</t>
  </si>
  <si>
    <t>25/03/2025</t>
  </si>
  <si>
    <t>ORD10379</t>
  </si>
  <si>
    <t>ORD10380</t>
  </si>
  <si>
    <t>ORD10381</t>
  </si>
  <si>
    <t>ORD10382</t>
  </si>
  <si>
    <t>21/07/2025</t>
  </si>
  <si>
    <t>ORD10383</t>
  </si>
  <si>
    <t>ORD10384</t>
  </si>
  <si>
    <t>17/10/2025</t>
  </si>
  <si>
    <t>ORD10385</t>
  </si>
  <si>
    <t>ORD10386</t>
  </si>
  <si>
    <t>ORD10387</t>
  </si>
  <si>
    <t>ORD10388</t>
  </si>
  <si>
    <t>ORD10389</t>
  </si>
  <si>
    <t>27/09/2025</t>
  </si>
  <si>
    <t>ORD10390</t>
  </si>
  <si>
    <t>ORD10391</t>
  </si>
  <si>
    <t>ORD10392</t>
  </si>
  <si>
    <t>ORD10393</t>
  </si>
  <si>
    <t>19/06/2025</t>
  </si>
  <si>
    <t>ORD10394</t>
  </si>
  <si>
    <t>24/09/2025</t>
  </si>
  <si>
    <t>ORD10395</t>
  </si>
  <si>
    <t>12/07/2025</t>
  </si>
  <si>
    <t>ORD10396</t>
  </si>
  <si>
    <t>ORD10397</t>
  </si>
  <si>
    <t>05/09/2025</t>
  </si>
  <si>
    <t>ORD10398</t>
  </si>
  <si>
    <t>ORD10399</t>
  </si>
  <si>
    <t>24/11/2025</t>
  </si>
  <si>
    <t>ORD10400</t>
  </si>
  <si>
    <t>08/01/2025</t>
  </si>
  <si>
    <t>ORD10401</t>
  </si>
  <si>
    <t>ORD10402</t>
  </si>
  <si>
    <t>ORD10403</t>
  </si>
  <si>
    <t>08/06/2025</t>
  </si>
  <si>
    <t>ORD10404</t>
  </si>
  <si>
    <t>ORD10405</t>
  </si>
  <si>
    <t>ORD10406</t>
  </si>
  <si>
    <t>ORD10407</t>
  </si>
  <si>
    <t>ORD10408</t>
  </si>
  <si>
    <t>ORD10409</t>
  </si>
  <si>
    <t>ORD10410</t>
  </si>
  <si>
    <t>ORD10411</t>
  </si>
  <si>
    <t>13/03/2025</t>
  </si>
  <si>
    <t>ORD10412</t>
  </si>
  <si>
    <t>ORD10413</t>
  </si>
  <si>
    <t>ORD10414</t>
  </si>
  <si>
    <t>18/10/2025</t>
  </si>
  <si>
    <t>ORD10415</t>
  </si>
  <si>
    <t>ORD10416</t>
  </si>
  <si>
    <t>ORD10417</t>
  </si>
  <si>
    <t>24/10/2025</t>
  </si>
  <si>
    <t>ORD10418</t>
  </si>
  <si>
    <t>ORD10419</t>
  </si>
  <si>
    <t>03/04/2025</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</si>
  <si>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</si>
  <si>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</si>
  <si>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</si>
  <si>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</si>
  <si>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</si>
  <si>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</si>
  <si>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</si>
  <si>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</si>
  <si>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</si>
  <si>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</si>
  <si>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</si>
  <si>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</si>
  <si>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</si>
  <si>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</si>
  <si>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</si>
  <si>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</si>
  <si>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</si>
  <si>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</si>
  <si>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</si>
  <si>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</si>
  <si>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18/11/2025</t>
  </si>
  <si>
    <t>ORD10440</t>
  </si>
  <si>
    <t>ORD10441</t>
  </si>
  <si>
    <t>ORD10442</t>
  </si>
  <si>
    <t>ORD10443</t>
  </si>
  <si>
    <t>ORD10444</t>
  </si>
  <si>
    <t>20/11/2025</t>
  </si>
  <si>
    <t>ORD10445</t>
  </si>
  <si>
    <t>ORD10446</t>
  </si>
  <si>
    <t>ORD10447</t>
  </si>
  <si>
    <t>ORD10448</t>
  </si>
  <si>
    <t>ORD10449</t>
  </si>
  <si>
    <t>ORD10450</t>
  </si>
  <si>
    <t>19/05/2025</t>
  </si>
  <si>
    <t>ORD10451</t>
  </si>
  <si>
    <t>07/07/2025</t>
  </si>
  <si>
    <t>ORD10452</t>
  </si>
  <si>
    <t>ORD10453</t>
  </si>
  <si>
    <t>20/08/2025</t>
  </si>
  <si>
    <t>ORD10454</t>
  </si>
  <si>
    <t>ORD10455</t>
  </si>
  <si>
    <t>27/11/2025</t>
  </si>
  <si>
    <t>ORD10456</t>
  </si>
  <si>
    <t>ORD10457</t>
  </si>
  <si>
    <t>ORD10458</t>
  </si>
  <si>
    <t>ORD10459</t>
  </si>
  <si>
    <t>01/10/2025</t>
  </si>
  <si>
    <t>ORD10460</t>
  </si>
  <si>
    <t>ORD10461</t>
  </si>
  <si>
    <t>ORD10462</t>
  </si>
  <si>
    <t>ORD10463</t>
  </si>
  <si>
    <t>ORD10464</t>
  </si>
  <si>
    <t>ORD10465</t>
  </si>
  <si>
    <t>ORD10466</t>
  </si>
  <si>
    <t>ORD10467</t>
  </si>
  <si>
    <t>ORD10468</t>
  </si>
  <si>
    <t>ORD10469</t>
  </si>
  <si>
    <t>ORD10470</t>
  </si>
  <si>
    <t>ORD10471</t>
  </si>
  <si>
    <t>ORD10472</t>
  </si>
  <si>
    <t>ORD10473</t>
  </si>
  <si>
    <t>02/03/2025</t>
  </si>
  <si>
    <t>ORD10474</t>
  </si>
  <si>
    <t>ORD10475</t>
  </si>
  <si>
    <t>ORD10476</t>
  </si>
  <si>
    <t>16/09/2025</t>
  </si>
  <si>
    <t>ORD10477</t>
  </si>
  <si>
    <t>ORD10478</t>
  </si>
  <si>
    <t>ORD10479</t>
  </si>
  <si>
    <t>18/12/2025</t>
  </si>
  <si>
    <t>ORD10480</t>
  </si>
  <si>
    <t>ORD10481</t>
  </si>
  <si>
    <t>ORD10482</t>
  </si>
  <si>
    <t>17/03/2025</t>
  </si>
  <si>
    <t>ORD10483</t>
  </si>
  <si>
    <t>ORD10484</t>
  </si>
  <si>
    <t>ORD10485</t>
  </si>
  <si>
    <t>15/08/2025</t>
  </si>
  <si>
    <t>ORD10486</t>
  </si>
  <si>
    <t>07/09/2025</t>
  </si>
  <si>
    <t>ORD10487</t>
  </si>
  <si>
    <t>ORD10488</t>
  </si>
  <si>
    <t>08/08/2025</t>
  </si>
  <si>
    <t>ORD10489</t>
  </si>
  <si>
    <t>ORD10490</t>
  </si>
  <si>
    <t>ORD10491</t>
  </si>
  <si>
    <t>ORD10492</t>
  </si>
  <si>
    <t>ORD10493</t>
  </si>
  <si>
    <t>ORD10494</t>
  </si>
  <si>
    <t>ORD10495</t>
  </si>
  <si>
    <t>ORD10496</t>
  </si>
  <si>
    <t>ORD10497</t>
  </si>
  <si>
    <t>ORD10498</t>
  </si>
  <si>
    <t>ORD10499</t>
  </si>
  <si>
    <t>ORD10500</t>
  </si>
  <si>
    <t>29/07/2025</t>
  </si>
  <si>
    <t>Count of Order_ID</t>
  </si>
  <si>
    <t>Sum of Sales</t>
  </si>
  <si>
    <t>Sum of Delivery</t>
  </si>
  <si>
    <t>Average of Rating</t>
  </si>
  <si>
    <t>Values</t>
  </si>
  <si>
    <t>Row Labels</t>
  </si>
  <si>
    <t>Grand Total</t>
  </si>
  <si>
    <t>Total</t>
  </si>
  <si>
    <t>NAME</t>
  </si>
  <si>
    <t>PRODUCT</t>
  </si>
  <si>
    <t>SALES</t>
  </si>
  <si>
    <t>TOTAL</t>
  </si>
  <si>
    <t>Average of Quantity</t>
  </si>
  <si>
    <t>ORDER_ID</t>
  </si>
  <si>
    <t>CATAGORY</t>
  </si>
  <si>
    <t>SALES  ($)</t>
  </si>
  <si>
    <t>STATE</t>
  </si>
  <si>
    <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</si>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</sst>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M&quot;"/>
    <numFmt numFmtId="165" formatCode="00.&quot;K&quot;"/>
    <numFmt numFmtId="166" formatCode="_-[$$-409]* #,##0.00_ ;_-[$$-409]* \-#,##0.00\ ;_-[$$-409]* &quot;-&quot;??_ ;_-@_ "/>
  </numFmts>
  <fonts count="2">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9" tint="0.39997558519241921"/>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0" fontId="0" fillId="0" borderId="1" xfId="0" applyBorder="1" applyAlignment="1">
      <alignment horizont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0" xfId="0" applyFill="1"/>
    <xf numFmtId="166" fontId="0" fillId="2" borderId="0" xfId="0" applyNumberFormat="1" applyFill="1"/>
    <xf numFmtId="0" fontId="0" fillId="0" borderId="0" xfId="0"/>
    <xf numFmtId="0" fontId="0" fillId="0" borderId="0" xfId="0" applyAlignment="1">
      <alignment horizontal="left" vertical="center"/>
    </xf>
    <xf numFmtId="166" fontId="0" fillId="0" borderId="1" xfId="0" applyNumberFormat="1" applyBorder="1" applyAlignment="1">
      <alignment horizontal="center"/>
    </xf>
    <xf numFmtId="164" fontId="0" fillId="0" borderId="1" xfId="0" applyNumberFormat="1" applyBorder="1"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9" fontId="0" fillId="3" borderId="1" xfId="1" applyFont="1" applyFill="1" applyBorder="1" applyAlignment="1">
      <alignment horizontal="center" vertical="center"/>
    </xf>
    <xf numFmtId="9" fontId="0" fillId="0" borderId="1" xfId="1" applyFont="1" applyBorder="1" applyAlignment="1">
      <alignment horizontal="center" vertical="center"/>
    </xf>
    <xf numFmtId="164" fontId="0" fillId="0" borderId="0" xfId="0" applyNumberFormat="1" applyAlignment="1">
      <alignment vertical="center"/>
    </xf>
    <xf numFmtId="0" fontId="0" fillId="4" borderId="0" xfId="0" applyFill="1"/>
  </cellXfs>
  <cellStyles count="2">
    <cellStyle name="Normal" xfId="0" builtinId="0"/>
    <cellStyle name="Percent" xfId="1" builtinId="5"/>
  </cellStyles>
  <dxfs count="268">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4" formatCode="00,,&quot;M&quot;"/>
    </dxf>
    <dxf>
      <numFmt numFmtId="164" formatCode="00,,&quot;M&quot;"/>
    </dxf>
    <dxf>
      <alignment vertical="center"/>
    </dxf>
    <dxf>
      <numFmt numFmtId="164" formatCode="00,,&quot;M&quot;"/>
    </dxf>
    <dxf>
      <numFmt numFmtId="164" formatCode="00,,&quot;M&quot;"/>
    </dxf>
    <dxf>
      <numFmt numFmtId="2" formatCode="0.00"/>
    </dxf>
    <dxf>
      <numFmt numFmtId="164" formatCode="00,,&quot;M&quot;"/>
    </dxf>
    <dxf>
      <numFmt numFmtId="0" formatCode="General"/>
    </dxf>
    <dxf>
      <numFmt numFmtId="165" formatCode="00.&quot;K&quot;"/>
    </dxf>
    <dxf>
      <numFmt numFmtId="164" formatCode="00,,&quot;M&quot;"/>
    </dxf>
    <dxf>
      <numFmt numFmtId="164" formatCode="00,,&quot;M&quot;"/>
    </dxf>
    <dxf>
      <numFmt numFmtId="165" formatCode="00.&quot;K&quot;"/>
    </dxf>
    <dxf>
      <numFmt numFmtId="0" formatCode="General"/>
    </dxf>
    <dxf>
      <numFmt numFmtId="164" formatCode="00,,&quot;M&quot;"/>
    </dxf>
    <dxf>
      <numFmt numFmtId="2" formatCode="0.00"/>
    </dxf>
    <dxf>
      <numFmt numFmtId="164" formatCode="00,,&quot;M&quot;"/>
    </dxf>
    <dxf>
      <alignment vertical="center"/>
    </dxf>
    <dxf>
      <numFmt numFmtId="164" formatCode="00,,&quot;M&quot;"/>
    </dxf>
    <dxf>
      <numFmt numFmtId="164" formatCode="00,,&quot;M&quot;"/>
    </dxf>
    <dxf>
      <numFmt numFmtId="164" formatCode="00,,&quot;M&quot;"/>
    </dxf>
    <dxf>
      <numFmt numFmtId="164" formatCode="00,,&quot;M&quot;"/>
    </dxf>
  </dxfs>
  <tableStyles count="0" defaultTableStyle="TableStyleMedium2" defaultPivotStyle="PivotStyleLight16"/>
  <colors>
    <mruColors>
      <color rgb="FFFFE194"/>
      <color rgb="FFFB3185"/>
      <color rgb="FFF43F5E"/>
      <color rgb="FFFCD34D"/>
      <color rgb="FFF5C04A"/>
      <color rgb="FFFF6B85"/>
      <color rgb="FF22C55E"/>
      <color rgb="FFFFB6C5"/>
      <color rgb="FFF59E0B"/>
      <color rgb="FF86EF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PIVOT!$D$3</c:f>
              <c:strCache>
                <c:ptCount val="1"/>
                <c:pt idx="0">
                  <c:v>Total</c:v>
                </c:pt>
              </c:strCache>
            </c:strRef>
          </c:tx>
          <c:spPr>
            <a:solidFill>
              <a:schemeClr val="accent1"/>
            </a:solidFill>
            <a:ln>
              <a:noFill/>
            </a:ln>
            <a:effectLst/>
          </c:spPr>
          <c:cat>
            <c:strRef>
              <c:f>PIVOT!$C$4:$C$16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PIVOT!$D$4:$D$16</c:f>
              <c:numCache>
                <c:formatCode>00,,"M"</c:formatCode>
                <c:ptCount val="12"/>
                <c:pt idx="0">
                  <c:v>1480730</c:v>
                </c:pt>
                <c:pt idx="1">
                  <c:v>1991453</c:v>
                </c:pt>
                <c:pt idx="2">
                  <c:v>2439516</c:v>
                </c:pt>
                <c:pt idx="3">
                  <c:v>1723736</c:v>
                </c:pt>
                <c:pt idx="4">
                  <c:v>2226405</c:v>
                </c:pt>
                <c:pt idx="5">
                  <c:v>1483670</c:v>
                </c:pt>
                <c:pt idx="6">
                  <c:v>2566476</c:v>
                </c:pt>
                <c:pt idx="7">
                  <c:v>1323566</c:v>
                </c:pt>
                <c:pt idx="8">
                  <c:v>1648464</c:v>
                </c:pt>
                <c:pt idx="9">
                  <c:v>1876219</c:v>
                </c:pt>
                <c:pt idx="10">
                  <c:v>948995</c:v>
                </c:pt>
                <c:pt idx="11">
                  <c:v>3297187</c:v>
                </c:pt>
              </c:numCache>
            </c:numRef>
          </c:val>
          <c:extLst>
            <c:ext xmlns:c16="http://schemas.microsoft.com/office/drawing/2014/chart" uri="{C3380CC4-5D6E-409C-BE32-E72D297353CC}">
              <c16:uniqueId val="{00000000-125F-492F-8329-E554B79BE2A0}"/>
            </c:ext>
          </c:extLst>
        </c:ser>
        <c:dLbls>
          <c:showLegendKey val="0"/>
          <c:showVal val="0"/>
          <c:showCatName val="0"/>
          <c:showSerName val="0"/>
          <c:showPercent val="0"/>
          <c:showBubbleSize val="0"/>
        </c:dLbls>
        <c:axId val="1832927327"/>
        <c:axId val="1832936895"/>
      </c:areaChart>
      <c:catAx>
        <c:axId val="1832927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936895"/>
        <c:crosses val="autoZero"/>
        <c:auto val="1"/>
        <c:lblAlgn val="ctr"/>
        <c:lblOffset val="100"/>
        <c:noMultiLvlLbl val="0"/>
      </c:catAx>
      <c:valAx>
        <c:axId val="1832936895"/>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9273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PIVOT!$E$4:$E$9</c:f>
              <c:strCache>
                <c:ptCount val="5"/>
                <c:pt idx="0">
                  <c:v>Beauty</c:v>
                </c:pt>
                <c:pt idx="1">
                  <c:v>Books</c:v>
                </c:pt>
                <c:pt idx="2">
                  <c:v>Fashion</c:v>
                </c:pt>
                <c:pt idx="3">
                  <c:v>Home</c:v>
                </c:pt>
                <c:pt idx="4">
                  <c:v>Electronics</c:v>
                </c:pt>
              </c:strCache>
            </c:strRef>
          </c:cat>
          <c:val>
            <c:numRef>
              <c:f>PIVOT!$F$4:$F$9</c:f>
              <c:numCache>
                <c:formatCode>00,,"M"</c:formatCode>
                <c:ptCount val="5"/>
                <c:pt idx="0">
                  <c:v>490618</c:v>
                </c:pt>
                <c:pt idx="1">
                  <c:v>570604</c:v>
                </c:pt>
                <c:pt idx="2">
                  <c:v>1790583</c:v>
                </c:pt>
                <c:pt idx="3">
                  <c:v>2691079</c:v>
                </c:pt>
                <c:pt idx="4">
                  <c:v>17463533</c:v>
                </c:pt>
              </c:numCache>
            </c:numRef>
          </c:val>
          <c:extLst>
            <c:ext xmlns:c16="http://schemas.microsoft.com/office/drawing/2014/chart" uri="{C3380CC4-5D6E-409C-BE32-E72D297353CC}">
              <c16:uniqueId val="{00000000-44C4-4CDF-A85F-F100F625DA30}"/>
            </c:ext>
          </c:extLst>
        </c:ser>
        <c:dLbls>
          <c:dLblPos val="outEnd"/>
          <c:showLegendKey val="0"/>
          <c:showVal val="1"/>
          <c:showCatName val="0"/>
          <c:showSerName val="0"/>
          <c:showPercent val="0"/>
          <c:showBubbleSize val="0"/>
        </c:dLbls>
        <c:gapWidth val="45"/>
        <c:axId val="1840092079"/>
        <c:axId val="1840096239"/>
      </c:barChart>
      <c:catAx>
        <c:axId val="18400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96239"/>
        <c:crosses val="autoZero"/>
        <c:auto val="1"/>
        <c:lblAlgn val="ctr"/>
        <c:lblOffset val="100"/>
        <c:noMultiLvlLbl val="0"/>
      </c:catAx>
      <c:valAx>
        <c:axId val="1840096239"/>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9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PIVOT!$Z$3</c:f>
              <c:strCache>
                <c:ptCount val="1"/>
                <c:pt idx="0">
                  <c:v>SALES</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PIVOT!$Y$4:$Y$10</c:f>
              <c:strCache>
                <c:ptCount val="7"/>
                <c:pt idx="0">
                  <c:v>Delhi</c:v>
                </c:pt>
                <c:pt idx="1">
                  <c:v>Gujrat</c:v>
                </c:pt>
                <c:pt idx="2">
                  <c:v>Karnataka</c:v>
                </c:pt>
                <c:pt idx="3">
                  <c:v>Maharashtra</c:v>
                </c:pt>
                <c:pt idx="4">
                  <c:v>Tamil Nadu</c:v>
                </c:pt>
                <c:pt idx="5">
                  <c:v>Telangana</c:v>
                </c:pt>
                <c:pt idx="6">
                  <c:v>TOTAL</c:v>
                </c:pt>
              </c:strCache>
            </c:strRef>
          </c:cat>
          <c:val>
            <c:numRef>
              <c:f>PIVOT!$Z$4:$Z$10</c:f>
              <c:numCache>
                <c:formatCode>00,,"M"</c:formatCode>
                <c:ptCount val="7"/>
                <c:pt idx="0">
                  <c:v>3353882</c:v>
                </c:pt>
                <c:pt idx="1">
                  <c:v>4389497</c:v>
                </c:pt>
                <c:pt idx="2">
                  <c:v>5312858</c:v>
                </c:pt>
                <c:pt idx="3">
                  <c:v>3463152</c:v>
                </c:pt>
                <c:pt idx="4">
                  <c:v>3050638</c:v>
                </c:pt>
                <c:pt idx="5">
                  <c:v>3436390</c:v>
                </c:pt>
                <c:pt idx="6">
                  <c:v>23006417</c:v>
                </c:pt>
              </c:numCache>
            </c:numRef>
          </c:val>
          <c:extLst>
            <c:ext xmlns:c16="http://schemas.microsoft.com/office/drawing/2014/chart" uri="{C3380CC4-5D6E-409C-BE32-E72D297353CC}">
              <c16:uniqueId val="{00000000-DDC7-44EB-9D8F-7EEE7A07BCA4}"/>
            </c:ext>
          </c:extLst>
        </c:ser>
        <c:ser>
          <c:idx val="1"/>
          <c:order val="1"/>
          <c:tx>
            <c:strRef>
              <c:f>PIVOT!$AA$3</c:f>
              <c:strCache>
                <c:ptCount val="1"/>
                <c:pt idx="0">
                  <c:v>%</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PIVOT!$Y$4:$Y$10</c:f>
              <c:strCache>
                <c:ptCount val="7"/>
                <c:pt idx="0">
                  <c:v>Delhi</c:v>
                </c:pt>
                <c:pt idx="1">
                  <c:v>Gujrat</c:v>
                </c:pt>
                <c:pt idx="2">
                  <c:v>Karnataka</c:v>
                </c:pt>
                <c:pt idx="3">
                  <c:v>Maharashtra</c:v>
                </c:pt>
                <c:pt idx="4">
                  <c:v>Tamil Nadu</c:v>
                </c:pt>
                <c:pt idx="5">
                  <c:v>Telangana</c:v>
                </c:pt>
                <c:pt idx="6">
                  <c:v>TOTAL</c:v>
                </c:pt>
              </c:strCache>
            </c:strRef>
          </c:cat>
          <c:val>
            <c:numRef>
              <c:f>PIVOT!$AA$4:$AA$10</c:f>
              <c:numCache>
                <c:formatCode>0%</c:formatCode>
                <c:ptCount val="7"/>
                <c:pt idx="0">
                  <c:v>0.14578028382255265</c:v>
                </c:pt>
                <c:pt idx="1">
                  <c:v>0.19079446399671882</c:v>
                </c:pt>
                <c:pt idx="2">
                  <c:v>0.23092939678525343</c:v>
                </c:pt>
                <c:pt idx="3">
                  <c:v>0.15052982826487063</c:v>
                </c:pt>
                <c:pt idx="4">
                  <c:v>0.13259943953897732</c:v>
                </c:pt>
                <c:pt idx="5">
                  <c:v>0.14936658759162716</c:v>
                </c:pt>
                <c:pt idx="6">
                  <c:v>1</c:v>
                </c:pt>
              </c:numCache>
            </c:numRef>
          </c:val>
          <c:extLst>
            <c:ext xmlns:c16="http://schemas.microsoft.com/office/drawing/2014/chart" uri="{C3380CC4-5D6E-409C-BE32-E72D297353CC}">
              <c16:uniqueId val="{00000001-DDC7-44EB-9D8F-7EEE7A07BCA4}"/>
            </c:ext>
          </c:extLst>
        </c:ser>
        <c:dLbls>
          <c:dLblPos val="ctr"/>
          <c:showLegendKey val="0"/>
          <c:showVal val="1"/>
          <c:showCatName val="0"/>
          <c:showSerName val="0"/>
          <c:showPercent val="0"/>
          <c:showBubbleSize val="0"/>
        </c:dLbls>
        <c:gapWidth val="150"/>
        <c:overlap val="100"/>
        <c:axId val="1589509103"/>
        <c:axId val="1589507855"/>
      </c:barChart>
      <c:catAx>
        <c:axId val="1589509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07855"/>
        <c:crosses val="autoZero"/>
        <c:auto val="1"/>
        <c:lblAlgn val="ctr"/>
        <c:lblOffset val="100"/>
        <c:noMultiLvlLbl val="0"/>
      </c:catAx>
      <c:valAx>
        <c:axId val="158950785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0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[Data.xlsx]PIVOT!PivotTable15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5B-4C9A-8641-CD50C6ECC7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5B-4C9A-8641-CD50C6ECC7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5B-4C9A-8641-CD50C6ECC7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5B-4C9A-8641-CD50C6ECC786}"/>
              </c:ext>
            </c:extLst>
          </c:dPt>
          <c:cat>
            <c:strRef>
              <c:f>PIVOT!$G$4:$G$8</c:f>
              <c:strCache>
                <c:ptCount val="4"/>
                <c:pt idx="0">
                  <c:v>Card</c:v>
                </c:pt>
                <c:pt idx="1">
                  <c:v>Cash</c:v>
                </c:pt>
                <c:pt idx="2">
                  <c:v>Net Banking</c:v>
                </c:pt>
                <c:pt idx="3">
                  <c:v>UPI</c:v>
                </c:pt>
              </c:strCache>
            </c:strRef>
          </c:cat>
          <c:val>
            <c:numRef>
              <c:f>PIVOT!$H$4:$H$8</c:f>
              <c:numCache>
                <c:formatCode>00,,"M"</c:formatCode>
                <c:ptCount val="4"/>
                <c:pt idx="0">
                  <c:v>5522910</c:v>
                </c:pt>
                <c:pt idx="1">
                  <c:v>5037484</c:v>
                </c:pt>
                <c:pt idx="2">
                  <c:v>6132531</c:v>
                </c:pt>
                <c:pt idx="3">
                  <c:v>6313492</c:v>
                </c:pt>
              </c:numCache>
            </c:numRef>
          </c:val>
          <c:extLst>
            <c:ext xmlns:c16="http://schemas.microsoft.com/office/drawing/2014/chart" uri="{C3380CC4-5D6E-409C-BE32-E72D297353CC}">
              <c16:uniqueId val="{00000000-D3C6-4AC1-B304-4B4F5B29C95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c:f>
              <c:strCache>
                <c:ptCount val="1"/>
                <c:pt idx="0">
                  <c:v>Total</c:v>
                </c:pt>
              </c:strCache>
            </c:strRef>
          </c:tx>
          <c:spPr>
            <a:solidFill>
              <a:schemeClr val="accent1"/>
            </a:solidFill>
            <a:ln>
              <a:noFill/>
            </a:ln>
            <a:effectLst/>
          </c:spPr>
          <c:invertIfNegative val="0"/>
          <c:cat>
            <c:strRef>
              <c:f>PIVOT!$I$4:$I$9</c:f>
              <c:strCache>
                <c:ptCount val="5"/>
                <c:pt idx="0">
                  <c:v>AirPods Pro</c:v>
                </c:pt>
                <c:pt idx="1">
                  <c:v>iPhone 15</c:v>
                </c:pt>
                <c:pt idx="2">
                  <c:v>Laptop</c:v>
                </c:pt>
                <c:pt idx="3">
                  <c:v>MacBook Air</c:v>
                </c:pt>
                <c:pt idx="4">
                  <c:v>Sony Headphones</c:v>
                </c:pt>
              </c:strCache>
            </c:strRef>
          </c:cat>
          <c:val>
            <c:numRef>
              <c:f>PIVOT!$J$4:$J$9</c:f>
              <c:numCache>
                <c:formatCode>00,,"M"</c:formatCode>
                <c:ptCount val="5"/>
                <c:pt idx="0">
                  <c:v>5398413</c:v>
                </c:pt>
                <c:pt idx="1">
                  <c:v>2352917</c:v>
                </c:pt>
                <c:pt idx="2">
                  <c:v>2432276</c:v>
                </c:pt>
                <c:pt idx="3">
                  <c:v>3842259</c:v>
                </c:pt>
                <c:pt idx="4">
                  <c:v>3437668</c:v>
                </c:pt>
              </c:numCache>
            </c:numRef>
          </c:val>
          <c:extLst>
            <c:ext xmlns:c16="http://schemas.microsoft.com/office/drawing/2014/chart" uri="{C3380CC4-5D6E-409C-BE32-E72D297353CC}">
              <c16:uniqueId val="{00000000-8F6D-4E11-B85F-D5A11709A1AF}"/>
            </c:ext>
          </c:extLst>
        </c:ser>
        <c:dLbls>
          <c:showLegendKey val="0"/>
          <c:showVal val="0"/>
          <c:showCatName val="0"/>
          <c:showSerName val="0"/>
          <c:showPercent val="0"/>
          <c:showBubbleSize val="0"/>
        </c:dLbls>
        <c:gapWidth val="182"/>
        <c:axId val="1589532399"/>
        <c:axId val="1589532815"/>
      </c:barChart>
      <c:catAx>
        <c:axId val="158953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32815"/>
        <c:crosses val="autoZero"/>
        <c:auto val="1"/>
        <c:lblAlgn val="ctr"/>
        <c:lblOffset val="100"/>
        <c:noMultiLvlLbl val="0"/>
      </c:catAx>
      <c:valAx>
        <c:axId val="1589532815"/>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3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u="sng">
                <a:solidFill>
                  <a:sysClr val="windowText" lastClr="000000"/>
                </a:solidFill>
              </a:rPr>
              <a:t>sales</a:t>
            </a:r>
            <a:r>
              <a:rPr lang="en-US" u="sng" baseline="0">
                <a:solidFill>
                  <a:sysClr val="windowText" lastClr="000000"/>
                </a:solidFill>
              </a:rPr>
              <a:t> by month </a:t>
            </a:r>
            <a:endParaRPr lang="en-US"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81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2000625038365"/>
          <c:y val="5.2238999536822601E-2"/>
          <c:w val="0.79535938352206059"/>
          <c:h val="0.73794415056816642"/>
        </c:manualLayout>
      </c:layout>
      <c:areaChart>
        <c:grouping val="standard"/>
        <c:varyColors val="0"/>
        <c:ser>
          <c:idx val="0"/>
          <c:order val="0"/>
          <c:tx>
            <c:strRef>
              <c:f>PIVOT!$D$3</c:f>
              <c:strCache>
                <c:ptCount val="1"/>
                <c:pt idx="0">
                  <c:v>Total</c:v>
                </c:pt>
              </c:strCache>
            </c:strRef>
          </c:tx>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8100000" scaled="1"/>
              <a:tileRect/>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PIVOT!$D$4:$D$16</c:f>
              <c:numCache>
                <c:formatCode>00,,"M"</c:formatCode>
                <c:ptCount val="12"/>
                <c:pt idx="0">
                  <c:v>1480730</c:v>
                </c:pt>
                <c:pt idx="1">
                  <c:v>1991453</c:v>
                </c:pt>
                <c:pt idx="2">
                  <c:v>2439516</c:v>
                </c:pt>
                <c:pt idx="3">
                  <c:v>1723736</c:v>
                </c:pt>
                <c:pt idx="4">
                  <c:v>2226405</c:v>
                </c:pt>
                <c:pt idx="5">
                  <c:v>1483670</c:v>
                </c:pt>
                <c:pt idx="6">
                  <c:v>2566476</c:v>
                </c:pt>
                <c:pt idx="7">
                  <c:v>1323566</c:v>
                </c:pt>
                <c:pt idx="8">
                  <c:v>1648464</c:v>
                </c:pt>
                <c:pt idx="9">
                  <c:v>1876219</c:v>
                </c:pt>
                <c:pt idx="10">
                  <c:v>948995</c:v>
                </c:pt>
                <c:pt idx="11">
                  <c:v>3297187</c:v>
                </c:pt>
              </c:numCache>
            </c:numRef>
          </c:val>
          <c:extLst>
            <c:ext xmlns:c16="http://schemas.microsoft.com/office/drawing/2014/chart" uri="{C3380CC4-5D6E-409C-BE32-E72D297353CC}">
              <c16:uniqueId val="{00000000-920C-4791-BD90-1C94E77CDF99}"/>
            </c:ext>
          </c:extLst>
        </c:ser>
        <c:dLbls>
          <c:showLegendKey val="0"/>
          <c:showVal val="1"/>
          <c:showCatName val="0"/>
          <c:showSerName val="0"/>
          <c:showPercent val="0"/>
          <c:showBubbleSize val="0"/>
        </c:dLbls>
        <c:axId val="1832927327"/>
        <c:axId val="1832936895"/>
      </c:areaChart>
      <c:catAx>
        <c:axId val="1832927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2936895"/>
        <c:crosses val="autoZero"/>
        <c:auto val="1"/>
        <c:lblAlgn val="ctr"/>
        <c:lblOffset val="100"/>
        <c:noMultiLvlLbl val="0"/>
      </c:catAx>
      <c:valAx>
        <c:axId val="1832936895"/>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329273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[Data.xlsx]PIVOT!PivotTable14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u="sng">
                <a:solidFill>
                  <a:sysClr val="windowText" lastClr="000000"/>
                </a:solidFill>
              </a:rPr>
              <a:t>sales</a:t>
            </a:r>
            <a:r>
              <a:rPr lang="en-US" u="sng" baseline="0">
                <a:solidFill>
                  <a:sysClr val="windowText" lastClr="000000"/>
                </a:solidFill>
              </a:rPr>
              <a:t> by categaes</a:t>
            </a:r>
            <a:endParaRPr lang="en-US" u="sng">
              <a:solidFill>
                <a:sysClr val="windowText" lastClr="000000"/>
              </a:solidFill>
            </a:endParaRPr>
          </a:p>
        </c:rich>
      </c:tx>
      <c:layout>
        <c:manualLayout>
          <c:xMode val="edge"/>
          <c:yMode val="edge"/>
          <c:x val="0.28125312105979511"/>
          <c:y val="3.01879166512636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58358354594425"/>
          <c:y val="0.19005928966704855"/>
          <c:w val="0.65001457531117268"/>
          <c:h val="0.52435262194015864"/>
        </c:manualLayout>
      </c:layout>
      <c:barChart>
        <c:barDir val="bar"/>
        <c:grouping val="clustered"/>
        <c:varyColors val="0"/>
        <c:ser>
          <c:idx val="0"/>
          <c:order val="0"/>
          <c:tx>
            <c:strRef>
              <c:f>PIVOT!$F$3</c:f>
              <c:strCache>
                <c:ptCount val="1"/>
                <c:pt idx="0">
                  <c:v>Total</c:v>
                </c:pt>
              </c:strCache>
            </c:strRef>
          </c:tx>
          <c:spPr>
            <a:solidFill>
              <a:schemeClr val="accent3">
                <a:lumMod val="60000"/>
                <a:lumOff val="40000"/>
              </a:schemeClr>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PIVOT!$E$4:$E$9</c:f>
              <c:strCache>
                <c:ptCount val="5"/>
                <c:pt idx="0">
                  <c:v>Beauty</c:v>
                </c:pt>
                <c:pt idx="1">
                  <c:v>Books</c:v>
                </c:pt>
                <c:pt idx="2">
                  <c:v>Fashion</c:v>
                </c:pt>
                <c:pt idx="3">
                  <c:v>Home</c:v>
                </c:pt>
                <c:pt idx="4">
                  <c:v>Electronics</c:v>
                </c:pt>
              </c:strCache>
            </c:strRef>
          </c:cat>
          <c:val>
            <c:numRef>
              <c:f>PIVOT!$F$4:$F$9</c:f>
              <c:numCache>
                <c:formatCode>00,,"M"</c:formatCode>
                <c:ptCount val="5"/>
                <c:pt idx="0">
                  <c:v>490618</c:v>
                </c:pt>
                <c:pt idx="1">
                  <c:v>570604</c:v>
                </c:pt>
                <c:pt idx="2">
                  <c:v>1790583</c:v>
                </c:pt>
                <c:pt idx="3">
                  <c:v>2691079</c:v>
                </c:pt>
                <c:pt idx="4">
                  <c:v>17463533</c:v>
                </c:pt>
              </c:numCache>
            </c:numRef>
          </c:val>
          <c:extLst>
            <c:ext xmlns:c16="http://schemas.microsoft.com/office/drawing/2014/chart" uri="{C3380CC4-5D6E-409C-BE32-E72D297353CC}">
              <c16:uniqueId val="{00000000-8113-418D-BD33-2A5C2F93F953}"/>
            </c:ext>
          </c:extLst>
        </c:ser>
        <c:dLbls>
          <c:dLblPos val="outEnd"/>
          <c:showLegendKey val="0"/>
          <c:showVal val="1"/>
          <c:showCatName val="0"/>
          <c:showSerName val="0"/>
          <c:showPercent val="0"/>
          <c:showBubbleSize val="0"/>
        </c:dLbls>
        <c:gapWidth val="45"/>
        <c:axId val="1840092079"/>
        <c:axId val="1840096239"/>
      </c:barChart>
      <c:catAx>
        <c:axId val="184009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0096239"/>
        <c:crosses val="autoZero"/>
        <c:auto val="1"/>
        <c:lblAlgn val="ctr"/>
        <c:lblOffset val="100"/>
        <c:noMultiLvlLbl val="0"/>
      </c:catAx>
      <c:valAx>
        <c:axId val="1840096239"/>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4009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PIVOT!$Z$3</c:f>
              <c:strCache>
                <c:ptCount val="1"/>
                <c:pt idx="0">
                  <c:v>SALES</c:v>
                </c:pt>
              </c:strCache>
            </c:strRef>
          </c:tx>
          <c:spPr>
            <a:no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PIVOT!$Y$4:$Y$10</c:f>
              <c:strCache>
                <c:ptCount val="7"/>
                <c:pt idx="0">
                  <c:v>Delhi</c:v>
                </c:pt>
                <c:pt idx="1">
                  <c:v>Gujrat</c:v>
                </c:pt>
                <c:pt idx="2">
                  <c:v>Karnataka</c:v>
                </c:pt>
                <c:pt idx="3">
                  <c:v>Maharashtra</c:v>
                </c:pt>
                <c:pt idx="4">
                  <c:v>Tamil Nadu</c:v>
                </c:pt>
                <c:pt idx="5">
                  <c:v>Telangana</c:v>
                </c:pt>
                <c:pt idx="6">
                  <c:v>TOTAL</c:v>
                </c:pt>
              </c:strCache>
            </c:strRef>
          </c:cat>
          <c:val>
            <c:numRef>
              <c:f>PIVOT!$Z$4:$Z$10</c:f>
              <c:numCache>
                <c:formatCode>00,,"M"</c:formatCode>
                <c:ptCount val="7"/>
                <c:pt idx="0">
                  <c:v>3353882</c:v>
                </c:pt>
                <c:pt idx="1">
                  <c:v>4389497</c:v>
                </c:pt>
                <c:pt idx="2">
                  <c:v>5312858</c:v>
                </c:pt>
                <c:pt idx="3">
                  <c:v>3463152</c:v>
                </c:pt>
                <c:pt idx="4">
                  <c:v>3050638</c:v>
                </c:pt>
                <c:pt idx="5">
                  <c:v>3436390</c:v>
                </c:pt>
                <c:pt idx="6">
                  <c:v>23006417</c:v>
                </c:pt>
              </c:numCache>
            </c:numRef>
          </c:val>
          <c:extLst>
            <c:ext xmlns:c16="http://schemas.microsoft.com/office/drawing/2014/chart" uri="{C3380CC4-5D6E-409C-BE32-E72D297353CC}">
              <c16:uniqueId val="{00000000-A0AD-459A-8C38-E7CACA2BD3E0}"/>
            </c:ext>
          </c:extLst>
        </c:ser>
        <c:ser>
          <c:idx val="1"/>
          <c:order val="1"/>
          <c:tx>
            <c:strRef>
              <c:f>PIVOT!$AA$3</c:f>
              <c:strCache>
                <c:ptCount val="1"/>
                <c:pt idx="0">
                  <c:v>%</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PIVOT!$Y$4:$Y$10</c:f>
              <c:strCache>
                <c:ptCount val="7"/>
                <c:pt idx="0">
                  <c:v>Delhi</c:v>
                </c:pt>
                <c:pt idx="1">
                  <c:v>Gujrat</c:v>
                </c:pt>
                <c:pt idx="2">
                  <c:v>Karnataka</c:v>
                </c:pt>
                <c:pt idx="3">
                  <c:v>Maharashtra</c:v>
                </c:pt>
                <c:pt idx="4">
                  <c:v>Tamil Nadu</c:v>
                </c:pt>
                <c:pt idx="5">
                  <c:v>Telangana</c:v>
                </c:pt>
                <c:pt idx="6">
                  <c:v>TOTAL</c:v>
                </c:pt>
              </c:strCache>
            </c:strRef>
          </c:cat>
          <c:val>
            <c:numRef>
              <c:f>PIVOT!$AA$4:$AA$10</c:f>
              <c:numCache>
                <c:formatCode>0%</c:formatCode>
                <c:ptCount val="7"/>
                <c:pt idx="0">
                  <c:v>0.14578028382255265</c:v>
                </c:pt>
                <c:pt idx="1">
                  <c:v>0.19079446399671882</c:v>
                </c:pt>
                <c:pt idx="2">
                  <c:v>0.23092939678525343</c:v>
                </c:pt>
                <c:pt idx="3">
                  <c:v>0.15052982826487063</c:v>
                </c:pt>
                <c:pt idx="4">
                  <c:v>0.13259943953897732</c:v>
                </c:pt>
                <c:pt idx="5">
                  <c:v>0.14936658759162716</c:v>
                </c:pt>
                <c:pt idx="6">
                  <c:v>1</c:v>
                </c:pt>
              </c:numCache>
            </c:numRef>
          </c:val>
          <c:extLst>
            <c:ext xmlns:c16="http://schemas.microsoft.com/office/drawing/2014/chart" uri="{C3380CC4-5D6E-409C-BE32-E72D297353CC}">
              <c16:uniqueId val="{00000001-A0AD-459A-8C38-E7CACA2BD3E0}"/>
            </c:ext>
          </c:extLst>
        </c:ser>
        <c:dLbls>
          <c:dLblPos val="ctr"/>
          <c:showLegendKey val="0"/>
          <c:showVal val="1"/>
          <c:showCatName val="0"/>
          <c:showSerName val="0"/>
          <c:showPercent val="0"/>
          <c:showBubbleSize val="0"/>
        </c:dLbls>
        <c:gapWidth val="150"/>
        <c:overlap val="100"/>
        <c:axId val="1589509103"/>
        <c:axId val="1589507855"/>
      </c:barChart>
      <c:catAx>
        <c:axId val="1589509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9507855"/>
        <c:crosses val="autoZero"/>
        <c:auto val="1"/>
        <c:lblAlgn val="ctr"/>
        <c:lblOffset val="100"/>
        <c:noMultiLvlLbl val="0"/>
      </c:catAx>
      <c:valAx>
        <c:axId val="158950785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8950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[Data.xlsx]PIVOT!PivotTable15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dLbl>
          <c:idx val="0"/>
          <c:layout>
            <c:manualLayout>
              <c:x val="0.13455670452619087"/>
              <c:y val="-0.1025641662794367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dLbl>
          <c:idx val="0"/>
          <c:layout>
            <c:manualLayout>
              <c:x val="0.15902155989458922"/>
              <c:y val="0.1735701275498159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dLbl>
          <c:idx val="0"/>
          <c:layout>
            <c:manualLayout>
              <c:x val="-0.14067291836829046"/>
              <c:y val="8.678506377490799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dLbl>
          <c:idx val="0"/>
          <c:layout>
            <c:manualLayout>
              <c:x val="-0.1712539875787884"/>
              <c:y val="-9.467461502717236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PIVOT!$H$3</c:f>
              <c:strCache>
                <c:ptCount val="1"/>
                <c:pt idx="0">
                  <c:v>Total</c:v>
                </c:pt>
              </c:strCache>
            </c:strRef>
          </c:tx>
          <c:spPr>
            <a:effectLst>
              <a:outerShdw blurRad="50800" dist="38100" dir="18900000" algn="bl" rotWithShape="0">
                <a:prstClr val="black">
                  <a:alpha val="40000"/>
                </a:prstClr>
              </a:outerShdw>
            </a:effectLst>
            <a:scene3d>
              <a:camera prst="orthographicFront"/>
              <a:lightRig rig="threePt" dir="t"/>
            </a:scene3d>
            <a:sp3d>
              <a:bevelT w="190500" h="38100"/>
            </a:sp3d>
          </c:spPr>
          <c:dPt>
            <c:idx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extLst>
              <c:ext xmlns:c16="http://schemas.microsoft.com/office/drawing/2014/chart" uri="{C3380CC4-5D6E-409C-BE32-E72D297353CC}">
                <c16:uniqueId val="{00000001-C582-4B5E-9F06-B9E0B5B3847B}"/>
              </c:ext>
            </c:extLst>
          </c:dPt>
          <c:dPt>
            <c:idx val="1"/>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extLst>
              <c:ext xmlns:c16="http://schemas.microsoft.com/office/drawing/2014/chart" uri="{C3380CC4-5D6E-409C-BE32-E72D297353CC}">
                <c16:uniqueId val="{00000003-C582-4B5E-9F06-B9E0B5B3847B}"/>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extLst>
              <c:ext xmlns:c16="http://schemas.microsoft.com/office/drawing/2014/chart" uri="{C3380CC4-5D6E-409C-BE32-E72D297353CC}">
                <c16:uniqueId val="{00000005-C582-4B5E-9F06-B9E0B5B3847B}"/>
              </c:ext>
            </c:extLst>
          </c:dPt>
          <c:dPt>
            <c:idx val="3"/>
            <c:bubble3D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19050">
                <a:solidFill>
                  <a:schemeClr val="lt1"/>
                </a:solidFill>
              </a:ln>
              <a:effectLst>
                <a:outerShdw blurRad="50800" dist="38100" dir="18900000" algn="bl" rotWithShape="0">
                  <a:prstClr val="black">
                    <a:alpha val="40000"/>
                  </a:prstClr>
                </a:outerShdw>
              </a:effectLst>
              <a:scene3d>
                <a:camera prst="orthographicFront"/>
                <a:lightRig rig="threePt" dir="t"/>
              </a:scene3d>
              <a:sp3d>
                <a:bevelT w="190500" h="38100"/>
              </a:sp3d>
            </c:spPr>
            <c:extLst>
              <c:ext xmlns:c16="http://schemas.microsoft.com/office/drawing/2014/chart" uri="{C3380CC4-5D6E-409C-BE32-E72D297353CC}">
                <c16:uniqueId val="{00000007-C582-4B5E-9F06-B9E0B5B3847B}"/>
              </c:ext>
            </c:extLst>
          </c:dPt>
          <c:dLbls>
            <c:dLbl>
              <c:idx val="0"/>
              <c:layout>
                <c:manualLayout>
                  <c:x val="0.13455670452619087"/>
                  <c:y val="-0.10256416627943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82-4B5E-9F06-B9E0B5B3847B}"/>
                </c:ext>
              </c:extLst>
            </c:dLbl>
            <c:dLbl>
              <c:idx val="1"/>
              <c:layout>
                <c:manualLayout>
                  <c:x val="0.15902155989458922"/>
                  <c:y val="0.17357012754981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82-4B5E-9F06-B9E0B5B3847B}"/>
                </c:ext>
              </c:extLst>
            </c:dLbl>
            <c:dLbl>
              <c:idx val="2"/>
              <c:layout>
                <c:manualLayout>
                  <c:x val="-0.14067291836829046"/>
                  <c:y val="8.6785063774907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82-4B5E-9F06-B9E0B5B3847B}"/>
                </c:ext>
              </c:extLst>
            </c:dLbl>
            <c:dLbl>
              <c:idx val="3"/>
              <c:layout>
                <c:manualLayout>
                  <c:x val="-0.1712539875787884"/>
                  <c:y val="-9.4674615027172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82-4B5E-9F06-B9E0B5B3847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PIVOT!$G$4:$G$8</c:f>
              <c:strCache>
                <c:ptCount val="4"/>
                <c:pt idx="0">
                  <c:v>Card</c:v>
                </c:pt>
                <c:pt idx="1">
                  <c:v>Cash</c:v>
                </c:pt>
                <c:pt idx="2">
                  <c:v>Net Banking</c:v>
                </c:pt>
                <c:pt idx="3">
                  <c:v>UPI</c:v>
                </c:pt>
              </c:strCache>
            </c:strRef>
          </c:cat>
          <c:val>
            <c:numRef>
              <c:f>PIVOT!$H$4:$H$8</c:f>
              <c:numCache>
                <c:formatCode>00,,"M"</c:formatCode>
                <c:ptCount val="4"/>
                <c:pt idx="0">
                  <c:v>5522910</c:v>
                </c:pt>
                <c:pt idx="1">
                  <c:v>5037484</c:v>
                </c:pt>
                <c:pt idx="2">
                  <c:v>6132531</c:v>
                </c:pt>
                <c:pt idx="3">
                  <c:v>6313492</c:v>
                </c:pt>
              </c:numCache>
            </c:numRef>
          </c:val>
          <c:extLst>
            <c:ext xmlns:c16="http://schemas.microsoft.com/office/drawing/2014/chart" uri="{C3380CC4-5D6E-409C-BE32-E72D297353CC}">
              <c16:uniqueId val="{00000008-C582-4B5E-9F06-B9E0B5B3847B}"/>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PIVOT!$I$4:$I$9</c:f>
              <c:strCache>
                <c:ptCount val="5"/>
                <c:pt idx="0">
                  <c:v>AirPods Pro</c:v>
                </c:pt>
                <c:pt idx="1">
                  <c:v>iPhone 15</c:v>
                </c:pt>
                <c:pt idx="2">
                  <c:v>Laptop</c:v>
                </c:pt>
                <c:pt idx="3">
                  <c:v>MacBook Air</c:v>
                </c:pt>
                <c:pt idx="4">
                  <c:v>Sony Headphones</c:v>
                </c:pt>
              </c:strCache>
            </c:strRef>
          </c:cat>
          <c:val>
            <c:numRef>
              <c:f>PIVOT!$J$4:$J$9</c:f>
              <c:numCache>
                <c:formatCode>00,,"M"</c:formatCode>
                <c:ptCount val="5"/>
                <c:pt idx="0">
                  <c:v>5398413</c:v>
                </c:pt>
                <c:pt idx="1">
                  <c:v>2352917</c:v>
                </c:pt>
                <c:pt idx="2">
                  <c:v>2432276</c:v>
                </c:pt>
                <c:pt idx="3">
                  <c:v>3842259</c:v>
                </c:pt>
                <c:pt idx="4">
                  <c:v>3437668</c:v>
                </c:pt>
              </c:numCache>
            </c:numRef>
          </c:val>
          <c:extLst>
            <c:ext xmlns:c16="http://schemas.microsoft.com/office/drawing/2014/chart" uri="{C3380CC4-5D6E-409C-BE32-E72D297353CC}">
              <c16:uniqueId val="{00000000-83BA-4918-946D-B10A898DF04E}"/>
            </c:ext>
          </c:extLst>
        </c:ser>
        <c:dLbls>
          <c:dLblPos val="outEnd"/>
          <c:showLegendKey val="0"/>
          <c:showVal val="1"/>
          <c:showCatName val="0"/>
          <c:showSerName val="0"/>
          <c:showPercent val="0"/>
          <c:showBubbleSize val="0"/>
        </c:dLbls>
        <c:gapWidth val="45"/>
        <c:axId val="1589532399"/>
        <c:axId val="1589532815"/>
      </c:barChart>
      <c:catAx>
        <c:axId val="158953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9532815"/>
        <c:crosses val="autoZero"/>
        <c:auto val="1"/>
        <c:lblAlgn val="ctr"/>
        <c:lblOffset val="100"/>
        <c:noMultiLvlLbl val="0"/>
      </c:catAx>
      <c:valAx>
        <c:axId val="1589532815"/>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9532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0A754FF3-821D-442A-9880-2C00D8F982FC}">
          <cx:tx>
            <cx:txData>
              <cx:f>_xlchart.v5.2</cx:f>
              <cx:v>SALES</cx:v>
            </cx:txData>
          </cx:tx>
          <cx:dataId val="0"/>
          <cx:layoutPr>
            <cx:geography cultureLanguage="en-US" cultureRegion="IN" attribution="Powered by Bing">
              <cx:geoCache provider="{E9337A44-BEBE-4D9F-B70C-5C5E7DAFC167}">
                <cx:binary>1Hzbctw4su2vOPx86AYBEAAnpidik1Wi7pZt+frCUMsyCYJ3AATBr99ZttstcSxrhmceZis62iFV
EUxmYiXyspJ/v53/dlvf3YzP5qZu9d9u59+fl8b0f/vtN31b3jU3+kUjb8dOd1/Mi9uu+a378kXe
3v32ebxxsi1+wyikv92WN6O5m5//4++wWnHXnXe3N0Z27St7N/rXd9rWRv/is59+9OzmcyPbndRm
lLcm/P357q4u5fNnd62Rxl/7/u735w++8vzZb+uF/ummz2qQy9jPcC0WLxglJEaMoa8/4fNnddcW
3z/m/EUYRpSLKIy//rA/b31508DlT0rzVZabz5/HO63hWb7+++OyB4LDX8+fP7vtbGsO2ipAcb8/
P2k/y5vnz6Tu0m8fpN1B6pPLr4/520M9/+Pvqz/Ag6/+cs8Uay099dE/WeLsZmxvzI0C+f5T1gjp
Cx4iiinFP7UGexEyHocRGOzrD/nz1t+s8S9J9HOL3Lt0ZZWz//k/ZZXMVuON+VMv/wGA4Bcsxizk
j5gkfBHFHDFAyU8BAuLcPCHPzw3y48KVObLT/2pz/By/9/Hx4Bv/rrfCL0iEBQu/7/9YPPRW8QvC
CBGIkm/w4X/ug2/4+O5NHpfm56b4ftkDwf+7XdPFDRxFN7o043/SOcUvaISRIFH8mHNCIiaYfgNC
HD1U/r8o089N8ODiFSIujv+rEfFAWjjAr28aWT+7vPls/9TP/7+TCsMXKGQhQmIFCPGCIo4wilZI
+NeE+Lkt7l/74OHg2eBc/j8Ek+u7+qYtbtr/JEj4C4EQi+JwZYn4BUKxoHH0HR7w8Tc/9M01/Uui
PGKPv55ibY7s/5Y5Xl7/D4SA993zgwf6Wcz3IGp7PNj7EQLvIGLbf42d713560+/ah3C+dWlv5Lz
2yOcfP79OcGMgSP8EZMfFnlo+H9yB/cuu7vR5vfnAsGpRwgXOI4E7CECe8fdHT7h7AUOEY4ZI0hE
MeFwq7YbTfn785C8oDE6eGoSM45FhJ8/0509fCReIB5huIpSzqND7P8jZbnqal907Q+FfP/9WWub
q062Rv/+PH7+rP/2rYOgnHJw+SKG/0VwN4xwCJ/f3ryGrAi+HP6/cSDCspmNe1n0V2HeTIkKhk8N
JUU6LiYJjDqlel6OrVZlck9TP7k1I4fF798csMYBbBh0QkJ4InBz928+ByGqHO/rfVgHy3FuWJEG
pvTpOOs5MZabZKkrfC71VGa2R/LcdCG6bX1c7ON+Lpt9aah2Sbws8+UUCZ3MyxydteMyJ2Mkyekw
xm0iRx1fEKnFzo5+6o5zthT+OEf9Lh97/mqKUaQu+kbIdGDsmpQkTnmBYUG+dH2yzC58SbuwRjvL
9EUhGyUTqUzaRWY5qhnpTRLVmlxyugTXIRq0T/qGLK9GX+BzLHRwzRc6p0x08UtHiiXhnNCLQqE2
k0Hg31ZyoPuB53USVvOSlDWzGfYoOovVFGeRlPPJQikl6TwGgUwwLwN1TPmAz3k0ML0bA2ndSTBE
HTkb8mDoM8pJnhUylskY5EylXenFJ5HTiqQK9/g1icOiT3UTmzIxAWhNE3/sp0qfm2IMjp0ayuZV
Q4rprsk9+thSrasERUHrU7S0cGmMnfvgiqJUSSBc86Yl+r0dgmg/5bhMYmzOREvP4rbtj4tq1MfT
KGRWDcEnZlF8gSyd2a6285DUVlucKFVZecYqMpvjpZnnS9sPCxhLqbNJzE1Wl0xlWBTCptUguvMW
c3xS1nNzTKbSXRekq7I4d8VOjnY50loE+8WCuXWo0E3dMrRnba/zNObNnKkgftn4wZ3HShZHqh/7
CxKorMM8apPIlT7hgRbHodHVPgbkRLvZ2PDcS1f2aRM1PB0rl/dHfVCD+cdmOYptT08KLuakDXB8
NFG87Jix+j0rQvGeK4Uu+qqHPV1EZyIcSKIP+9wUsk4HFNML4sf4emKdTMrGmp3Tnd4TNOtd1MR9
lBRDOSdgQX3N8VLHSRSN6o0odBzupohFYZf6ONDlTnVDaBOtpftUCUvCo54JjEDFqB12Sk8S0BK6
SB3RZWlYQhym01Ej5XIpWk7+aGluXiPSyjLhlakz3wr/xpGc3y0FHt9wp+O3xmg8JL60wadK4vlc
2oZeE8VQuJu7eeCXtFRxs2/nqRt3+RTl7igMgiFjcVRVqUOyKJJZDUV3YlTh/uj9LG0yVRifV2M4
hp+E0D5beOTTOArFALhm1R96Husr11RqNxS2vtYSR8dtN5zoVkbHonZfFhP0STPO7ki1hHwpOt5/
lrOujn0RyYtB2fJkGY3ahXm/tKBOMl2yuOzPUCR7APUcmrfM4fi2ykl+EnRs2QVRHaStdq5MC91E
xwoN1bCTodYXSziWe0/a8T3J62FfWxdeom6JbvJlao+s6+QXyEbDvWtd+7oNJvGmc3F40xQLuwrt
YrO8zEGFs9Bv86rssnrS6NzMRfOhrKLhXVcR8paLmJ6U2sVJ33uT7yI1KZdaq1zWa123iWrrWacy
l+F4W0vcFmclGQudNFUt6Fvcyc7tI7jyw7jkWV758kueE8aPqUd22Ydl1C3H2AULTYys/L5j3ZHw
JfFJHC2N2FV2nFFaoKEtkmj2LNFhEI+7uZrkDey02SdtXnpwSDyWaBdI8Ma+L8ciLVWXV0e8d77d
EWKbveUDj89N75vThfhQHw1UhUUiAixO8kGEn6Igiq/suEwnA+L5e03wmO+qYHLBrmqdDPZ5PgFs
JhnkNyXzNU9yE7uzwkfuna1aw09yPMp8N1RqeRUOVa3TkJTTPi/kfNNWc39pxlLj07IR8X4K/Efv
ghbvfAGKaac6eNNa0t8NuZ9O9NKVe8fxZPfI2lYkfvJm2DHftB9g8y/FvlmmuUidVzHJVG66KrHR
4FEyuIm5tOGD0ak1g1EJdX34ce4nsptMqcKjpkQtTZgdzMegdZruuerp+4b26MMgC5miYcG30hqc
ErrEu9gs4xGqC/3SzSz+rMnSXaJhjquMRAa1SciWfEnrJe8yX8xTlMLX5NlghqVLi56T69zPrEwc
BdAnHTXDsa9GEKBRiyqSplxcnriwMn1SqKoJEqVV34PPhBpKUi5e1lmnfGuSvIhsk2JGlvlIKNcH
WcM6EST4cO5Aotm9g6MnL3a+qrhNu3nq3yppljM1VvERmKxNXSXMEVX1fD70ORx4RdzGCRq4OZ26
SbdJXZLApE3XtFdDrm0aUYBDHyiehspHVzr3ZbmPG05eVtPELkNaj2kx4Pa88aMDb7qUZ008uKxU
Vo4JF6xqU8FoXCdxT8rXQRiHbOfQooOETg4dgB5AkGBGvC8g3v9c+Qb2rfUynpNOxfrL6JF4uSyK
dCkyc3CkUQGRUNyZ8kNDJ7oTqDOvAtVlxLD5qnRh/HpRrngXmqhKOux5mo/INklf4jyhbROlJY/H
c10W5UvNNcAWs4C+rbthup28VIAZOfIEo8LPSVgytKQCEZQQGo0XYinPPW339TjBgWwHnVHU9RBB
4PJ6mit3OS09XFzSQV3iLgivalmTSzqHbEocD+Tr2RiUeGrQWZn7/dI0TTJ19WsblFMSdEuYQkx2
JFHR7iCAvaVTEO0cG18qX6Ck8Xmf0KqH+8GF7GjKG35qOtdli2I4bfq+PKI9cToRVSuuXNnFVcJ0
SJqdwhR3Scf67qxTQnyAU86xpINNBXEQBEJfmqlcLr3u5/pEyGB5zXDFSGKJpFXiJhDoBJcNHROs
KEqktuOd9YswGRXS3FpRjv6oMdNUJtPY98d8wuhc1e2Ek0HUsk+rhvsIXGvU6iQOm9ydtJL1sHSx
QLSmGtu+odQPZ9qbxaZTTbWAkC+C87C30r43kcbv3YDqPS/E0sAROg8sMcxGTQIpPJX7akDsdukV
f0XH3L0LFwgp02GS6rQQpCepwRB97UeNurdD0eh5H7oJ8NT4OL4adL9cKjROx2PL6XUV5PExwrh6
SQomPsxajSidQ1t3OyXY3J/ks6QKhGYgyQQOvE+LuMYyGSI13sUKy/JoWnBD4ESv/JuIRFGZQMSO
adr6CkXHaO7GcxvEpd5D7tCdl1XTfzG8gNsUVThPB7tQ8Ku6HOs0ZBScmJxcpM/HwdXuZdtQVidj
Edg2rZtpWva0CHz+skCzaHdVEYLVe7+AgioVy3qnICCOjiJf4jfTmI/Bqc15gfbVhPF0GrNhEkdh
qCDo6Or41E68FhD2oBkiYJajJPRUnfZ5FWuI1rC47heH3/MSsfcA6mo6DelIzpqwnM8XcDoKXLri
b32fT+3ZzFQ5JEi6wSVqjiOyEzIeIWTt5/5saevgRgSDnHd5sPA24QjCqL3DrZYphsxhOjKI2TEF
m8Tjaenz/H1dT9W70deTPF9Kw8RJZFxxUnejPSrHIbhDYZWfqjxkXYLgVDnxswNX3Imy+kAcRSVk
CYF5D9buL2i4VHW6NMScRODMj3Nd47OFFiMEOrk5b7qqlmmUd51L4NH3HoSw6czofNlPUV3ueFnk
OqkgPLK7Ph6ia4Pw0BdP5GMhWqdjEY6hEMWhPxGJkFJIR++nYy22xtaSmn0eovqkM8UfrWzfDGH/
gcTNGxy1cLDyMt5BkPlJV9Py6tf5IP3J7aGNdaiyQBcFocPn91JRlWvcKBeY/ZjrIQmWvj0H5ddn
v77L14z2QdIJTxnjQ8aJ4D5Q/n94G6+XCbuF2v1UGMgJJ9sXKQ9III5puYgpVVPf4ATHbfm5heMJ
77Ab6iYJp9p9CGcfnfigteesb8xrJXl8cVBZyijCl4Hr/QeMIVGQihVtauFcNFcEsS4/+voQ3ysg
33Pnb2n8bdf7URbl9+bjj1//cd018N/XFtlffzz0Lv/67eLPpucvv5XddYcqll5/6SDNj7VAmO/S
HWogD375p4LMIyWXbz3URz58UI+5vd9G/LOkdKhXhCH0zB6vxjzoEPz4/rcyTMxf0DDk4P8IZdCG
Y1AJ+VaGYeJFCFsuFrAZEOREhzLF9zIM4VBsOZQoGGIxgdI57En9rQzDXnAGnYpYcMxpyGBL/Ttl
mId7P8AhhVJMFB2q7vf3vM7nvFMyZsdluIujl3qC/tGP5/9JjeWxdVdYirGcmK5nvjdRWZfJsnj/
vsRs/taZ/daY/TeWB6vcF7vigfJubvkePOE4vnZsQcV1MS/dl1+LD/3p/i+s/qUWqH7dXz9uFiWs
yhmk4JFeXvVhE0NoSqooTMBzADwpGcx3UP3bD7MqgWmwfeWKlu1nDV4jgfirGJPOM/Hp1w9zcCw/
e5iD273n13g8oL6KPdvbsKcXYeho88ahCrFzL0w7ZwFf2AjBwdC//vUNHzG+ONT87t2wF6if+OGG
Ux3z+bQrbW5Tqm0p97++wcPi4Q/zHNoW928g5OKQsSTaO6W5O2We5DjtlcbleaTKCl+EVlmVDnpo
PU9QTcPhCLXlNB7/+v6rE+svAVY+vOeNVpH20d4WxTSkAouMk/BLr8jgVDIUbmoS63lw3rkiVHuL
u060SVAI3EAJewPAxGHn3tNxXfhmqiMHKhA4SsnYfeGRk08832MGXHmFDpDqhDfR3nvNP6DOd0k+
2erlNtFXvqEWlWSajNFeESnvELBmzttAKptuW37lG7rARf1QRtG+Nnx6F7qBJnO+8G2eR6w8w1g7
SEnwEO1NFyzLHs3BNO4g0+j4RvFX3gDPULXzdQXeoKO2Sj1jM02GAaC026aflTvAFcQPnYZkuu08
Z1daQiP4XWNM8ITvfGTz8BX6tUAWuTkS2dKFDcT8NBiTWSo9PqGgwyb8iTvjK/DHkC7UFvs86wLI
jo7cGPbTvnY+lLtBljTeeJsVxAntcgElB54ZY7E5blnXov3ShvW876Vx8zao8RWOh24acjI3Iuux
Wq7V6MuXLWfx9a9t/ZiuVkB2ahahg7Ajw8Es97UeOTkvqO+G9yoSan5CVY9Z/PD3e76oFEWvBO9F
NtbUnwTNgl7GRTjWT+QHjy1PHi7f5dIjUA7LoJyH5wRVM/3IoDey/7WOHlt+hWjIATsugOCWTTVY
wNRFs6c24P1G6Vd4tpK0vvaVyKieFNjAizlINPJy2XiDFZ5VHERDPIP2odQwtCd9GLVuP1Z8cVeb
FHQIXO+bl2NPoAI7syzWpXzHhdZXsywG/4T8j8RabIXnJoZsv7IFz5paD/lr3jSDfUeGJUanJihj
/grKBoSdbHuWFaq5H6GhCXyHrCfUyGOzkDlOStU4tA3PbIXnWfqBGTzyTOkC+jK6wZNIKkvHp87m
g1p+4v4O7eH71vBFVaAG6poZVI37ESoghPOrJlgmdlqYvFH7ucC+/VA3gnyybeHaJzT3WMzDViiv
5yLnHZRus64WdX9aBhqS8WRRMYR1wriKmqQ11TKlsoTk9EjNS8F3jDrSvZkQVK82KnjlDXzOAi5U
kGcND+yOSMczwWvyxGYMD7D8mXrxQ/VGk5nlgIc4I2gZu/0S5pPZR/my1Mc9dND9S+jIdF/6gLrm
mC6ijS5nQnB7gbkQ1QehcBQ9IcojfomtHIdoq6jvnKRZz3NNUrbEd/08u2Gb02Yrt1GPhIV+rng2
Br3LCgO17aQgovi8CWjRymnYcGSiqgqaFf0sPkZwlF5qFDTbfHa08hkDKdoqCDj0p2vIZFIbimZJ
oATv9RO77BGUHQhQ91Gm5eAjPI8iM97l+ETQcUR/zH0IiCtxibqklbZvErywvrjtm0XjbWaJVv6D
uLaGTTSyjIm8sUk/YN0k3tJg43ERrfzHQhc1WDbyvR2icM/8VOwW1gW7bWZfOQmWx6ithnnJtC1M
trQcavJjXz3hgx6BRLTCPlDYymCGoyGrsITGkAmrXe47vHFTraAPWU8nQtktGYa8MUFl+L4t6FNR
62Oir9Acsr6lc10sWcG9ubC+RRALDGVYbdw3KziXlTU9Gf2SBXkTn+BpVrucCJptMitdoZlAGbg3
ClY3ORT2HeFA2mhCuU12ukKzaDHUPTmYNTC4TBWxU8IUp9v8KF1BuULBiFyul2wIZX2k47ZIp4gu
R7/WzAE2Pzkv6AqvbR6VyxIGLnNBdAdpp5qOqFF9mxnH2cYnWEGWTHxqK5W7jABwX8fQ+d2HtFPb
0nG6gqxpIRRyC3NZRyN2AowTu6t8u9Hd0BVkQ9PUuVgqmxW6pmeybvgFtN02ir5CLBzUuVIhMdnQ
VXmYjhHWKS9nVe5+bdxHQEtXoI3yQqtggTJP38r5VJnCnNs8rzeCagVZqI8GU2grczTawuk3xCFR
v4xGAa3zTeKTFWpVKKehmPAMIaFdUtVHH33s2yc2/iO6ObAK75+QURUoKkQ+7Ye6DBNyIFINcWw3
ir4CLekrivNKTKD54OOIIb5r4znfZlaywqzqF6CyafZddIoHnEQT2yr6Gq2RyKFFHE772EHRGB9W
19sVczDHvVxboanPaw2rz1VcplYomzBoX29U+wqtJY1EByxNWJ3iu0HS+qiQxcbKFlmhVcHsnJAF
LB4vFlh10OiEzIvN22KDr1zPe4qZDQEOo1fTPjK5S+YQuvFhn5ttRxRZYbUpe9x2BNl9OwGJy5Xy
zlZLuE3reIVTDfSwviud3TeqBJoOjT4Gk8YbF1/hFOXRSHwJXU0+oHanZ3mj7aI3Lr6C6aDjuYJI
2O4roLQlrJJ1YkfMN66+wiknVVDIIAbRYxteAHmFXEEzv97WosIrnM5AN2qBnmwz4NR1OllawaJd
cCCkbtszeAVVDIypBpq7U+Zp045JQPoo6x02t5u8O15hNZRAPevmBk5WaOefxpUOd1oBnW7b6vih
n7Fj3hOgudnMxORTWOFXmpJX25Zenaqz9lXjfWAyWQaX4B4/esw31grxCqexlA0PW26yypXQXC+j
607l3TaDhiuctkoHYyyszQJpZFpX/JzjAW3b7IcBkPuOHdrCrtczcIeBXPlZ+vA9jponqAePHNXh
CqVCuiKA89pnsKwGTjvWJUu8JsU21xuucAoMSVsqOpoMRrvQB2rADyRaLuG2SCNcAdUONUZ13tms
6cZl1838j1L2+Ua1r0CaCznwCYjbWeSBrNM0PYiunuq8Pqb4FUTjllHZB43JYOgivhC6CC/qIO/f
b8JRuIIoNtiMMPcN27HMy4Q07gMXcqNJVxhdKLDpcmA1ZmM0kSQU88d6EFfb5F5hlDo6O0lg7aDS
19T6C2BdXmxaGq0Q2rk8LwwpzB7lQZAGVX4uF7SxPoBWCA3DvudLgIM9QwcOP/8ogJ21zbWgFUSD
EuL0sQOd1GX7qiu6o7wpt3lyGNd54Fgo0KHJDAX8fbcA58/hMxptO0HRCpi9jwzresjtWFOci27O
2jHf1mZdc7FkbebSWhC6b94uEwxe8HfbdsgKknVcjf2iwIgwK/DHOMevxMK2+Sm0wqMdJjV7x0zm
dRVeL97grLJE77YJvkIkafO5rWRsMh0AlQC36jjO4w/b1l4hUtVSR/BmgWAfSYhuA8RuaAwk4C2L
w/ziw/0HG3sYagRHcinZnESaBrs45tMm4NDDSPf9YxOYk9zQaAr2A3szdjsBVextYq8QCYTpgQ6l
N5kVQOZwRPdJOLDrbYuvMOmg3+V9m2sYhuiPXQ29/YFUZtNOATbjQ5WM1iIV1LC4qKMrYvtbSf24
USuHk+5elhXTyKNBAEd0bMhVBGvPdtq69gqaoZPADIVxmGzBBJ1bUVSnw2FUa5vKV+gsNZ1qiGdh
o0QLSxZUva1ZuSnAovEKm3NsqVMxIH8m3lQpojnrdhgiILnJtcBk5kO1966hOfRqTFbQ/iZw03to
PrzdpJc1WWsiBI2MgF6sLaLdYGG8kAjMN8URUBB6KPhYThzq0TMIPs9XtkOn8zRsRKhYIRRY9ojy
kuhMKHJRA+FwLzjH2zS+5lfZYgTOpZ1Mhvr6FQ3qtBrLTUEKFWt8HiYZC9LoDOMIp64JxzSk1Zdt
5lwB1ENHQYvGaGAzsI+Fnk8lj95sW3qFz3k0uRI4GDMf1i6pOz4ctU21jYZB18SqLnJtPAFXKIMW
0rJrYeSIE5hl3Sb6CqC2xzA+HLox64BrUycw0RGcBRPyr7ctv4KnCwh4RWrBopP/rCGCm7X4Y9PS
azaVgYOn7FmnM2B0v577/gQ1zbZ9uCZSTblQrKrpmC3TUO4nV+BdULe32+RegVMuNNfjrHQGo46p
ov6yEU+FnQec/HPLha4pUy6AevDU8zErmymyychZdTGwfk5cha1Pt8m/Ammk2rlVXTRmtSSf6pK+
D3p1vW3pFURnYDzWjOcj4H+C4WQ9hkDup9tadTBr/dDjFriM5AhzjBmwXt83U9AmNOjfbZN8fYbO
Qw/jQaXOIiyp2y/Eepq0oi7VtkOar3BKywKmrEUNW3IOXskGX8thWy5O+QqjtYwGSJhh6dzHrwyS
L2EkdVMbiq4JUrXweTNMfsxI3uAsENi8CgsnNzF96ZofhfmEoknCTszR4hM/DhmhG9lpdP0GhGbO
AzPD6BVMo/YoQRM/GhxM8m7aLmsulBmptTALCXrx6Gzy+KyO5m0YWrOgYlfUthqKMeN5AdNUiz+L
Rxgd3yb3CqAx7BI0YzVmYTddkXA4H5HZKPcKnaOE7gRzMJOumXgP89OvajVsSuIoW4Ezn2mjir4a
MwaaSWIgoSeDb8Q2f7hmIxkC70+ouniAvk05pCNWr2Cmb1sIuqYiIQR5VhuhAV4aQRoYk4RCxd6i
gG1TzJqKVFUxsNIqD7iJfZPC60bY61qiZZtF11SkqYpYDly7IVviEaehppdwkm7rntM1DckGreii
uYPt0sUUKfC1XukyEfGkNtVwoMP/8LgALjCKi7kF3Rel42kLxbMsz+mwrY9A13Qjr6wVY5P3mQi0
GtLJ9c0XG3O3MWmMVlgNG4yoi4M+G0uvd03BKhgnL6NtWcCacMT5PAs0oT6zNcwcIwYkdgLZ7zY/
c3jHzv1k2tTAwNOk7TNNeWGScMHqBmaU4bUHm/xYtDpNZzmy0c2gm66sukSa5u1ch9vOvGh9nOLO
NQG3oPdW9MdeI33k6q483iT5mm80kYn4vnZ9VuXR8h51eQGvnBG92qaYNeGIgJ+M4B03fRa3+aCP
uBWEJjD/yoaNN1hFv9CMU13bT6B5ot3JOIq35VBvq83TNeWIqwZegGDGPuPUvJGFfuWUebNN76uo
t8i9I3VdDBlv409t50IY7qdPcWsPkPxJ3L4mGg1QMheBbfqMjJX4xKGpcGxVM23cMquT1aBg9gu8
EyIDpMYJA+pLEviA77cpZgXV0QfQo69h9WjyNonC/hRegvIElL6GoD9TzAqnMBUO9DqBu2xiqoDX
NjRtBc6Gy1mlRRMX6rjpvXtjG12fEE0ClpmyhCFsGHHjwxXU//T4Bt4txI4V9CW740q1lCW8llCM
L+ZBIJcstBrGt27AgU2RH1p105VlMKQMAsv/5ezcmiVFtS38i4xQUdRXNTNXrnvdVl1ejK7qahDB
K4Lw68/IfurydO+K8HX3jlwWCkwmY4wvrqMUvfZTNq7bWkvYjF2FmAq9XRGplItLnG08uTaDsK6K
QnQTvgRQ9rpzRMSS1STb8JtWInbjzCaY/OG2i/16VnG8+XoxivTftixJmled0ABpOlE6TZfcx4W5
zBv+vfWofXoSIeKzqj6Lo66iLmPrHYsGVjzSvIcv7BZP8gFZSLY0MZ2vY7vM/hIORe7OVkmkYpg5
YUh/ymyCFrbkJqmYHBV88aYoXJXPLclKNbRz9GB7mPuvkkQ6uXiMtq1S0pmr94F6nnsTJnUSImSg
FM3c+A8yEkN2rApJdgum2pKVdisZLjTlA7o+iDFhpDi23uyVXiRpHApJOV44VT+bpPvQZO2x597r
vAxuYjYZ47nTtbkshbxv0uhYc5DsVsnUQJkSoYN0gWF+K5ug6MpCRsPBMdlVNjOSU2iHS7sLi4W4
5T79RcV8rOgju3VSwN5q+iwcLqtbkfFjt/ZuIFodW8rIrqbhtA3XPqbLhc1d8pigfoXyf9VfDy1l
ZLdQzooZY0YzXLqcrW9zPnk08/tcHxz23Uo59a2GTaQYLgWaymUai0fu2TGnWbIXeYWYwmmSj8gd
GsZG1UNoxWWbwvbgKWcv84r6NvIBwRdJmUq3U7z0K+JugrSb6kODv5d6aTXZJuB6uOCi6i87Jvdp
sBxzdCRx/ms5Oa52NpPLhgsPC+jI9JJtsiKFiP869uy76WrSyROzxuNFToXPy2yYCO7Y8xhJQ8f+
wG7G2rGXUbgxFAjIyy/XzIpT27YHC4S93mvMbCM8wxaOOxoEn6wRrcbAhpdjz76bszaEVTpt+wGu
WinvKTGpLuk002P6/mSv9lpEzyBkGrAM92t2z3sSfsOZ1h1rBce7SZttavJqQb2KVtZ2bZJmvWSh
zg5+9Lv6JiZyLdrb7iRaxarFTqxcNbKgjo38bmNFcN+2bjgnXwLXk58cavOfXq3qmPIz2Yu+0pj0
gotuvKQ0M8G1K/qoChtr09/cHf6Hry7ZC7/gbW0aKvP+4mVE5o9j15qharI+Hm9ZjMFHGM6eg6CQ
okYV1xWIX8Jh9MyDNB2Ovf29PgymYBquAvWndRPPq0AJBFAo3o/y2DF6LxCjIfE4s9xWpkZHzYNq
GXxnbnI6PNad2kvEfLjOsNfG/YWQqO3KzQqbIBAqMQcLrGg3veni1dzH+ANujSFb9utnqPd/HPqA
bxEz/2wDSK2cLlbfX8a5X6qNEURKpkcffDez2eQRG9ll6oLa9izj7j6Ol9+cW27/9n85tvxtofyH
FkAFQcgsEkQuOjFL1QUJrhqsf39sUHazWnM5s1tq2aVZ5/y08hjBgWl7cKvc68RsBnxIjzd6aect
+K6EJT/mANvNoWffC8UWkfRD0kfqglrrOTP+QU7sN1ku/zHme50Y23DPSOehvyBhjd9Hcs5LoFDs
sU1sLxWzHW1z0xF1IV0+MAR+5dM9z9aeH5ume8FYUmwDoX2oLgi7FdVU5HddErlj+8BeMjaPPWNN
0faXIuH2cZlVUmVamHf/+53eKvt/+djD3SQtbOeMjbC/S59MKPnDhRUnGUbDcKI41fXHaqy9hix3
tMkpYcMlXAnyMXmqxW1qhcVwbC8Od3uxCtplMkWLbzONP6w6fM+i5uBnv5uySLLQeTjj2dFdSxGG
jFa+X6P+0OsFwePXVbLHxxh0UAWeomxu3hsXjB96nh5zMyFV69dfl20frWG8yNsanL9DgHZ60W2a
Hxp0so98G9FdCBvVS1yGoysxTPm7IGHtwYHZVc2r071DgqiEQgARThXMh9NXBDUP5uDv7866CKRp
mlHP8uLn7Dt6R08q45//96T699WM3NLN/rnzJSbEbTUcgjCtIrm3nJbV/LRkOha9QYrdnG1xfOt5
cxv2MW/QcFzyq6LpeuhzJ8hf++Xhh1ism5/x8A3jaDtF8VgiUuXYDoVI9F9/vaAeGaIL+m+R1ZGr
EYS49ZXoe2EONV+QevHrH8gNUsRR2coLUl9dnbMwfB3g53t/6M3uVWWOtuhw2SmoWcS24V6EUfgc
x2O6/ubp/+60/P/1mOyFZaCSxRulKz6dWy7qyxRF/XrXdmaazziIrfEZWXpICZ5SuQ2PCAzN/eOY
iUl9jSOSnFca+2uWBC5FyHezIl3BBV33ovp0Q7TsNLm28ow3/vvQuHY99yP23GpNxfaDqCR5MKPQ
967l5kya9Zb/jwwMXoaqTfxHHsHf8q675VR87Nt8XGoc2BKP/zrbiodQfj6LkQe+xv97aZ9I3Azm
x7FB3x3QoWtENDEMySfWROLZFF3xGLcxO7bBkr0kbgi6dEB3FFn4W/iTxtM75Pi/Hnvy3RqDs6ZT
AbXdhXjobGWcXONh+V2Qxm0h/LdPZbfKrGuA+PNl6y7TiKyO67x4aevCQfVQI6K6YFdaUMkPddeQ
1/frtIqmIqWJSbtLMAb0lHRWnv0o2adj47Rbc5ALu+KMSLqLGRJeB43/rEX8u3G6Dfa/jdNuyYlC
1q7dvHYXKtf2A1TVyUvO2fbHJqLgN53N//oTu0UnbAqgLcapOy0bcvtrrqd5apGijGb7tbVwtP3m
UP0fr3yvmoM8ga2GSnYCqbDrzmu6RVCHBfLUKp/HFRTdx7pKoKz8+r4ZR++kmSUGrY8DCN3oZyxE
BzewbDehAwSOoBHQd5cI13Ga2LMm0W8W6P94E3sRHRAdXe7hwa07hjj0ayGX9DzkBe79KTMyPKQu
+Bsw888NPsVv07bNAsR0IEgQXnf2pZiyY9ZWku0m9uKKqW3dLC5ZluozNNd52fDo2GGF7IV0iAHH
UXyN+KVN8uQ8GqfqvGgPneNItpvIIR0jKTPZ1JFp78OGlMlAD475bho7Espl0Php75NTU0yAbMSH
zodkr6FzSF1rl6Jr6q6NH7I0eJjosS4e2WvoICu8BeECpTAKO92LZdGXICUfDi2bewldk2bcOBLg
Y4/YchrHOSldIZPzsV/fzdKw6OYmDYP2krXL+ADV6+eJuWPhsGSvoWM0Y4GJ1/YiXSzPa6H7u3CS
x6SoZC+jC9yG+xQ1t5dWgDAy8vwxyObldGxcdtNzE+G0LmQoaq2SdjvHsf00AqpzrKkIcuOvKy/y
/vUkk76oezM9d3K4iHk4tonvpXSObyCiMBRSUq9t2a99WHmZ/mblvf3z/2Wb3SvpDNT5Hg4/TKLF
DCVUY9VIkSh8bMx3G6xHSM9i9NjCtaRcBVjSMJXN3BfHBGkIpP510Avl4Lno0gJGq8HHZS6b+WHY
OrCEDj3/Xk230r7ps4kUtbIed7bvoAL4zcj83ar9l3Hfa+kS6iOEUzF+iVxAzEPYqhQGI4bg0I9I
ShoubVp4UmaTUemJortmK6BUUoM4zpG687QW4XTyY8TiP1SWxubS5KTNDnXgyV6FtwVThNwNfTsu
zZpdW/Da1hNfuqWvj43rrQz4R6+2b1sQBCKe1dvMKRYoJ8BT4CmNyI9jf2A32QE4Wr1pxvW0Dnw8
qTyxIAUkhzrNZC/DQ8mWAmuh1lN0y/2yoN5UKskO6asBiP11aMbMJEuj8eNmRXazXJKpHGR8TONH
9hq8hK9ww6/9eopFNFaki0SJjsT3Y4O+m+03uAkAfo0+GfBKgDUCP2XakvDYvrYX4TFoTcMkIPo0
QFkDPM3MnmVG9NuhZ99r8IAoGklEJ30KCtx6JB0AR61Ljw3MPvOrnW004CJWn5BRGb/2auu+A22T
HSuD9gI8n3I76dUsp76nEqyFFYkwSXMs9QSgnV+/R1lo4kmeLqc22+Yz+BzIFw+6Y3fsZC/CA3aN
eNlpIN6s4lBc6Y+wV2+/WWP/Y2vbh32tdkJkVuZAEMkiX3ZhN1fgz3089sHs5mnarTQgE0bdK8S1
WO3+Cmd+zEtI9klfgH2oqZFkPYHZNteF5bzCenzs8p7stV8eNoimNSissjH+vijyQXGgrg4Ny176
xRVaysMInEgbzmG5jXEDaBlkdP/71//jmLhXf8mom+JuIPmZNjI1r3xVrTo7Gsv5nMwjdsH//Wf+
48PZK8EaQ5okEvhHAN8d1CZOWdVv6zElGNnnfY28ybSm+HXG+rYGpAvyj8H9eezRd9O1E1gOoGec
T+D8uKpVk6gX1Rzb+PZKsGJMQq1AXDyZbgUtkedxiQBjf2zn2yvBnMJxw892Pmnu5Tlauk8+EunB
V7qbrh4ALT+g13Mac55VSm6igiT1mOwft/q/LpJ95jKd5c14ClQwVwKsnpKM7lhyExzQv/56k4Dz
Fgk6nlo98cqnSlY5YvLrQ1/MXgO2Rg4t55nlZyF6/9EDEPUmwv53ufX/MZX2KrCGWButECuf0jmC
H+VWcIxx9Lse4X/9+u6sC8IN2tXAiJ2TAK1zE/wYZP/x2LDcenn/KFG7KI4a8DOyM3K+QKM1HupE
zbfly7Gf383TSA5k8OFcnNNR9RDgCiAKH2kk+/zYXN3HfY1LvqKKH4tzsUTAaMX3MjxYie3FXwji
mrSL8dMqwfZ300OAqXpsWHbTFDCItuHZVJz9Lfqos1FSJTy3xzanPd1ZhJJr74akRgrXXT+PryE9
liZI9klfYQpREVEqqSnkD6IPHpO+fXdoTP6f5AsxQnwmfVLHdFXRJRklfNfcqvXTsd/f9Yz78UYK
XYfsDK7zhgj1ZEnub1a93+UJ3ibjv5x093quNgDdM7cNPasxWO50Y4x6XrKQsRN8qllzZcpb/qTB
7/z94frvo+q//dHd9M1c3PRGTBLH1s32WxUBBhmPp67DrJNn3mydLKdBAVdT9mTC3r4JB9rddZAj
5eqMg7XowDr0nXFX0CIBXCXEQnbXh5C0diURzltbosgZp8eORvn4ZJbGRvS6BaBRd+XsJQOfGjzz
lrBy1tmIQmigeHVlWkwD+2OcwTeOyqTLWnUlvkPcc+1woM8AEJ2MnavOEbF9QIQcEJBl2gHxg5hv
B5QviKfFGtCkLByi4bu7aOwoou8VepYagNN2lisecMmG/tMYKxxkRCbyv9So8D/P65SYmkLuC8Ak
RqirjLFxe/FuBfUcNTJZ+j8GNG2ztdzmKIxsmeaU8a89sIvFD8VWgH5g5PTDrEqkfQn35SbSuxu9
ArGzR2jUUlnbgjVdZzBONiePK5v4FMQNWJ8NeM+iqICHdamqY+PT8CHKDQUdNV29gi9sGtwdKAF9
ldHR0CcRrm1ehy2xBOBQOqEKy0HkzRUCcMttYnTqod8UA2e1LnDezyp0SDY24Mmmfs7KPKYZfCOm
vTRJhrIRawlV6z3e1sCBA89R2YGIGUhVr6qPv01aAY/q/Jb9WFvvyHmch7R79nOc0zc+xVn2THRD
yKNveL6yWnp4VJJzYdcIiQieZqt8gkMjx/sa23bEw7HQF2w9h0g1RjWmgEbu7hwlm/0+5aodWDUY
NIOvGRxIxcdoyxBGWMk+AUmM5cEtBlKusrcBXCweoi0k6GQA9J0c3uUwXEEgLHx8pV2f87KjXXEG
87GvBrpZNaOb4oLF3CpLszyE4NWf7Iw16pkObBUfty1mgPrO6xCvZ0HSZasGxpMYKbHcyRrnGp5/
zTXph4di8zj48TRct7m0o0YzvyzyNItRQWlNCAG1kRDxLuryGVzUrOm2hz62EbraoUa2msc1szYM
3q3QLRTYT04RshbK9XssA3hmZpMl44csVVFe82ZJxXecfXKJSaOSwdSLSIfluVtDRj9CnjWps3AZ
bELFEA7pvU+DuHuMuO38n20vhxWOmTkYkucJk5af+pG7+DqqSEyfeaDyMMby1jGalplKivE51LqL
vieiaXIHvm+h2MVaY9L7cG6T4Yuw1KUVMu9DuNGZJVGBaOeUyh8N2JdgB3dTl39PCZ3Gz3CXe17h
dgl7F3weg3uCqg8g1Qkk2uTHIGbjryoenfvY+TCKqpFjJv0QCT7zO9bF/lkXITuDY5mLl3xeM3oK
83bk76eOb/7VwuABVK+MkRuQ17ckYnpdrO77vzrc3PAHQSfiLgPAmc1liotoflgnEEMrkZAk/prT
OCn+jGzXPMNCHtzjGsn/gLVFlcKmrGYICArqrfW5vQdDwvg7hAeRL7Jok6IeJZyO7zLHZf8cMTC2
r4B6r+4UTFxsd4WbQ3rJ6NaFn0PadM17PhVsrADqDpCJKMJigYlGUYD8jF/A8F1Cr8MrGekoPwHc
0QwvK5CU/BwClp3VGlBtrJ02zWd+hn46mp+mwtAf4Hvjw27QMrQvfAtnLCV82OyJpoOeWR3itso8
dAIBx+eGrUDbbkFm2EeeL0CHA807glfbBDP9znkB9jzrl06LMu+jJgToKCHbdZFq0bW2cRjUeunj
qOylt+NXogs8QZ2GLEKc4YanaAO2zKXYgqU/9bdInhKBdr57niyMaad0nO23OHQA/AY43iGXEygI
+oRyif0EIR3hxULyWFVU2XT47CbwGRFwpBQiz0rSed9erYZL9qMDn25uSj7pbMN670c7DCVA9CuY
qOh4m+WHXQ1J34DgmLEhdEirKd5L/MrtRY56nU+AOOKm89TbWKUlvJ89EMBFVAASaxiRrmSRzv2D
3RaGrsUGjBW4u41DjQgnG+fXBZS1oPRz2wYfKNi6cc0Tugb1EpqoqDPnPWiwoSfizmhvi8uqhgDg
cRs37pEAlvMaRotoP6BzFLuubKXUxRmp8UzfFx1OMM8OLbEcLOwW+51umnSCzjsByFaxUHTV4OdI
VwlwzgF8C/PStBbuOb9E73XYKZgx+kTr13YLs/huwJWxeB6QdNdOpXEJADrIFQeGfC6ia0SKRb+k
yxT0f8TtlstHKsmCb6znSvI/icw9vgSFyLblNLC8NWf8yzZxSlWXLJ9oZ3hzv7BWkCtMtFQ+rXMM
wNcJy5GkNbhMpPnpEZWMTPMFxPq7ZWgZg7YZDix8I4DKinsutBvvRqEINMMxNMThaRlBPSyNdn38
AX8zfzMR19s3idB4eNKLmA9JNSF+kVUB1qem2ppx+yBiqsldXozwuqR9D7GqMnMeVG5cNZBy82A3
GEhMFlW4UMj5Kx43TV8261h7B8h7gpujtumC9aNSfujvId3lHlVR77cf2DWWvkNGahhG7243NSSs
CJ8y/+TBqlYLVmLvmmsu8OoRNEtBN3u0WJCnF9Avlvkaal7ou03TIr3t3BtHJgDDMC5LqQvM8hB5
dcyvYEK31rl3pNhkUYKaltNzliisb2VHrJhfQh3l0x9+XkaAr6U2G+CyCQm35wRfP/8ilg0IGvwj
ydC8dGiH2fd5h0G897GYt7ona6rvsP8HQAEbHStzsj7LLEPxpAePlzkzcza2C9SnLHJavRqMmbmf
BGShAKq3vK0SwYflyzZmcfpVxZnLVYmEsLAfMVJEsj97ZKaGr0itT4o/BiSvdN8mOXUxzlcIRCSV
ErHI7lSmF4f6jYc5YMhTsDpshXLD9oFqD5GxNEhNVi8IaRgcNHpZ8B2p8i6pQmzq4urXqfuYrfi+
T11oJa1aANqnSmV98jmNoYuoiMsbUeEsmmQgIg7ZeollllJTki1U0/PIJw7LcYT4zvNYCDk8ETXa
QIJGnm1/iGHS2zmN2sS8RH04I38X96zFxyTvLdDZEqSc1ynm5Eu+gPJSL0mDVgCo5Jo+u35ssnM4
Cxu/4P6J9O9lly3+IRL9NGDBTDA3IIuHUC2/dAhRnZ8aJYtxq/IkYa8OypcAFOdWmfeLtxMM0fC9
xrZCjGHTVVkRteNLt6DHBAI2k9OJOPhq5RkWteiUN6Tv6zlsYryJlsvoKVnHG8mVLrfiJ4e0koNL
n5s0rkGGD6O17PzmPotcIjUJxHa4Fj+OMLeRN7bQ4XHuV1RcFWciqCKBVDhXYXU3ZWYp0Z/jFbEH
d4zaEft9toUo0wkMvIClO5IE+triEcJ369DrDLRsOtWd42t/6TZM9a9pOFtzjrNORiCTzIg8i5KW
5DWRkAeXC4n8ucBmZHU5p41YnldIp4q+UlRl8rFbGveSuxsA1c+ePCx53oWnHASbDdsoSo569gmW
fStNwK4d7VP9cZVNZN738xpVuCOZ4m9ONtZUjeXJHco1UDM7uGgGdNrLeRP8jusRwRoJfNXYbEnl
vS7GcgAMidZ6DuM7hnrgs1UZeWCIUlIlLcS0VDyKKUNm6xiDkJ4Iep9b5v5M4P4RT4CuQ8HtxeKL
pymI59fQIuIVRyCiH0Fxjz1qJ6DKX00wQrart6yisJE/4T4HZm3ASwnSyGFDfnJzHn8abMBOXSxo
Vyq16QfTyeKFWSTo1x0+4yrdVlvFvGnvkiQpHlfK3D2LNvnNMSM+FETOVRvSdzKd1adUFH1RsnBc
IDtZZddN5Ra2hV1KhmrXnR1Qde6Ompi90Wgb77VweVHjc6aV8qvfzv0s0nsH+WLyyQZ59oFJC9VC
Hes+C+4alRkrywZfbg6bvOPhn61unP6UppS60rRqyyHljIx1dXvLA7hKt3nEpuRz5EaQdadpAbl+
a8kgakZNFNybKIEbG7ZSG97PPGqK5yXYFn028PmHb57KmFaFS4x+WJMxZd9QuarplOo4iO/GdmyT
R7EZ0LlX1htZ2mic8zeyyjF8mchKxhNiGlyPSIKF8usQmEJ+DThYwqJKXZu2dbgIrss1bVGKFnrN
2mqWqFFs2ZCAEFm61K3tjy1PyfRotsH474BSWZRDXOcpvm6JuZWOpYBhSJyQotPElzmXrXi3RTj7
n4Y+IeqsM6w7NU40LLtON/kdYPcqJi8w1Yj0AfpZEtVRsaXFNYJtavurhRhbvayLzsewcgUz/H6Z
FmDESwSK5Lge9SKW7h2OxlmMUzAkm/5hWeSCdYH3mY2eRoUp+aHDYdV+7dKuuCbgbeOArGz2NVpI
F3xTuGDFMXkbUhAX0YTmFb4OFEtlsxqs7su8brVRbM4/U3j69VtusbZ/WZapiEWdZlOA/arp08B8
oNaLjZVBHGek1LqZVVU0RMbPi88391cCu7/8c27hZjvlAtjC907yrUDgQDrMr2A8p9126g3SXS9F
G8TDK8Usw4oYknnKsTzxLUOzkPewNd8JEnJ7RzrehapO/IwSoJSUUoYY+AHnD1R8YqqcGW+1CDAu
2r4Tep6ZvRQd6+Y3uQSDOQ8i0MV1WYo1xRvzhZ3rKZab+dYVKbxIlHfF8k3bbjLnkYUqqIpujR7a
iTW0mnARrh+dEAnDK8lamAEXdNmreTQTitKJIk7mbfVIyYVBemoeBxZPF9ts+fuJxE6jOki9H1+c
lLKcwQYtYQpjKwFfLBfD2dk8dRUDTnW9erLggMaLNSsXbYdgLPWq7fIui2zG/zJAm+Qn34Uhr6m9
7aslW8CYuGtQZj+2iObCV0ciRe4bAT7rw8jc8LnIMQg10TqJZBm2kDy8LdKLAFWqC4PL5vFdX1AH
RNm9xhYg/rCWtBccAaLi64CI84xXacHC9v1oUs4RCR0p2q4lPrKUVDlWVYfTXADjnM941D7nwoa+
mjHhP3VRqk6yaWmPqdas90OIDsYT+hUkfc37jXb31szFd3RivqD00DEFUoVCAj6AERO/72PWfEOe
hWhrprAotmLunrQOUZl5BIzYq8xyXo3eATgCW0d412YzkU+TJot8mpt1eVjHcRB/ABCtfwZTtyz1
tgZ4jcmWvXVrcrvc6XLs7Vti3yhqCV0zP6FWh65Jb6W0mTrDrFzQUoyWoTbAVaUB7C7f0K/FSrig
v6PFs4XLBATG/NbpgfF7futQjJVxCgX6Fa30YnkkUz4FrySDiA+ioKxn5mooY1ripawuXODobkR7
2kKSi+wkctq+YxPY8KcI7pXpr83EnakCjs7VN2Q1gIY7p/mSnHoeuxifZht/mFucRy6uF0sZCyyg
Y2nWGRQ7Fq/8R56qJX4jduWmcmqJcNrJEmm2UphcBl/bNmq+57fS5C7f4DL/5Oj4U3dSJyh3iylC
MauSbr0rwATJq4LO6ueQYsqWOZAdFbAgYXKSRZL/3fzriMcguPyEfMsmwVEGUPXzFmc2+zKyoID/
uC0adAaDQiEZaRkRUVCjKFH2PqXD8EPKjURY5xIu+jcktRWiimduyZ3QifsTR2fmH2YZNz8Vl75I
wf92Jn5U3CbTp6AJafozAjIj/RNHS47OiGDpYzHMHdaOkLsqZtFkX+eiyUb4OnC3lDDKwtc2oBTd
bJQe4UNqESh6LsxM43rTPiQnQ81iSqnW7QMykaPk8zgX5l0QJMvnvMmiT9B+aH8ZGpiA7oIBB+NN
qs2caJIj0NcLM37GmHcPfdRB1kYFANzIOEmG68CLYqrSsVe2HIOm+wKn7lZOKcxb45hY+jBvY/Ca
Ubs90cLz/Dw0iF44ydRtlwlYiUs0yvCagMmMNa8nyxsvWOpeRjbAPWwM8n7KdFob/cGuiHj9hgAR
HM4WZxP+Ba1hkpXUOIxDbIXAslCQiAyoODL4j/NQf+IbRZFI0EpgDFWGSAPEw2Y+qGfI4NNTmjP0
TSzw6uCUZLNvL/EYjm+IXxfd+zgfYALfQGB43+JBStKaaFwrLNtO23JGb4y8jB3PkoqMeJxPw9DY
4SymRvAqTrLRfr9pXa9DL5V62LLMS/yNLljed1Fi5QthmUXB5lpyzvMxGO4goczsO7Si+xOWib4/
z2kqljrmRkaQywEMexpsiEUE+Rj3eBdoRzRjOow4bluIlo1z+v0ScGGqPl0jeR8ERvkL4sf8n0EK
bFIpgYZ8YH7YMH2aHMPR2fDUFclaTZO292SIUHDytn9wI0/fQ708wSGAfEf0ORDUQJKs+RJ4yMnP
ORwy7hP6TJvBRrSE0Z86n1mcgYHTebQHFrmO/bXHDUX7jftpURXeFAzvecdRmWPFlEZVfGpG5Jcj
vKh4QkRanlWFpeN63YZkyi8ZGOBAozaG5m0ZpIg9PNuC3CZhIAxjoCtOODFh8elq4ZfCXjVMGUUZ
D5uWmMa47/q5Yu9sruOsQ1YbJGqHUGKqOInehgQVWm1sMfMqSwyF10dT1721FDE1dYi8+faLREMj
KVW/cv4p3DxWDxYENLqnWaTSShWxjOsB3TBTDb1Ba6uECWpjtYC5MHxJxmnO3wEI0prSIQV6PK2u
SYfSxT5BBVOMkf4RzKAqlCmsHsU7sGzM/1F3Zs1xG2ua/isdvm64E0timehzLgBUsbivIiXdICgu
2NdEYvv185SOp9visa3pE3MzYYclmmShgMrly3f7vJNs7WbvxeWm5idFgepeSGVWXuRUXmndVOks
CE3uOBRkuarruxUDf7m3CiXqNZSY7ScAzKzZUg7qI5ADg3qhKKRHe9LTWDtQyWXWinw7NR2xNJdB
B04bup09k5feZcObkHaeXVlb0qBLSkTZHLQ/GdYNvknPZU4N9jbD/zRrt6d/4zzsUbp1dQSrIvW3
Zq6VQYPEbfRPjQo45bOo6uMn5HLwic0h6ArMqBzA6isNflhG+CtGpUOyWEzrXLiW5HApR6M55Ogs
pm+ztQYqTlw3GU9m1us5HmTXlbvKtv0+tuhIM5ZhP9Rrtuc0WAXniUP8GuLL6tgejG5pbVxkebCc
JaPw/AifSBrImCQGwYTKkxo+Gyq0Tc/cabE3apaxcw6ABC1sfU9tF4LDmmWIYXQr4p5hUO2dRZv9
m5fLsjI4O5jOaNPvlhCT966sK/xcJQzZyGZaUyc6kVENwYlrdda6nJamb/uPZEbX48XM0X7puPHc
KRxqkMVur6WXV8uTwd0ERpiZo93q/THNmgPp5G+Tc6WPJ+jzxGjLheILvSwBU2uSptdrbSoOK4O2
XSa4U4JZeRFci+S0KlQdNC/5yukabd/q1eJtGCejpxjwJAemdsTbONGtph3OVNBq/1qyeKSUin6x
vZYZbMTXopjbcu+kTmPMPN3ObujF7A75rUO5z1y2As+R+47SqH/LOkfOfjiaAWnNs+do/8EEn8tp
/wL+P34LBkeXj52hW+OmTSF8bqfjQZXEgtWvrMibenKNsc11Q3Wa1fBeDBKns/eDx8HH3dFHUffn
OABTOUcbHFLLSTcfvNyLhXRH/3zuYJIuqK5994KyyFH3TVWUw5mX2nN7amgas3+1hUhE5B5rtr1u
a0OHlWfNxkUrSKe6NbTSOWscMfRRQGXc7FZd+8NVrkaMLrUU3vSwVUgaI18oSJ7crhoiZobUGF98
V3XJgz0rFv+G/gbFtJ0ZG+27KVnJNaxO5y61V+opWlxHpreM+rC2TWAfBlD2+aQq3U08gipKeZaX
MIFRJ2oEADv8xGLwY8bmBrZ1RNSMfT9Ylo5sty6MkDl36XZqdeAaJfEYe2Eire73uWHC97gNFM8a
VrRY88O1XzoZD5knncO46GA7dM5iiIZIN2vWAZheSq+0VgdmcSHNQalHqUhVf/NSR9cXFLa5t69k
poP7eYaaiavUL1LciQjSbvKmqdzzJK2a8n72eTDnq+WX6kxoWupcTrxXi47m6yZvCu3V6dlSDEH5
iYNenkyR0FTLfVy0fg1s7ZDRlotIM5k7IyL7w127GB7Q84N9iRzwGGHsfSHBUCgzCgICMOtdDRWk
9CkF2MCDHb2iG27YpxuAZ8Q4UGnUbsF6b/PYMVcFMiu3T7AnybKfmMn7YNu8Cw7RrnFuGUlAYecK
0uusI43nWyeicN3upCy8Xl5sVYvz2rTWdvwy5zogtKLURIfsx7Rb1iw0Z1d6cJwWoivRK3+KXIAN
9bWeiKy/aYldUNb+GPVqgmkskubu/rAFUxEF9TyX8VoPx45yo3Kv5JA4zamDk3c+9E2n7Tid1q65
sBQ5NUCkAr61XQdP73NAfDM0lGkaezjKMY8rPw04dna96qiQ7Dq3nxePLvLnyZYWyx2RDM4I9p4l
w/ZqN9JOv3VlK6pTYWN1PBWgvv0lqQHD+FARSU1t00hnuTAdQ63vay+L7mJdU0MB8C2WH20B5UgI
vqzhVnKlEPv1o3OpRa3maFxpHHo68BaKWG+WVUZo4104c8c5ymsnfx+gbL6qJjoDfxJzmarLYdzM
5syj7d12/LS9BK9DMK50hleeU3wD5jPsuJC+0SnCWjnPRKphtNc7KuuSDZKF9HjMn4duvg6MYbKj
1TDMgcni9wN2iU4en2DQAVdRSQwyuFbeVBnEDeRe/qqP++Orp4lPwEsu09O+DVYzFKx31b09DNbI
3Etl3Y9h5ytc1UBMNIryMpGL2LakgbzGTvvkysq8cd6zjJKFOFVNPr2NxdItF+3m1fJpWLTrcHjp
C322rt62PPle3U3XxwxH+6BqnYQ1YTd9SDWaHsHybpnYcyEwb/x1DbwzleE0uIIoqTG8UxtvQFt9
CWolaVzpyPEZ42rvhxiLrHm3uF0Jajf02R0yCZOKaKIp812BspF9kR4bZDcGk58Ej14nApTmjYDP
mk6aZOjbMczx+zlh66MjsCO470G/ASSlgLcANmJ8Bq3YciN0R8rXIpSssiMYYtXi9ggJqefcuV+w
h9IcqFkcN/uCw3rVQ6hnmtj0J/U0yryI5p78cOpQ4S7SjAc7Q8oR/7saRuJ5DemfwFTZYyRQBKnQ
8Mc+iQhKtj/Z/LZxPs1Z2p0G2RH7TTl+L91xzXSS69ZSww60YNOIrI3EOP33RC9iWZVTHQjqXpZY
uEWrw23N5DWEVaNjN8H8/a8pmD4mC7mr09Rto6qdCD4XzoM7/Wvi+o+BQrKyJ+gaXtfO73xAi1z+
ixaaj3FCLWmNQZJ73p5tUgAiBZO4VKzW6ice3j8JrIIy+FGoBxRmjSjSYCYM5l+ftfl4Xs9GSwai
GjoAJ2sqaAvgBb11syigWw5YhSGi1lj4nP5aQnVUFf2R2uiD/jOFollyY/D2Ld1MqzjH1HKJeLCP
qNegH+Hi/J8kDfyZmOqDFnToFUMNTfGeQIDeux/XNtFxl1LnxjM7E+mkxD9UVKXL2vzkCf+JyPJj
OlGBPozdxJJ716cnx0jszK4Ha/7JDf3Zq39Qn3V09FNeFkiUI/W3cjAfZ79LfiIX/7PX/iAPpUzv
6y5N5H6l7UeYDetpriv7X3zxDwqz0TTHptWu3INB7yBS8zAxQR7/ekD92Tv/IA9NlikfZZC7+1QY
ij19SkIzY/f/1179eNXfaVutsrNRB/FcrK0mm3cM6DK5tfd//eJ/MkI/RhO5g1nP3VIwXDIvsF4V
mNIcCXe16CvkW3UXdho19gGTk+z+pfZ89seYosxPZ4/MFrmnHap8cvpBXRUm8Opf39D3xfUPZvfH
kCKvWG1godTZ136QgUAHzTpDrvDP22qO7qND5c3/aRyzcU/yrngotvzBZKTJQ6JynXFWSbMd3Rlf
l8mmdXM4epRk/3h3//Gy/K/0rb35x/tQf/9Pvn5pOw77aTZ++PLvD23Nv/95/J3/+pkff+PvJ2/t
1XP9pj7+0A+/w+v+dt34eXz+4Ysddfm43uq3Yb17U7oav78+7/D4k/+33/y3t++v8rB2b3/75fm1
zpuYQ8+Qv4y//Pat09e//WK61lEr+h+/v8Jv3z7ewt9+OX8eGq5aPv/Bb709q/Fvv3j+r1Jari8C
N7DoE+azMM9v37/j/Ip2QQJDmEJItjTmQEPf04zr+r86EvOloIQ2Pc872hxUq79/y/wVYZsZBHzH
4S9Yt//Pu/vhE/rvT+zfGl3ftHkzqr/9cnSn/vd48hxXAnZAEGMv55VI6v9xGrpKGh2Tb9xxMAIu
WK9Bm99Nv9lP4FBGMt5ObfneO+PPXAr+9yiCH66MVAqVvekD/kruxfrxymkm7c3dKr1zk2AgodkT
IUdcB32fnMz01BJEdFOlOS4O1NzY7hbVLdVpNWXbVW6q7t2RwbqgUEU0GjbY/j63/tqeF5ZjIXjI
qbTjNJVBAWiw+jdO1cMGazFle1smVoSYuUUtOXlnRjqywsH5byhbE5JW1hTPkDtc00/FjV3bfilE
2sS6xJwAFhuNRgYJ1jd3a01e55iKnWtY4hwphAidZSju6NeHDmJhmqF0M0xgLrO88uiT7IV6KeYr
qISHNPC5XrIuiv54bn27ynZXdsVFQYL4ZdnxKJZgM7coWQSS1rwEFEDilZdR3fbTi+0azqfRU8hZ
lTbT69wLhgvZgOKZ+ZqEFhxQjcNhRRkACYpuoEgf89kM7lyUKbtky7qYQvbEnC19CynmxAnAyWdA
RTuNysEx0B+VYM72ZPjXM7X+e7JYpFE3LWtIlBZj8Dp2s7J2KMyMMB0C8WkRm+KvqP7cmC7Z2Z2C
a6tYjdaSw4SVFoDX5ToD3frZOa0M5/OZlm8XFhB5ZBvSvVry2rkGysuznVWu8qY3Shh6R4mLXC06
0t3S3CzpnOpjCNHYhFvvjSCXNdR61yXNSevo5WIq/JEU0IRUqKEI9gUJ7OfNMnWf+sb3gIQ7ZaQx
DFf7aCGdg0E3fAiXkrMX3vApaG9S0NKCfP+yBrtb9ZjEU9PXkaO6YAwnhJ0HV4i8i9pMbI8Qtrj5
YI3ScaTGMiGmOvoeXfNzcx9ac2O+ScOTYpfqqdlNcgxuMnfmgC/QTchIH4NwpYmUg7O244Iht8V0
kk4CZbcSln3ikKPSxS3JcY9ynbxttxVE4cXu1CRhsoy+fxSlEePdet16mtTKOyoKZHepdTZ+7RuL
gVT24nMq2uwtGb3uhSeT36myCa6xq6O16tdqbXa5o7PPVPSkNeU6T4FfGzo/uMKcblxLc5XNyswD
2SjBGK2V53wlolmduVvhLlFCA8kkzKcia+LMNtcdJZ+1L1S13lvtZt81pk9M9Gxa4xYX9RG0AxdY
Xvrac4lSTOfudkrM4Kvy2+xpyHl6O8cf2sugqkr4gSB1HyeSvkJPa3PhBJovz3U7qk9QfpUVWs3g
Pvd50Tdh5xllbJqDKyO3KgYR9WZvvhkqN+9RmtSPkyySW3exvc/AntYUZnaF2tSabfGQwoYD2ppT
CaTdyPqejhfOTq3ancO0T7s6TJCBqFjZurb3eeYj1XOHyjBjdyG1Jc2g6neZsPwTM4PZQ86zmSi/
fHHgADxNJ1mZDXeocXrEM6mozreyJHinXRNWETJI0zmsq9m4XnFq1ViT/PIR/wm1kBBtcYT1vPZF
CACz2JV2fdj6I0BgGoWHkGOiJaXm5DGFeDKADrvCL24MJIU31uhJaJ1AemW0NeZ8m7e+/chHKsOW
ZAXIXL9zdwmxmfdw3VnsQGvtpC3r28rMi93WKdcNO3fpP6MCaJFmsgx9mYXjfmUx5xP1EYtloUJE
ISPHr40g6ie8CqA/HRCD4dfI6Zjkox0htFlPjW4806m7NsgRiwC109SwLEwoLtu4NLbpClJwfqxQ
dW3R5lRQpckUWN1BWIH1JR/VJKNUS9nthGlgQYEILC5xE+kbjtDdJ39dJHBJMnn+Lpkb5/Ncb91r
n25DFdeZZknPRUBnhxFl2BZ1VbbJMPWHNT01EwOGhw6r5VXd1CK7aUlvzXZo6uyzFh44O1EV4tuz
FRQ1RRFgMruGts5RXfaF8Twnw5JEa5rgYm1IGdurRmEYmkF09o6NnyWGgMYIgG7McCIGzjDFPXg3
dEZr1AhMZ0GT26QF3UDirfgRU8osXAZfX6A/pC8T6tizAKIy6iw/uWQkDV8JXDYvjXLwHnUx1Gek
NpXnWwHMxz7nVgc3W9lBy0avT5hnWPTQds5XzgibvqtLVmr4LIRdyLH6PrSl4722jeveL0eMKXcE
2TVzJ8qOKecN76uesls6oXZZlDcFlnoRzFd+PZt7bnQCMWrrp6ZNh7OUbNSchtRsOykRU2XoNtt5
bZERYniQ/cgx7Z3NO39G6Hql5ywhyVzINdwov75xNqquiNdW8w5kFbqiJEQij0jG88QhSVc4olL7
ybNIV68PtUuex0XrrhW0mztlTwLFIR/0UeIT+cvio+YyubclydbP2KHcB5bfDuTUck9SMJIvtLs0
L1wrXZBFo2X/An0cgOerzXNRablbGk2FB1hrwY0EoVqRykcuuOHXWcvxxvGM6SpZEutGeEq+2Stq
MD/Jt0+SifQSuEbiRKNw8/3SVicWDGcX+e2YYPSoxuF1yyeE6bJXngTmhcI8fmjWbe70+r5tTX1K
4GZZXfTT5H2R8HTvW0nT88jM+gkYtiqReOkiQxAdjpgnnNNtcaYe00Tif17Nzn1md8lvXdPMFpYt
HAdLaGn0i3E7dsYoCJMsvWsE1m0fOdPmLMg00OdEhj04MfoiGS92pZgEiKUXZRTPqPiTq3Zqn6Z6
yGI6mS9xVphow2oFS0Vh0G+RHg1vOl8zx713N/uYELJKBKN14hT7LkMHG9c8CbNO1mGnATkROlv+
S2+N9nmTub4MF89MhyhpA3Xo4SMvtGOChCf9p3KxnW9+aQXVwRMMs11gKVQapkWREDraG9992qf0
Ya89/CgOpoQ7gPU02Ws6JR1FrWmi4mzRBbPT1gifEc/QV5KgM21ibChKNJt6MdpzPTmIDUnOMcPa
bBoKocph0xdse0MlEBH5Gz1XQjZ4830ok6Rlna7SzznNUbbI0M5yjeVCWbHAlrTL8jWtEUl5pn1R
LvV6lve58S3JB9iKXDokcZeDL6IOPfDXo3UfJkPnxtfUcFs3ortr8YxIl1UgsGpk9rReMO/pJuU4
h3RCMcNGtc2fZlhuNmOUpOp0xQsUhAyBOYnKoljTS5TT9p3AOuDvqxmyMszx7QyRtpv+dHQt77VO
OAYvThL5QVnFQ98FkT2a7l5OTvY0g36H0tio2AaSw8KyVi2aKLTE2Kc4/NMeaitgxIyX1Uy7L0JG
zYjiGhzyqECGpE1Hv947ubGGKOYxeG0dF+tS6xq1a8ryILO4ticBA76S97g0B2jMpQjXwndui84w
djOdN/YgnNXOCxKHLXdKbuCaIZs97W97Wqe9YDkynxiJ9jvYfLEbYOSYYa0X3Hh6GC6KbIHKWovK
u9vMNW93qGWye4PGKpeWnnl+TIpHpEUsV7CvpIz7qlifEsdXD0CzmYjzTS5rjKxT0YcUcfs7Eg39
4mRT44IYq6yOWjsRKqo53bzbvpqGaDOy7MHpVpS+rbKcy1lBjeUW4oWI/qMLWuB8brLY1Ov8nhve
EndbX9/PG4tK2DWkxMSQpR74DXE8FJXjuFgHjSsEnqxc1jOHgUjRW2F8m1d2WlFmWQvXvtoZ21jT
V1egY7qOS3Qt4lQO1bBLTTe/78reuGtXDHibhwxoq73Np3nQ4O1my5+jNihsOpL0ehZoKVzjrKwS
RJvLCl7CIHaDhzaZiACyk5VKkI2y6uN0mCrcqybENAp7N4M0JL5QxYaz8mg9p/1k0slg3yHGcHe6
7MQ5yuFs2mFpCVSUSlU9Ia4L1BlcZfZWeumQhVgwqYoaMoFrCHZIZ9S6VvsotF09zEr4r1adtgeE
+0t3qiHmPjecjFHY0TbruXDaVOw5xsrreS2hNWyjQdtvpcI8R6lJeRgAjQw8Zd+30UgkDouDYyLp
cdq2vx38GX3JWDMMwyHfKLA10ppIOYO4sby8N88rH5J5j4BePHjNYIfo2N+arVq8EL1ghkfM9BI3
nGqjSA/STVFUDAg92hGPIaJUZIFnOcqdMzKnGHDoW8rTsZDDjbJTurchE8Le6KAdCqelK05yyxGn
s5/KLjLa4tX1lBhC28vhyoNB3rpFg11xw83Qt3i58GwtWfkp29wa96Hp7hClnDTwACd5a4yxRTRT
OFvutWICXOdG4u9Wd+wir3IE5wbKj6HFZReu3lgi6Ng4WGx5EWe6wnk5zWIPwZKfNL3Z3M4OZoV6
Hdp4NKka7RoWK+Eyq1NdtI2Z7ww0mKG34s9bl8K9tgOp9uTNHDQbGx6weZeqcr5p3EE8CkQr5NuI
AgZ6UE9NMulozC33bnJ9f4ewYt3LZrn2MmOZY0tq94C+JThNPLpwUJ9Y6cQKFYg4SPr83DRLkniG
3N92YsAglvltcLZNw+xEbRIkaMv95s1X3gltv9R7t2blTTrhmBqn5iiinPwzL7Psz/SPS199NtDI
4wHpoYIiGh0temyUSSZ3vGJp3Gyu7XnRAnFFxZup7qFGi3Ow8ArCrEGpPdh1ZpxXSaPDCYrn4LnZ
9KmDQfqaaLGhGRer8T5pr1Ff7ZJjEAVADtHaJL7YToainH1WUmuJxxzVJEBxV70a5jhcrGZGZTll
ARtYsZiCaqBby3mPVhAHIDYCgmcdv9jjXdFEe84TZxzR2UGkc7NNOGZSKcTlcc/s/C6XBEPQRDP0
Z+zEMTWSOiMpnmVn5K19IRZkm9Bj5omIl8VgUEzC2uRB1hwT0OraOJmtVjklsnlt69BuTPfriMj5
rZO5lUB2ByXpycoPToMpWIID7gmVRnaTUUTTS8998zF/xTlIzrma1Xy1FsvmRQhnKUw1GRMvmC7H
NnRQWtLw2GkPo7btO2cUU40lVbAkEgg/xynE7wrzqbCo5jXR0Cd5nnA4L6pmstDQWeJCD113wMRD
9TT6QO97+JbxZVw3fzz5Dvr9v0Y+L/OXoVXt+/gR+vwBLf3/CB/1AmFbNtDdnyOkJ+iSh+cfUNX/
+q3fEFLnV1qWk3XuYtK1xHf67B8Iqev/agbEFgjgQQfQ45jN9BtCajm/eqYl7cD1LF+a0uVN/IaQ
WuJX0/Rsn5ZIlmWaDP3/CULKJX5ASMFt0WEIwNjAtDzzY8JnYOWTq1jtd6M8un22bV2fMstdfsIb
/EjbeY4IfNexPMsNPNfivj6QasqFs53TxkWfWk5fJ2H4exS6dJ0BiAUXgkf/x5BlJP0x8vu9i87v
AdjjFVFuOASiCZDLj+HVAVIE1P6Ju/PMJQA+qImmiDRmDGgEz25i7ED5va+9grwE/44SASkXLNz2
tVlt80T0QXGGh8M+M/vJ2tHhsDgL1mq+RG6xXZhL2f0kCPAD9fGPJ8RH7kgpA+GJj9m2BSDPOi/4
0un6VL/O01pGQBD8lwZEOGbY3cI5RZYb5n77OrRie9WLPz+uKc3LJBan91Tr8lODnhLn4da+/25Q
/was/x5It/55nPguWIHwTLhPxuQHPBtuV3RFsFLzoFW4zDezXKJctnbsqTk7Z5Hz0DOZXXtejfay
E4ZID2NqLTves384GumeLI4O1+uSsad1pyIzbpcUmT5giMZH4vZT+cWmF/rJlOBjqlqr/aaBlk9q
Whzc/fW9fM+x+zg0fFgH37Jtx+fPH7F5P984YWhb7jpdZRerHNiXjnb9eCG66GweSMWOalvIndGq
+bVx5zZBiN0EeFrrUR4WNzBu9bKMX1xnosAkif6iLg35eTHLvVLy0htwzzdePlGKGOk157PpdKQB
525Iiy+d7MEiE/k5kKN9NeLPauAlkBVPh25169NyqNwrs276C8QPWxeSS4nvx0Isv89qKvQCPoVq
xkengY7lcuhE9uq7gD+hif/oXLr9djnihU3BAUHuh1rMa1hYRjDGLb7bz3/9LL9P3A/P0hNAKTZH
PtNGp/Hjs8RbhrBZrXJnJnZ93SJDZROdxQVM0QkGiHejmJdrulWA5mPWgpWk+Jjf3b4avqG6HS/J
45zq0CL6Adt7VcWe0ePsbhpctkZidzctdtHDNKl0OQeuXF8DPZv3uktITagW47NJa9+LbsPVEFXU
5CH0xnLhl7rYj9oVPxk43zUa/3Sz3nFL8B1bMhU+3KwvOhpBMgnobD1dpbWF5odH65x2LOs3BtLh
PX0JLGjqarvFT5Se250E4UGf2B1MZIqf4KHWt2FOxctffw5/sL76x0XW4hNwcb1+YLOrlNN5JWe5
I24F/+rQvhOAfAoytmCLmP5HQdPflyrfCSwLAs/2MaIceenfkdst+8Psr0ff4zHkW+BjP87i4iex
Sse3/OFh/3CVD7O08osc0wKifxCz/E1QeFysusGY5ND/ZP/Xj+8jT8iT84OAPZodldbP1ofHx5As
us7q5Q5pnXVuG/X2urm9e+EMtrizFsWyS3PkoAX3Fc0NKMEQ//Ub+IPlNXA8J/Bw8UmHv354pMYs
uz6TkgBib3o05x7DebJ5P9mFrePL/P6ZSt+kcICQZAm3kOh/UNHQ2sX016pwIWyGu05ZKYkpK136
ptsF3jvIr5fGjghPeV1o/quzyrjeTDgQ9hM/LmyEy4HWCmO0094in51PjuxQKJc7ZXWof/Fn7ro8
xeyls1OkqtYa2sE2EO3bvxVp/hNpxcfxAbUrHYe90jGDY11l//jINmcre+1y1u/ZdqIEfxRA85TG
m9saP/l0/umxBcRUsfEB2EIkw2X/eKlsS/B/ayPYeZWbniVraQDabdN5OjTV3laJPvCog59clFLw
46x2BSgw/PVxZfUk5dmP150hOK3anJPdVM0PMi/bnQ22fxIky/wZDx5Uh7moO/xRp5gOv3hBU+y9
ebWei5R4jVFk59Q+HH99D4jDvVFdd9Q72j1N0OjpSWLOEcT6kljqSzuZJ7mY2xA3tAqJM7TCvuKU
4s3LqSwnJxw4qd8ECDkxZeHayVeQAUMirM/FKvaDmchLvwVBTQdx0VlGtfeWGZgvsbDhdPWt7rMg
bCCcmEB3K7wNi/5p6fj3qF719eY+O9322kCzXjdbLeNGyvSzag19bfSFtZ8LlcYAcyCYhPqEg/KK
kwpzn+DrqviyAiMeT3R0LQsWNb1aVTDALzqw4/VoO1+W3EKzKuqHrptuBv9Ec595kZovSY7mV2KR
CIkcqb96JIVs4YiveS/7stw1edAdlgr6xVqH+gpWpLwxFzfReN2IscWyzJ47aOtN0T3tsq49tc/N
1IyTvASuDMyJbKYZFjdO2KW+Eu0873JFVx+sABA17r3scvCGHgVv2BAYipQeQ+85MkrnFv6sj7x8
3S222AXtcmgxihBCYGO4fMAxCwrhxESeBO/0b78oZ/3QT/oNdYB8zC0MAMB+9Q6z/lOd9WeqXtRe
6XG6TCw8mH1R2LdTiZcvXLu25rUqBFC0tMGM1d/WAeBhqv3LqfRQnXcD1mOdkm1Q+osbQehO1wOI
14lJPvrNSLY5iQ18bBrY16EZQ/ruT2Nwkm6JOoje725V5Zufm76rnubcPoFnacd9Xiz+DXaA7tYo
Kz2ESyoyPDpWv5JFNGFUSrfxFlBOk65FmlWP9eYBP2h30tGS5sro+vRAYJJxV1JoXemCxMZCWCIm
ucjjym53lWyG3pXzInba8c1nIzGH0xbj9JWFXBGUvx8PW1GPt0BB3whHWr8VxzucBW6zIZluREqv
8PaBECGTcJn1uk/Wy8Tw1Ekhivm0Ncv2hcTV7AFbqRli+84pwH0o3b40zwyv2uJx7Md4C7YqxNIj
sYjN2VXZt1ssutWM0IA378A1y96YnPWs7ob6upH+Gy3evzQoceFliBVMwgG++ckjZezgpDOILx0M
qOkWUGeVbacAe7hbh/Rp6NRTR0IWuDUmgG9Va46PqV+6hzroa5oyr+0ODQGikHpWF0M94CgIBvdQ
DPj1BsNPoUZ5U6Zwm0dnaIzLnHcV04eEHy6bO1bY5dADcpxicyEyyW1SOsTPF4ma3myZnmNucVE8
B2jBGsiqqMgzfsBIs/tpwTI8LZMBzub714nCDoRkxL+39fpN+bK9q4bZvcYf0oXMwS12MOydVrW8
2Tph3+qs5jOxsCDFmZr1mYNxhkk1ZvssmOeIdAx06W134RXgH6Xt5mG6AkdLBCCfRhv4uLS77VwI
Qr1kS7zCSgfCPZkZKxtEj0fRzIpnRU73xZTK+QpotMIA1s6XaJPrnYELLc6q4gRO40uf1Wqfgk3G
jlH1rKtDXE5EFi30Tb1qS5Tpq7FYLwSsoFj2iYPtUTXHOaE5N5ZR4z1NONq5e7t2Hu2kl6yBKEZ2
GaoC0yuvoa70XZqs52Y9QWPg3S2Lh6QsG+64K29tsZhRtebWq9j+N3dnstw4smbpF2pPwzxswZkU
SYkaQooNTApFAI7ZMTmAp++Pd7Lq21aLMutaVG8y8960UEoU4MN/zvnOVBCFzjjpB3pxdlln+fDF
liqD8e5dkQCdNTSuZa8m+9mMp5VbOVY0DDGGHggm1QKrnRjDFynjU2q668LJv2DOEfKvRmenGw+U
gDCe67xZd+k0nit3jIHQ1IhQrtF07/1SmutG6Sr+mXA9YwYHnmE7Z3BeomZpT73ZJyurtAH15Mll
WEBz9ZY2V8RoF9JChKAioVrcLjKsmMp3lbP1QofQtY6PHDvqXZ1l+am2xfgoTEkgxqiqhxTUMRHd
rr45nnpKc/wSdRGKT+m0NRwbg6ac2JdvcRU4m57o54OM23tAlJbGjqz/pRrpyQunYNmlXpN+gqKj
AiAwhgjVtru11qx4L5pwPxK4WTV9xnWwmIN1h/h7wMKJUAvBYp23uXEudDNse8Xincn2qTX/ECW1
q8gTc/cS9D6cPMaYj5Yu5puHZHwiFjWf/MXPToZjzxtCfvGPagnndzAZDQyiwryR2FQ7khrshQQg
dk7by5+MLtHxHXgaowp80ssGo9I0pFLNTthu0xmkZp6uJ8I/j0x2+o3BT/sAxMA99WPnPsQ2nIE0
Ho0Xy0jlUyH7ewOWDh4cOHmY2rPkTOKNf+rC8aL87Jt0efaSuqWxuo9l8cKAixi6r6B00y393FAB
/Pa+usCsImFXNJz7UZPnAybpjS3aYzNcXUNuys6rrrpAwyRXE/QrFNt4I4bAP9vKq2/9It1v+lzL
d9/CV0GO+W0mA7jGbMT2p/pxx1y3DaMeEX1nOGEVCccrj32uPNYwB/q0T4aERHC38kWrngV6Hj4y
eg/Hrd+46UHZfrM1CKlEBSbh9eKUPPhx36LRTpXnHLIEPlwVGD8Cp/cfA/48hjUhnioAPudFqm+v
s1BO8xbcHoiT6hneywURcu93zh9SWdgAluQRuIW3nuYxX+OlyA4jWt9LQsZwBR0OpcN3zl3SbMYk
xprQxts2LnXDgABQHs6G8IpNbbj2fZe8csX07gg0aW6JJHlp5KOzXRw7jN/81jdvZdkbZ6vXzdFO
kuk8TVP3Td84CtKo0OI0udFHYTiI9JMR/gpkWh1zibvFSvlzZgxUu/Uq5umSQ982djMbpuRkz59W
2PkPJcoshjZaTDdt6Fe3pvKrQ6qy8XehJ2+IkM2aU4IbetfVjY1fwpQmOXfOJBm0imBdu+zXI+Of
Oio9CG8Orim2ykHFiITmwC+f+GrUaWB/MwC2gnOm8hqSA4Bq0JKLt9oNp/eWhDW4nQ7vQNSkaRxv
Muw6HtDQLLwQC4Txkwu9trkMEdeNhfuRKLYgOJ/FB+Ytfxe6AiE2J1qI+l2GOKtUwzdvkJ/iPJOR
oW+EgvCoxHKdSBlyZMJ5ckUl6c7ZmN1Kb/ly/OzHUDrDNoVjeGyTONkPw/JO8IkXeinBe6R5ux/s
pd7Au0Itv283huWDAw3bRd1HRGR9ShBFGLyGBwsRHvbpkG59MkaIgFAXgHvRsT6mehuXxKAgNm3Z
Xcmk2XdfE+Gw7CRAyr1V03Ia4m8ix7dAWy9tMH6aKj0Ec/LTzbv31EInLxNRPinS1/vOqIgaG6X/
UIxB3q+LWpbr2jBhxdTLEl5Ko2nXPhUn+7IQkIv8wuKcFLgkid22fxZdjqkM41QXOY01XPJKJk50
J5oh0VcB9hEU10cVu8lTEU7P8VTa6FRV9QGtYKmjVhv2ntGS/j1mZP1RXtVunmpoeE3j74FtJXed
PZ+/yTGODF/NOEocDwWOWNSONznAsdTWT0GS6f1omMlHVfdm1JpDsAGfiQaThEe7ypsnL2fgEkFF
U+uxk82BImH9BjuSTScIRltF8i4mevXCndXAV01+0JN/+DPVpgCq1qzVLDw2Vq9NHdSyDhFYB2RA
s6S7+gAYMUQxat20Vlg+4BAQbiQ9QL1Flvq7LDR6llyntrGeWnBLujB4FhO+zMhnaIgwOdcfXNiN
EyOKegdbKeTlHsKdSAQ2qHh5gq+zGsOyIm8vl+1k98Yn7zDeUlvHe3w/y6MYjWEz+SE0hWlo64Nd
BeJspDbtqMYEd6Qgdn/FTFltyECCHgVrvRviQK4lnQanMgleSW8fLXwMX/Df5I6cffrsjKJ+Xlwg
AEOD1VySK+ZSF3pPYWgZP1O3CG9DbllnyzfiiC+Z/LovhT9RodPnQZcKlR+O+KnNXAvfnQhfcdP3
L35OweR66OUvFpbiko56etXGjKQq/bzemhBpfpIPU/wMab5PExo4i14mF3NJ1NPY0gpaZ419aJKh
x+N878UVVvJDNkN8RfWseIGYvWj4ASd8wN2PEq7vAj81LHaceZpmo0ZHbHDfhXs1+micTBnklcng
+JY7TAYnMZfHOhy7MIIQ3T0ZXeozTlnaeV9xXjt5Re/91qay7jwj0NE2j+oT0em5SiOhLevg+tyP
4XsIc5+3DGWjSlLmqLKg2qeVzn50Xdl+qMwxzI1tIBzQ67sgMnM4z15xz4XE3Gdz48Cnh6xSllxs
gqQ0HlQ6phfhGdXGBP6wH+N2jIRtAnGa0/aRbTLbEtWHFsxGnKzSOZjfBEadVyEFFPoioOKlWVB6
VdVfcn968mNyhxh9QKM0/AiCUGNT/eF/Oh7yKgbRTT4H9LfgCkTrmJLAvYk0kWsQuJxCYisHfUhY
Gh+DycDUMDjf8a/Vr6KJp824jNbVxBHF9Z4DzyVuxfhJTDn7AL5UtZvYdPs7QsHR8manab8rlM1h
9+9Z75qEftQm840flBF6006CS1Vp79jU593ke+U+t4Vhv5Vx3P0Zrazgas3ksDpaTumB5RhmV5/C
Ga5DtMSmP6+LOW/1vbFQiKvh3kPj5uwVpCNd930opxIqcmDfisUO91JINUflWPeYej2V1bztbhNs
uGfqa6+0YilYwAlHcS7DdFtW2I97KqzZtJeg2cxdO1sPjPfucXPpIlQFdbZErlbiMCm3JmwWdq8S
r+1KC8hYWvnc00Qw/VmacCHobTn6uIi6/HLhKW07nJjuamaHRQTXo/1Q+uXyw6qc7g9JLO9sLK74
5kdXH0OsKT6l2aA/shWyDPzHIDu8k/nS1RhacXOB6hvd0XhgGpawno9Ya9ejXci7y7K5yjE0LsTi
M1ys96y7r1XwlYEuYrrOwv1DmRiiNoGtT1mPiwCGtKhUdEd4fHSKtvGiceJ3JCXeq7GQXPRk/VyN
cfAQt26Sb0VgfxUWA6h7YN7pHcQT5pm7e2o+z4HhYUTwOc8sIrnJ2S9epmHqt7bRJCfgh+YV7JZg
8NEOLTmBseq2c7X0h7lU1qYRsu03pVW3P+zMG/cZ29cbIL64Z4VPPWwX2uyO7ZLlnzXHpY3Wdb/n
VU1OKhjMR7AYAn953gNbngiDC1y5PSb5aZpxyMF+ZpecxuWcmSYXA27DX5arggPT1eRkjdPvzhx/
t514NbgCREUGftcm7b8OalqDHc0SWrvV8NY2SXIEDRo+gOKSv0e8zVB2ajmDQQ7ZGUoO1vQxWUC9
lWPeKQCyWy1TI37DOsGki7b2p7Nc3f26/yeqyPF0H96m1MF84VkjyLpllFztCdoYc2TYsxM1Jjlo
uMGYsuaYK/jy5rYtOPF8AVQjmgqweED0cYr9xxEMwblnDXb5seK17EmaRmFuD6cRF+MBtwiJYDV/
GHwVL4KZ5ay5mFBh2s8TfqgkmNbtvPwMBuZwyS4snQ8f49DVUL79TsKTn5xtOGK+2B/QuOoN0yX7
jd1p5YhUgbaIZ/cizEmvOMtkkcbKub5jDtKqVCfATaASe9V8z8XEuK0cQPo03HXFBCjYVrqPV3FF
mqMmWcZHaLqHjiNtEjVsVhorKFtyn1vTzmsXsauNDjts6+GKSAaruXSWqLaG04KV9/FERax05nMD
Q+EXowwcODoLJny62XRYzO5GcWv6SPA8KkPRFdwBB/scx9hzMp7D2ZvBhQcBgHR+4z3MCstBdA00
T2wanuoxfNfC9t+wI3nHfG6bVR4sJqPZclq77L3HIfPsczAO3r02VL2PppedSrcsVxwOmo2F5Wgl
YWZEThjq86SD3GGWIOZNaKeodRX3qyefCPTWGfV4av1Q/krahQ2Yyr2V7SKj5TKpXktYwS9JMiw3
IRL/Db0eILwPIgVA4qDsDcXeNQTZzLTXTtUHb4GQBTPYwnoG5Bpyn5VYI52+OZgLwf8GPsuKRphs
RVB9rFYOnIEodKZS7jRnSaytGPXJKRl6RRt0nK7D1Ek4bs3g62RIoh7UKmGUEPgliZ9FkvcgS7Ss
5k415baT/nDrTeICBcd7HH2MRzTXLksmMB20eJLFnF0UIKZjoMp+l9a42rV2vYfJqdRe5ybsIgXR
hQQrd6COyFIbZw1Y4voRiIX9ak5xVLXWT1l7n2GBx82FzQ5/yBvVxkuXki7u1lv1c3H2htgFvJka
t6YGH6cqOziWsy7OsstfqjSE5YZl548i1PXst47zMuR1fJAcQTZCjc+xRVUciB9906U29kMBtX5i
J8X0Vm26JBtusVgSTMJluet6KO1WyZSZga59xrQ/7Fyv6bdDV1cRYsjHELTGyUgKIHhxCWqg9XeD
w2MEG/JPz23le8aWbTdiWt1T96vJBewG2hOXZVMeDKsuNqqlJNhPMXQVEAFqnnAbE6S9pC8AM7YL
eqwNggI4M8B5wFe/nK5cTgke4WsAZgkvYO4AaxOspBXzp50TG8O2hhaKIay3go3lXhXImYhCRKzw
rduBsIfahdEIaZmkgipOAMQB24pNmFWXUYrhowzd7yEQyW4Qk3mYq/5uSyq8p8FoV4D1Hqyl34uG
+13dJ84JsMGV2W+NdnCvJcieauEaX2mzaJYmrsOWLifG+eN8YgD2CvSKsYLhrxAeVpaUDPvGoTng
3zslFVievp2Kb5oDJPb69ueyJA+mya0iSmRN5YVpYVpG27fYDgT0G5cr0OLKg2/NlI/XIRHmqK9Q
sjh6+CdXTPmqXbgge8XsR7XtQpI0waPF9+sEscbpZxWE3olsgrO2a49L+zBtE9bcteEn+biGIP9V
l5Xz7KmEHsAktTCfaWF5W2fO+n0xz43DrKVOj66QubezS9P9aEdTJJ8x/wevZ9vgALNDDHcOplny
NUzb8nnc5Ly3zYq79GYJgplSh7BhlNHK+SkWTvwM7gc84hDW4c4PrAOlAeskUNZRuZZEwBy1nvdE
reQnXkN2RT/jkWqx0GUvQi4ZkqNpp+FnImMWYtO1ca0pUlUnT3I/WSV0cOiPMMzypzDxXfuAnJ0V
q3lAH0GgzR6oCyPgkk/TSivyFlgxJZRU9kPPQEJgPQ09hT1c3jI95s8gtVltWTeqnZ0tzDQ1eE98
INLzP5qqGD7nGp7e3/AxrRMOJDdCzs0d9zrseRMd60tPrbeazX6fuWz3hcGvmsvgyG0xbnCX0O7w
zqC43WSWhvM+9f7R91xm+MKPIJm4rFbFxTMggeFDuNqZdejK5jM1yOyhc11d9vekrq62SE5d1otn
xySZg22vSp5cDiRnnrj0I1aZ4kasiMUkxoM/m98t9Nx1MpPvKUYlUZdmFZVZuBvL8OeYjDdXTe9O
3E19xIvLG7/Y6kCdKpmdpN85VVtfQizvK6/lQS8lw0aYHXeTjTnc2LsrdsicKVkGLHnDNYCbai8c
XJLFMpa/lxGmROvY3Ypjz6GqUgCpfsydyRkNXCYeqlQTdvo5hKv8mgxkNCHjMqQuXHXJMDAYRX7u
bBFv6MmAEBukDCm6Oo7fuS+UxgZXmlr7kBYPY233P6WZEepqwaidyFobJEvcPOPgK5GFVc+mWw4J
S14KqhOSWpaE+9kwh7XBVcdi/Snri1FU7rPSoclBi/mpNATiiJt9dIkwdzMc8YjZ6nSWtduu8ecv
77PPra1cIWUx2SDnJa9eW75rbdpPBNPiZNv19vyzMWS+Hzgdn52w92hPWUyGX8h6HIkWd1Vnc2ic
p0LgfvV9Pgb8YCLblV0SX21GQ7+4m3ILWbL4QqClYlDB58cnKVLf3MSuWbxyhZNEStpdDgdTl6Zx
ckL8yGk35q9lr/bt0OitW+q3viNqCbXsFQF515iBvy/QkjbDQr+CMc/ETtzWZcadCeiCSIqsK/K1
r/0Cx0jDzWTkQYsKz2j/VIu8NMrHUS1nmKntutJFvfFoJQA3h1l1CSQTeIpYcfvS6IHThtif1cCT
m0uLOz5uGHJdrvyyBsttMDU2eg91p32nh4zZqueog5tZ6ruCqY4PyuIB0bIl2VNSzvBcuBjKiR32
+T6PQTz/Db/kp0H5ak0eENeBYV24Ai278H0RYyJJkDylKr/0/sDJYmzkEeUEycEqi/3UhtTBtMZA
U7FD6+9tmWS1x3im7+zEwNoD5AZXC/kBOQHb9XvGqvhrMVtzVWGuefYa8nOcCxt5cheHJcz1x0cg
/mE0WvTDsW7gUZYWTKhA1c6htUangumk84vmHHMc4bBBYO4aBzUtBSsT/Z0Q1RsW4buej3wlrOEt
7xYSNGRjNtIb250OzIxjHV0wfsM2qFN3B+xv6SIupRZxCPIbaYuqSAZOLU9V8001g/hNHE6sWn8Q
D/n9xKsXS97w69UXO8QUXkOhe8yWxdvzKtmPIeOgNye1/E1AeGpNSwgxdZcAhbV01srNwUA6GQhA
tLz8AZ+Tw7Fs5OwcK/LGit/PyFluO7BK7zw7R/ev27sypmLzBxj45hijAq2bPCTrJG3vNiyhPFOj
4v4yQ9+PI6Z6bB55NtnrwXHB2mlB/Uw66DUzJHtNXmiImlz0761M3WcKfpBjGpNHKYHxo4ES31ys
WnjV7wBt1+7WGYssA6rRORjKyJmm5DNdjDkhVFk2+W6gqeaHilnrasNG0NcVzraI8CM/8T07MVLT
Y6IsJT7dpX6d/qKnwPqAvyWvs9WpNXKiWFkYFSNM2xBZ6W9ZWVTY8EkV9YqY73xKRcCWk9Qjvx1d
q+BTaPEBMPd3Mvr22Q3tRx4opvVMk+gr7LPHVJjlsCZ6eL85OGk5XcIF6XrXcOsddlS9sZqlbTfu
eawVx0ebkakuA0IqmUxefUUY/74Rjca6DiGRrwSfLJaBJXyoRjPeu37Z/rIIxdrM3GPf7q+woOZD
ZUzUKuWCnE2vM+wzaS/jp4Rh0TNPl/yR0x/2ri1c5eQlkg0M1mQLsXu5eiQQVsq/h0DjeUR2Lkzj
Hddl/5ovFoOpoFSMwxczOKStpVbYxpLfYbIE6wZc5AZO2fysQtU8VORDt+wWxcbz2+4IRYjoxgJX
E/nF/NsteSAVUKmTIPy8tpKiOLpzYh7gWgPZYA+BcU82fNuRu7swaOkPS5qLzzxJvDe746ANKh0c
iUg75rB+uptkJrdgPTaFNQ3fAmzQ4e9ENN/S9OsCc36IFz098kQWHKmd9qP2xuyXHd4ri4ggP/u+
Nepo5r4DNAr5GAcDUXJy81PGX3OmJC8EV8NhhbgRTETS++7ZnMru4uS1ci9GUI3HfjYrvEtC00HK
XWuvZIqCDuL6kdQRhRrCK819aKbFpvF6PCpmw1QvzPyXeLStS9pA/LNMn6FNYUE9CHn1mqRDxAyW
4jVtSywkAgvV0tVnUYtXvxK/baydL1Da1Y2sfbwV9STvp1qQpI6Ubwbcs+s8JP6LPeXjTcwjSMzs
STNq3VpONrzntdc9uqY9vYs47TcZRpSTXYNGHvx4eGdZeffywj7P4n4+0GV+sXPHOlVFZ+yKJC0f
wczlq9gd8+9xjLutooln1Zaj5KpisDpgsNpzN5RglxurJ6cKKJIIZad2YxssH2Wi2jkiXGD9Ku07
5LdrDOqSOCefMknFUUWueK9I2q87zwfQ2QwgoqlE2XGXDliaYH2Vjcfcx+t3re0Px4Y07Cr1TPPd
DeEtMtAc4xK0RWk+MWyVp3Hp7S0z24yv6k/bmuDuIYH48tj4qtuUYWiuRVoFJ5qWMMVWfzTzGm9i
zyjAhe04RodkdWzg9eB9jVXcZdVeeUyNQSx9BGn6jUvpd8C0dZWgYsvY3E4+FjXVedmuUfVv2r7q
iMTrrqLtLSoJjTb57KzTcnxI2uRB+/XbNLDsEO5Yg8dFrjRnA9043fDKrgbTWY/SN4mxN89zZ+5x
DK18+Bz7OauKlaslDgRUIfB7E0JWMDDuKTsSZ5bYL4Y6FrazH7L5wVFMv2fTQxHiS+67YMq2Tp/g
R24WyWVyGLKfABLarfCT7Bz4Mn+20L9e3IobY71IRuFlbe7+11IbnBuR7jd+3iefpPmcM1dgY7vA
aCdSJbvXv/kZ/18nRv4HZUG4L1IpcG9y/s/DIOvfRSr/D1TOv/7QP7Ig/l+c3u95jsAz7Pvf/0XL
8f6irMgOQ4yC/+To/DMLEvwFxcamTuoe9jC8uzv1n1kQQDoER0L8iTY3Wtu1/itZkPDfLZVGQEQj
dBzTo4Wc0oB/S2nIykWpC627QRBtK2Jo3uM2S/R7OuL7whf6QnpQ3Cq7Bx+ZFmlzogyK9p/GTPK1
qzPy5nk7fkIglAeQGsMGxqjLaBgGBfhdjF9cjZ8mz5hufHkQC5luHhOA6L/hdX5pTgRrvYRiozLo
PF7t1I/4muIXZdElAje1+2HXTvlZM4xcCwDsqMp5/kgm9ZbXxXgqTOLX8Gb0G2NkY2NkZLsSCg3W
Yd7XBNDDd1DUzsrUCUmFXE0bTwi9MyoyfZNlcaDvGhJas3pGsUjvpZa4fRuGtM0EfmMYevXslAhQ
DHsIaukODn1LGIDGJ7XrQQeQb5iop7Li4g+k+eqBJS/9CjwuANC3+6+hIn+bDVa5owoPgo5DYmjN
vcKXKMKTwEfmxebPPAMX7zku9gwVhA+amSr4+AXyLfO5fvppl5kE4hNiS2LOPBoftYkMYcSNZvqc
mPRTtKN7RqLhnIjN8j79K7pTqsgTrOxgaUYQJQBcov+Wl/3/u3iY6WEWx52L8/g/XxNefhefVfJZ
/RtC619/8u8LQ2D+ZVvWf0yJ/Wth8P+yyBpAygpZggiC8dL+Y2Eww79Ivfohv27XCqALsZr8Y2Ew
3b8CVoyQ/gNyv0hj3n9pYfi/VgZ0/7v7GQ2HZYGh4b+BtGQeyM4mwbXtjP7mcdzdl2S4gTO4wzYU
pf6dBQBQhBeGRGJLup6motuOqWfvGYnazIcz6iNGj1Qs9hztPuGo77cm7PIDNoCStSSfLn6ceGc7
oLQGpG+97YPY/W6tuN6SRs58vmTTf3XkNjFvGGgsdC1J793DyPfWN1V3VnVbt+vB4vCMamwEJ39a
Ag6WGnQRLkxAC1nGlT9PNLiAwRHEbCuNB3hpNzPniAAV693D47Hi4M0wm48DNzBdBc6+RZPeMpZt
iAW1TnvQXZ29VqXvQF1Vnl5I4kycNoQTiGpVMSu55pPjcAnBwYd7UYTu+S7ZVzva9NzXqjXGj9AI
WGAnMNuHJsziF6OXKDEgl7goSeWll7vwWUeMUmEJ9aktr31RjG9thQt8wxCN2LkBnJXio4s5myM3
yE7/qo2y/CmgXDB0KLruSvpDpGtdFfRvFKb7FhuYhXvbFi8p7PN3UXPbBzbsj4d7Hy60ogQ/EHaj
73tGwF8lYF35xgt72+R870NaMV4P2n0Nqf7BwFiGaWkqqi9vgBfcpagwNDIZFt9kEPpoWGm9y3HI
Xq0yZECX+/MMiut+vwkEV8bE9WhvQGWtohl7rkOnGQ4Pfaz9ztgwpYDui8XqNkD9jLgVjSZ1tAtB
K/SGeCWHRX+C58yOevb1mQdqyGKOdrCuPMDNm6Tw/XXahutx6qDwGLS4EETw9r4o5RuZWty5k1An
U9QFMopfrspgUlefxppdXdbzSvRMytOQZjBiKMkeAhEzHgdBwBL3oituCT8Rk5cjYkj8WIOpP88Z
DyoVgf5Xn1fTFitsd8hrK93De3hRSq+YX5JSyIb0EUYSWemwbV4beva2mK2dTwk64UTXsbMi9V9v
PQ/NhrvYD8NoPkqoGxGaJN0EanzDtjfcDeN95YCQcOVzOek9tWOPjWUS2XCPXrNN/AWsTFXctRYM
82poBjSt++zYgOfsRw2Fiy+8B/65o1PnFuauxwSGbtBjwcD3vfON4MXpszpf10QTgD9RvEPj7nS3
qnMchn+lDLWnf427FB8fd0CKmCKL6dWhDNEtorL2nLcK6MXFLQN7b7aq4G5fcm6NfS3/oDA32xYU
Bn1vU9x90T0AJQWrUAiDAJZx1mP0g6ZhtGCqXG9+TB2ZPjkq99Z+Fhtg7Dm3Pjb0E1vruU/kbWIc
3qz0nJYbIrXjRyOz5iIlkvxsVO4FQDMNTdoeF74SkIdiHMwb5xx/HywKwAjYgvElCCfrdSh9vff0
NH+FhSxf5h5Zem95mfPF8y3/pB5DlojALpzmarbSTzMuMO4r2CEV7nffv2aOgkJvlBYxdFJ4aptj
oKUSQYF1KxHQds2QV9c0z+yXsbQIk7Su9QyGxH5ohbL4Jsn4PaZyMKlv9hSGxBa1ZDcYQ3KFoW/i
o0m8XaZl/8C0j3pbHmF+q7FtvXV11z8UeWdj0ljUPsASTXFgEVyqqmSWVUBXB90C2ePkxQ1XW6WT
k2uO2QMYM0IfBJMw17bCNF9A1mlmLl4hOEWZ/oU7Q/lEYYhxc6zJAi/K+TE9ItX4r0lRGjYuo7n9
pZd6WRkl4BCfqKhCNVIrbwiO2Z2Zg2+OWsQIQQcPCbUIOxAcXONySeDSJpm712F1MbIWv5UpXLFu
bKgpdF6a+wntBTAE+oHLi7vpDKTJlr9Epl6q524ERNJzf8GhFV5HxjBnuDTBL9wa8qyTON+asNqO
qu1J68C03/s9MlO+qPw8ji529YrCirR0/RO9gPwOrcR7iEOVr6m0YkLnd9WpmmfIXbU76A2uni+z
Y/BamKLd2/g2fyCAQ+0dfmRe0ex49ZkFAQahyjpdiywfv51a/s6Aum+8jnkArRByNdbUlhe2Okrh
KKIDrnMAMXElR+iv3dgTT3DA/D1Uk+qQiPhoJC2zbnRNY9MXYn4HKQ8iKIYr9GTFjo3Gk4hm0zrW
eqmKF5x407ZkTLat0+a9oCnggGUXnlsrvzJBmx5eG4vmtCYc8rVOHDpYjHsPXw/t7maOTnbGsd9s
g7zpL7QWnAis/RymZs/NnkF5B98dMOOwoovcvAS1BWK+B4tTMzFZIq8NU7qFwxqAChMyUIhASRgU
3M/6k3vnaaQG/0hYudwpOzuCG2I8HLszwY8lhRaK5tDPZSRrjU+qLT7LuSiPXuENH3bRdCGdxLM8
YzgHc56aCk3DZpiigILvFqUDKs5I+2KMmYZTmSZ5yWSD7mJKDOxooUj2d9kno7zbON184zQkCTpD
JMWq0QNRXdBz7APS6lCEGDBW2DcIyv2q6m64+l6vrzJPOzArRbD2gWdGdJYw7LOtc10HV34s2hQT
d85e7M6g8zEOKVFbmbGe3uI4/Q553D8WF+Km7s8u1ebbvFMZvL9Y3XA7SQb0bgmofaIlHCu8igwi
XE/ZKJcPkSggi34xYQBvQ31vOGCUp/t5ZYetPvtMVL86K8eUz3/43jk8MT+2PaodhY+xrGlfa3+E
Q+RRs9P5sA3p53pssjh5YxTb7ErqYP4Q+y7e9eg0W8tfSBsHBcRE0BJJu6fWhMTC2LRNwA8P2ch1
nOqRPUDv8LGPl8CF4sbMwXmTOEqOUyemo7KCZG0rZRya0u3ZkHxqGMaqRrCz5H0YyWflhv3yi8Sl
sUf46ta2u0CYKwHtrVFDdznz9aXPqQSjOQXWPHKPVqvGRgfq3DVuBETSqWK6GZTDZtDtb9vRnOdq
HsV88jaWQS0sC/G67DXNfZ5Ye9b8JGwF+a7WziFvZm5uZVx/uqxnq46Sx5WLu09ugsrYNr2s2WGs
Hr9SEDx5GAIfEqbs27Khk6fSJuBWihe3TVE1a7SglSuZCCbjcLKs+Y9pdikwE7YpEhiOhyZedBtn
cZkgWRy1LmFeO9sq0erUA/vcCcQxo9PsKtBPxhf6DPtXBpvFapLUB3ABvIAbb5k80iIHQyRbxyMJ
sk4nNqAAvEGz04Rbm6UsXdn29MEfGh8kHKQvhnbQUEksbZ00qR4Y6do/+LxxkjnegHmoaWgH+d/U
ncmO40qapV8lV73jBWk0M5LoVUmiJpfL5UP4EBvCp+A8z3z6/hR1UZk3gepGbhLVm8RFIsLDXXIZ
f/vPOd+polT6dE0Ze5Ig0RFZ2LmvBp7lQQ/ZCOtpeieUk51nbEX35KHcU24W6WmIjFSsoipVFz6h
wFPRRJoT95D8vgiF+l7MKcQkFiCfTsI6q17oI7lv9e1FgYcVw4MWNkZ0Vzd1faNMDSQI0GX8xvq9
u+XYzA71ko6btnY+4dt5e6cANxiyBD130nLfkG/RypKioLebBz1zkZ1Ut9Vc44FpgGUdyjzEABWp
aub0QIYOl6nYZlyd9l7j6IOhnPkhSGhTJdlBO2DsBJuCgrsjm9f5eaQW8G7Ko9dSO8GFu3UKHNKt
9+QLYnBV9g7XQerDXai3TqwtP2/okZojqzw3TsKTrgpCv2Ju8slDoaVQEo7fKFUvJlcZXmY3p9qX
A4/5sXyNaP756RVZerRCqn1U08qTa1Efu6LBD2WyhVF9H4rMWOe97n1RLdNnMGcpFkWee4ELs4AM
NnZDh+c4lWXhTenUP3Q3hC+uETBl5trc9AxETRNSCghOwbs6f/LsfcJTcOGJCtfXZuSlkqenm4Nu
dvxnBIDiq/uuGj/jmGxhSvPGMWngCAzJMBzYa1lHZ+ozX7QpFJ08DfYjBbieyYq8IpF5cLKvEZzi
V+ji901gDbmMsHhNx6z5nA1Cjhn8SYzncUYh1lhiCMNU44M2KrfFMvLyyVHegb+cdwgJzWXsi4JV
cVl9mPzCnPvUGg4J2QgIZImz4urDOFF7xr5z5u6WstVoPYXx/BgEccu8kGTvqeUt/ChV5pMziz65
jIkDCWhrg7QoYRl19Q/DWMaHdFgcYgqFbb2BJsUQ7Xj9to7Nag8xDfxD7GXg5JYp59LTudalcSmc
Cwb4qW7KimbwvHTrVpSDUI1WarIO9RCvq5b3C4khfZ2LaeQ3a9S70igwZAT9rW1Ea13zSCmxWuue
3q4hdn+RrwWM4p2mAiwtztD1NJCP82KxZjw1jzAuTR9D6Xc9TntwsU8uCI1rDW5MrQ9AijQrZnbF
TridZVMTUim7AwJt91ab5fC+DFbje0C9ng0lvBPp/eDTYGaifLYv+vXQKNwKOpS+lw+Ed5asOulO
5m+OG/TMRkodyD3Wu942yOcBqTZA84vY3Htg5RoYIMZ0qjEbQODFd74TdqTQEss6ZtSn4zKgjOTT
hKFAWhQWAtJN4Pxkz66dlcGO+pnOacuvvNk7d+OSvdZg+nfztYuYrrfpXVMqz7MjLQBP02DJWVYs
9yHFecdULdO90bYjkuxIbSWLVuEHqbMcFjYVD17uNe/hHMTYCMfqlfbD+Kqr2odrac1VR29u3U6Y
uFU62LF9Z5k4DuryvlMd8NG+HOhbW8LhycBFAZ9+kO2txmvmjz0eX7w5wn3LWpLVTit+xUCIj5JA
C1TVObYvLObM9ZjZ8TMHR7duzLaPNpWh+tvJWcicBEJsjXnOX3uVMrkuTnYp+LgjA2YlBuxBnbMG
zuWK2t2ZvBTVbejmor2ksLzuGK6Ta6IQ12KTCI4asprDQ1jWqEAItdmh0jll4dbSPCYVMyw1BGm+
z9kCbzxuMSesxCg+WdH+0KaBJf9KAJsJ8D3LxI13QRPYLnL/kBzGAle2asflCLqxOiJzj6/DYg9P
HlPofS9GniZkbp5pk4yP3mAlH6HT8ywKxuWM24o25rQyw1MjE+u2aPFdR7D8VyrJ1MGshglTfr2I
EneGVu8Y/SNan1LbfM+1lYIWcKjbgRzksGtJUGFXTifN2r+mx28o7cKQX7rcdmtMeFv2ntUtz/Hq
LZqC6nlwwDosleRi4KJWzq4o72wXFId2Uufo4tcBnDKoDQat/KzqmRErYb2NNwQswisKn94oM4nu
AngGuwbNn47VMdVv+E2oym5Nc9VVbnaDO5KpM06ccgU0s/YdaiUvSatD3lr3HbGLEywxdpQIx6TU
uIPzc1hrgcduEFRYBy6nazoaaQtxkt2DlfMuWUDvNo2R5T/sDFGoTNt+8PFN6w9Dcr+YoCGGbLc1
2VewKTm9jxbK7hqX6JqfmvHW0NNjHJBvi1H010rQfaQmYrb/5v3vVVX6rzaF/xnNCIwRgm3qf7/W
vX2P4H61Udf8ZbH759/7c6lr/uFBcTZN7SnXNB0XfsN/kr8c8QeLSctkoetClEDU+a+lrhB/4DQx
YQGCYqCNT/OX/r7U1RZ4KE//3hXTC/evLHUtE3XorzgQLV0pHcvGGKLBiTl8F/8IchFghCaazSd/
7iox7Mk9xJtpwJixWiKAUmmHhN7xELQ3kzcs1zzLFThp/WZPGo7BuOwkTNwF9pfXHCnIOw+9ef0T
RUseutacovHCGTuRUwMhcaVgZr+JmIGBg+1eNXH8YuBKCh8Jbo7lfS2Qq+lbjjv40bJgpG8KHdAw
l41Ngzu2YnDsFk2lnB5AV6y8HJvtnzDZGYg7JnJVhJeiC61fVlJKCse1ACCQ9t6hvrJCRRoZggEC
t9zGikbJ1Sa26vRubKrxhKsVAKm6skitohmPXUetxaZR5RCcg9/4UnJxZvoAtfeV3MNs7UiCTDwy
HM7d9RjQ2zfFEYsm4AQyOSHuWHyafwNVBVzsZgONUibrOkxgqbpGrrfNbx7rLEhCrkeWF8ldSwLF
D2M2UbpmJ0RYZg63RKmHbE9Uf0yPzVT1LG1DeuAJFVxNvDMVu2zgroRZ0VkpbAlT9sA5QNF2iQuU
8IqndZh+T1bjRveTBdi2hXCrGroyuc2nZU9bW04OwRvbbkXhDie+zOIXvhrdEUPYXAI60sqDyqqR
p9Bv9i4UU/lAqn0Jb4vfdF6d9dJbUTxAgr2AyDFtmYBA+lLjqpZbIreNcQwd0k7cXXFt7Zkykhfu
KGO/6ykQgk3RMGJxlbqyhskeqksxTRaOeTdoi5NrdhQHDB7QklU5sL1SnQfFuKU0wjuYMkWJZO0T
Y9HWwLZ8FvvFXpBl6TbUC5NaCbnNdZuOZRHgXjuKg+2cpgP1eZjnZz+iHtbyI6fiCSfDanpqIxqe
9lih5Acp5vpHThHrWodN81W2gTURtxtp7zB/Y5+HBpottuDSwwFm9ocwazvUysVZmjWYO+BWBr7x
I9qD/VF5Vj/tcVK5uR9NYYtbzBO8Y3MTlkd77LjKxFWTnihyAU0eOxcHnvmPtu05uLuAJFLYW9HR
HUfHXLG5rV7cIrEeMEu1PwmW6xtPpfuhFB0qB/+0eLwODxGB+bgTT3EDPW5lmThg1j0cikdGxeUr
j/LldlAsWtdZX0bWXYMDBb54mdJBJ2AGDPgRwvzWSzzsbZMs4eObyZC/dcZS33mJY9YbymK5MgQm
N9u1oWz5VM9RJQnJkopl1+/anQ/OQJ3gNkVqQzV87JB9M0LrpqfIblq1YS7hmFk9/ruonNl8J3n8
s/NK8HGMZ/y2W6FBB2fFlLUpsSTjjjSDZ2PJgt3ikIjJp7L4onuS/A51yNuQR/WLN8AxrtvEdXZW
3eRvcxbyucHB1d3RI9GspczLm8LMhqcWtAPr0TnjLCDqeoyltC+0CzDMSs9O9v1Q5rBgrIyQF56o
fM/uW/7gAd3eUGsdks0VkecTkMyC+3SKSd45NlTnHZ3G4xYyd/RBDIhoWoK3Ef3VtFjf11n9FOMQ
OGAfQcqVWUE5eqRHm9Qoe9cvAu3N0W4WIBdwqZdnelCKz5orm7cdMnsKd4TIXODj8IUJ9o6DL1Hp
z1FdGodACnTwISyz8bEawSGsI/C7OFcAh7a0JuQ1CF+MksdBV1m/m2YbYFm7sLLdpAD4sJJyMzbX
yiSCOWD6v4M3WmKkAuNthZTI/3CT1jA348QHhRENUC37XHVdyvBM+8yN2aa9dLF3qhn59YxeqBk0
P7qeqZ7JK/FhhDdbr4/AsLQQzjnCyUSXXONNWtHjeq/l9VbQwuri2E/D7ljDPSmeyqm30e7BBPmD
rIOHfDYI3s8pr6hm9GQsUlY8+hkOyXuzDxx6RE2B/dF1lDRu5CKSdz3Q/rwPY7NPb6UdLGs35Mih
0dfO/YoLjGZJ2PQX6D3hExDiItsM4WR1nBcx8ThL1fwmeopUERxGb/zhzQysnFcWcmPLKx9fh0x9
n03UkALsIPqESkU+cwOUim9EqIha8hpZa83ZQA8AyFsNfALSL+43l64YXopYszSQqbe2nHi6SVFB
9vwyLwZFGHQGTVNZsT1mPmj3gtBcAI1CeXtKc+MvPXn1S0Ge4t4YOsxFUx0vnym8EtLgkKUA0Se9
W274JzruqX1Cq3Qh03TfkgXG9klX+bwmDi8kntfri1CInut6mieXNl1mBgSwCO9Eca41BEVRPc2A
wm9Lkx71jU4n5AOZcrRiYUVNGZwwP0+6JCHqRsPzOIMsTufQs7eIRctDkpsuso5LMcxt6i3z07CY
bkNSC7r3Kkwhtu9hELjfzijnPRxD6xxgt72mhQEEYmpKx3pVUCRZYpEFgGLFUxTckayY5r3E1+xd
ZldDCDYo174F/u+9aTWrezB9N+yc44mrQ/7QEy5GHFm6aBOwe9/ZHHKbIByMfRID/nb76SOpkE3j
ijNTmG1q/1QNV2Ro54v70sU9ab6KxrhITuU7JR/UuVNdlB7MCdM6Z8yVfBwmjzMrK9pGe1p3IUgl
64Hk04NRFw5UUccUu8HmCpSHOtpk5HbRVcKrBS247sgXWmBYYUaQU2pFY4ETUE9cL0GzMkNY0jKj
Y+NnBHLlpId0JJEF+GXKzZ7GIELt7OZG2pzwvOM3CcuRGJslul0XheONEbH2X5tson0YlbMDyCp2
zkNtNJ+gz8MvOdL3GbUglywerNxTQiAtzoAqGU+VpHREX1f9jlNhxuQsurrsFjEcZMG9pObeZu6s
IhPGcUiSgyUBF4smcO+lICSr0th6yqjc+KmsqMUGndTDL+06xchskIr8TncRCbAoGQ2A/WJJMYC7
JB1Maywt8APp9BGK0PsaZREPzyV9KNznS6v8qpVtNvdjIGBjCiQr7t85nPVT7Fm8jGHIrn4lh6D6
skNiGYw3IhoOAU0ImqdzCqcus8rcOxaFPTzWSPMD+B4DgL3XlvYBwlG+PLCrfBgwHZdH1dTDlWw3
zvczBBiSWkt0y9493sdqbs11NDV4HCMeWV3W5fDIZTSVXPUCPiYM4t0Fy0F0yN0QY2xixPvA48Jn
ShnRloNqAMeGTigivZnvmVnIs5wZ5ItYx/RDFU7k984o2BeFYCaN0n02jCKYweabbndw8VsV70Sv
vGrHQes9Ec6XX/1Qw/AIgTvd9V5bP/cTFRYJvBLraKdzdmoFiYN1VofWi8BY8YwJ2Di3nSIJmg0h
Wg55y3ynSGhTiioIqU5zBe7PTiv5yQMy2/DIctM1dVP2Sxe076KpA1ZwQ5ZRKSvS6heY/vrFihXC
sEW9HzfRoGfgMOK5eK7DPnyis/yacNaAYE3mxcexzibwZBXO4NdllPXaq5ds/GQLRXLWkJzGQewT
nZvfMVfrdT9Hj0kqMCSzYSdUOcFVPta0wem9SfZjOaW0i8zbPCv65ByX+Hc33mgQ4DcktUt7UbV6
2fJfOa4FniXR2rQKN9zG6OZsVmt7uulhaj+1AA4UClEoHuMkteKNkDzKI+qSH5q5DUnZVwsJgEVY
wNJ4zG+Kpe8vsRvLNaXX1Y3Jhmgr4Jvig5PfUmsw8dUVuR81boKDImnn6IVuYKzvnqiCaJWjujAx
2KZ1W9l1f5HjtIE5VUGK6GMfl8h0NHOPTLapqbFviWT2I+CknhVPgNTosAJi+6bO9eR1DyM02V2I
0e214rUlHXTN79q6SEui856hN2mODZncd2ST6x0M4y3qKAs4EhKjhqy3c+cHAjrrZPJ2lr3Om4Hu
psx1CNTzoD2H6BDogA7t9Dy9IYbEKPvZtoy9hLdQLW92HI0/Bd+F3iRjZIKL4fWmJ9yu2p20m+kn
Nj9aXGIrlXdxRHcVAy4nbLIMDOt9Ex0Du5y+86Cet5qA+QHm4BLvB8TGWy4NbnCsk0p8JGVlbzKL
68yGIWNx1hHmQ/oriKX9nMS1AY8MvhS8i4GfZ5SsrlluLR09aXaa+HyYLbJcSzp88PHVpzbNaHyK
LJOnOymScB9EUYbmE2Xb0SQcvaK5I78TJsOQH9RmbB1bFA695UZsosvGRsKtiuuNXnPJXXaeTMVP
1fEAWy9dz/0V3pJkSdhnbEsD7en5RxO0+HyNzvaSLbDA6GuoGwU7prfe8qkATBWpZp9WHPMLqJl4
pX77qTE4+k2BaTJXEFVWKJx1sZ4ph4HPI3T7UxpAREJnUDttNRFrSLAShNRQf7Zsh/T90nRle6xL
ARS/9YIrp+XK6r6yNpJVP4aEugcRMteoiOYCt6Kkcx12sfcV43t/tMEZRZ6HTVolmraWAkNXXi3O
FnOjuSPN4x6xQI/UUtTFoYJ0c3GG2txUjdbkwTEHZP4c99C4gtFa2U0P9yEu4vYTToHutp7wugbZ
viA0ZEXdV9Utw93UJCU0SGGSiFIlOYOVmGbzXXajuSGAYf2ieGJ5oEwRjxKkyBMtcJr+FeIaeRSM
t+VAGBbzDCE8zF4zTMthn0r92fYMPKkOERVEQaom4paE1WXXJhkT76Dtl2WJvvh1m3iNKRrodfyV
DXF+aIEfk/t0eb0TJmQ6Es8yN6pjzoIQt0lZXbAR8QDtmvAnMwXsEw4//SjTd1MAfUVOVAz6BYAr
MHW+JUt1SNlgPrL7N3eAgCh2JbdTlq29s+LCQVMEUhJgFzrYVbpfCoQg1IM02VRTVWyTvLEfG6hT
N6AtzA+vkcUNjQHje99UNBgEKQUmXjeb0z4jVBD6HJLj54LAhCaRWjVtY8q9krcYumrBz74eRqN+
V6l2Zx+0hoLDa2MDm5jpU+xju+SaJqtoXuLXpEovo2vPZ60kgTsFDe00TgNToTt2y/ectNSNp0yQ
aKO5+zRjXDzNokrWGh4cd+IMFHeFqCSY5L8zY2p2TQffkYcJIcS2t2AusDdvNYdoRwt4giasVLDL
Sw/euDXv6szFz95FLHXtiuVHSu76B+MuVpSMsO96+n3nmKpwU7cq/eUSeD2oplweRkweb5Bw9ENR
Urq5MiNIY7WQ5MMKKsphnXNcsrnZqTI7jCKsdggV+q5PJXIwTSlkkVRZMOwYudzaPbUUodOp05Bx
P+0dWb+ORL7huVO1BPRVPWSe7IA6NNN9ZlLZMplR7q7TIn2tM9t8Dcy8woLSNGdKLGDK4DUitnxd
n7XjpqIGd81Eoy4QIzXplTg+VibEVnvu9/bknKltGdeyduTNrITFIOUtG2ysNT1u5F4zCoVoYAsN
f+BhDIPPZLzTYX7ioEp8PjLuS2HUFHKEiG24EXAn0LTyRDuiNwCJHaYnDTtviwkSQGzt9eoOy6ZL
vVii59sxM0afExdMnw0bF3NWfSSOXYmbyUqqzmebRqlT1L4ZiWs+ASvH8IOvr/2xDB7TXohIXU+J
uXPy1ORdXcx9pXn/myLsfKel6vNYTyNjyBjBPgGlzJyzpM7HVGTv1JjF66m02Bd0S/6NczPYcT6U
DygVI+NQYJwx3VDCGIwv3VU1xmNVUBVKlGenJjVQrYEvvcyccwUTFn4u1wEcSxHXm1UwqvgGNlxx
cMzG/TY7+2IEjN0tDSIMZMF80RIs+GRgy8AgZJCMB2RC/dYumpLuoKeF3dRcLvpZi1y9AUNZgyfi
SRL28Y2D5rSbuW/QMsNgSwGbmj+WOLN/4BQ0f41NjwK1eOrSL/EOeWTpzpUxp+NtNBBF5GthMlyy
z5qQZusbdjvtGb3nX5Gb5Je0VQJcEjgEPFOgoMz0iomYSRa6HUwuxOOISWpRoWAcRkSgZQs6Ptih
sb837RyRWRUWD71/s2Lwj4LB/1eFy0ye/1e3+PEdMNTf/td7Xv3vv90gL+Rx85c8yX/+/T/DJPoP
xzVt6Tm2JSX+bNb7f8oL9h+2ZyrcTtdxmdYE2Ol/esZt9Yd1TaAQKHEoB/c0Tu4/5QVb/CEcLZAV
CKKYWkvrX5EXsLL8RV0wrv3N0jFZsPxVVWB1EFpgwpcduBVydPgQrFVkAkuO8FmdK5nq0veIrWLh
M8ZoIYsrU980sILM0xAceJzX2zly1FkXU7ShItjZkEPlYYVRwTe6IMzXFdvDkiogfL1BCzxnDODY
1WU30xrFWJa10fwysRbfORSe+W1tRntuMfWd1Yv0JWwCqADsYHawtcmu4mOiSsvzDngPKAOLQSfn
Bfu3PB4oWQA99+4CzL1xYgqzNuBHQL9yLSShm8hqlyLUbYeZWrGyGnXLbshOHktYXfQ6u/hlAMOw
8omo5fjmlMTepYxBPHWFARJzpsj5psYjcDPDjoObPRnbAIw2grf8kiSD18SIEBiMglpWNrIcOIGo
5K6MdPAJgWTYLAsRP7iNMC7bAq9YOiR8mjt7bwWpOqZONMMx8QDUtSEjytrLuHX7Jm7maxFZrm6L
BqkgEhRisV0JblTiVB8SdQRLZWVsXHL4eHFre+O1ZvONhz99cdRcvYSx1+9NuIGvDscjnAjmQmrA
bPwarJO6ddXFzWdv98HR7kkV7CJcaiZHaasOI8A73FWko58MI3em20VyfO6WPoNlbS3LPpsWhpk4
M5obRIbq3ajiVK2EJGBu5Ph+YpNZDBg4XyWuoipcM4t0fgtrbF8stuABpq3Nkul5A8sB3jnOL5x5
cS8etOjzX/XIu7ARGOOe01hytLteXYU/Wnuk/i8fBDijRVO8Qo43z9kAp254l2vHPrA4jS5K5IJF
NN2BvN0wb3jZGuzidR/NlyC87rKbJPMlX1JcGr7F9z6Z6GNUQH43xVwzETkGBr2CVdYWvD89vwX/
yiGSBtfTyAp+zZXme4LVpzJ/sEBLrS1+VSKqX2vx4Og2ePfYX8JWDAz+Z7KEvzCIUmqGYwLEMF1m
pyDGT2c6ZXNfCsH+b/EqK972C0OWoF3yIZZZ+EtxzVxPLBn8WVxrPFUJco7RoOlIeY8YI1aem/X9
PnEN8wv5Z35fosX6YfPPwmw1LPsXkSeXjzQxZciMkHaua2+XSKgdt7Crq4FiqluAmZTSZanEPEgd
aVmiLiq59xQ3O27CjiuxOi/YqiS2ZmzTyHW05UV0g+K7b9QjVakpaenKuHaRQwwWfoJngZzE1Jvf
40xJnNHFJEG6fEFeg7bikEExA3W0Zgd/ERRS7yGbpk9hkkKfr1l3/CLZ3jSz7oFISHUiL0pFmFVL
KtRDjwWzW03PxMTCd2m7mNl1kx6qGYtwI7gBg2LoPOqlPfGIHTXnZ13ALazzkTY0Xsysu64Ux3Kj
5ibGlKa9vvLHZsF1FhnhI3f6fiOGyvtuBHjFzdQZ3TN79egD+MpIUWwybDXLv/NShSNGHlCV3azy
S4LlhsbAxqAxU1qz/AkO3Z5WnWOzDckXszxlvEmbMS/Dn3yRfE/e1by0iSWJ5Xs/mSkrH6eixoKZ
FUBaadSIBzc7dbOtfroyZA9SQI4EQIsHD5mJ1ULlcPbE+PsGykBpXV8P3FLYWNnlMbexUW1c5/qu
dY4ITkniTPtZx64fNQSJ/alygxNshMxZg5Ous1XdOG3l8+rAvqyk9wOFjo1e23oP5ZLdz0UxrsNp
wmMq3WKL0EiOaFJ99aTV4N3kVQYLVMr4kyyFPPZqmX0TkXlnyyk7DIkNYqUlAw2fNd2LGG5CpqLR
VyQuNnzUG7+8nukFhotN3UnjqMNJvmVhmxGziWSzUyMAApZg8dng3LvNTW3dea3RbCIVDBuzbNoH
xTl/qcMBj2BTkiYfehJ/eozkRfcyfbLItX9bDviuFWrk4PcEuW6WfEr2JpP1vi8UnYUyNI6VF6m9
HEUBngufL8DYMU9uQzghcNHtcfkIDRb7SZrHDznFmodx6u69BZDAhtPyKg9QCv3GcxsUWZNCL1Pc
/e/RbdoVDExWCrVn5kcsLnNxJ4Nuek6mMvoFUjt86BM7eBLVlGZ8Okbvg/QivbhtI880KDbvY57r
lz5Omg2ZImx88ZzvsVhidPFwc20LZGY4wsPo3OeTDW62WfQms5fxNDSGPDOeO8imiRUcw5CFA5v0
8UCtGDpchPbfGUNIQtQi/QllJXtQTpv7VNlFXOUwjX6bisXQWTjD8o5SCO6ko5JYrJApFTvKaTpF
oFrXOLcA4JuuPC1uPrwJQphQ38x+vfAU20FYRR0OyRIg4QVBurYsWRzr1K7OC61WFUdgLb7tobz2
J3L8pi2SBDiEZVnVvdt+BgsXd2spxHYYa+O4uEv/nbscyaXVDo/kHkAMkIZPd7bDzpbe9PRdxB5x
p8IT4V0IMiVfz1lDRkyBFgvplIaCJoEW4/vvb8AXWjdDbo4bzwC1VSFC7GZZctKhzsQHKiPSU1kH
0yWBdggq07wWj7k1rya2RFbczZqdoFiHBRTAdCrbh1E1CzzGwHmCuz9comG09wuC2MYtuvjGNfSZ
9VpxaAdDMgy0PR/tRDsnj+fqx783+Pk/0PhDwpKJ+L/3/fxH8RU173+7NO9f323019n8+jf/dP7I
P4BJeeCVuWBjsrlWjP05mjO0M5PbmtIaF8fNNQH+9zinpVE78FE7zOd/T3lbuIXwApHz9JSWwvT+
lbncuoa4/7ED6PpPWJiOPM/VVNn8c1UUbX/GYPVJt216DoLHqHfdp8Ux8LKr0tN3Eq4PdbdWWW8B
k5RbaXYJGN1Q/T/qbQSD9z99J3wbEOq5viiEZZqk/ilubqpB06TsCZ/PWfucunO/YQsaHIYwF8yt
MQZYjSqrecwF0G8q/Nsu8H8Eq0nt+b/irQGNclemUf4TedVcFdiMa57ScbzJKV6/mN0cHBaBo2Qm
rnGOKKdAxEdP8yUq7X3UNuCdMR0d3Chv1gYRT6y2YQa3vsF+Tip39ovQw7ln9uOrJaQj2DqxoCPs
Ck+YfgEkT8GCJ+HPo8H0cO+aQE/v2HvFuk/kOY9tY+/qqy18aTv73VRmdqtsiI4rGrl7AFxmfTPp
bh2D0fqw7W75stJG4ak0vV0522BK0rG94JNmt5ZEKcGEcCw/OmbYA7bu5i6SnXU0S0ts9DVVQqFC
dwm1zZavEDwpE/uYwRwmQ4kHvdch0QIg6auEtRYwIUu/Wn0AgEeb4kc0wjHtSQkcYOcE4EhtAbo4
NLb8ERN4L3v7coyafUsN2Sk07PEwkIPbNHO2LeYQP7us+5u5M2hkoUfAr8a68p2+Fqy/MFTjyqSc
LOjk7BPo655UbVYYmq/9gSHA6qwY1SvLysBHSWl8uzFZ/LT2wo9WX5artJxrY7wNc7ox+nEyXsax
HraJaoK9kPQANKVAECkZce2lGb7qPIEjnqfFPUtG7I6EqvrbscqbYxzapIy02LYTeLCImFxh3Lh1
hNFpQnMcTOcOcHsEgjWFsbuYRFTzQuCmYmpy8PXuUnvGEtBqlItozvYURG/oDKerESpAq1tsybFe
QbvEP9q3BVNZE+9twOKbqmvqc5Wm3SsPtA7mBtTGhTMeZqphfDgLQAJChPM5V9wvvfGaA+bXaiv7
NvUru6V1HD7CV9jQrjOyv3xZhCGu1JFhviXFxewelda9OdnWpc+H6c6s0B9rjLUgFdjlQQC/i690
4Sjvl10Vdt19lim9yzK53JPUSPx6MeJ1bl8d6HqJL8CaSG9ATvRZANKL1ieahgAhkQBqoP2FKfCY
dtUeL3D1nBUkHbzYQZjP0sgvvPyXPUahb41e/hTIqyVmbhzASnx1rB96P0zecpqiSR5K1bm7gtQI
4stMwVpJbfA6NzzP57nrQvENqk1DfHNPNND105Ct9c5RJR69lBsCqp0aCEuwzDhTRKg3RjVx/y9y
RpgEWMyRPUKAeDXpu7g17IeB5K1ZtOepWpBjhlLRWiXn3bVUlzuItm5DN7rj5uP5NADecVGGgDUy
gJoFKF3Ljj+BakW/8hCB9upFYyu/BNQXj+bd4tj1a8ipv7eRc47NMFREhSQopGJQ4Fkcaqr5trkq
quAhLKT9Lio3PhJsVPtu7PvPhmDqAyezC3SnbH6KmmicRdp17ZFbjNYVBSXkr2Wo04Mr1Xrilx+2
jdP3804tkL43EWAKnDMVHclBRHuyglZfUYBijsWmb8LktscJSCjaSLbEqW12Em5LaDUII+6YjUOf
dm3aEMf7we7Yno8agk3wbNNCeSfzmGynUFiyaGrIeJ/JInTqLbfc/t4QJWllTBLNcwupfJ0C4kPI
b0juKY2vz47mLWfavGvJF5DXzqO3yiqG4eq/4XMdXbesk01yYqnGAuQbgE37dM0WHR0pA+nb3Jhm
cDwhLYtFjeO+K45u1qpXGXsQ15IyJ8LR2WgXrqMZtYn9c3n1ql9xmc5cPBC3fjmt29JRuHSv8E3g
puvyrogMVs1jS1kBgWI4C6AVizhf4O0iH15vbx2f/4XbgpOiaukoLF9l3mQHL5n5BxCKD8HIzWPO
c7ozRDBmQEkCai67OsgumEsHiwXYKKeDTubBO1V5YKXf4HLb/0PdmTNHrnRH9L/IFr5AYYchpxu9
N9kL16GD4HA4AAr7XsCv1wGfDFmKkCFD/nszMWR31a2bmSf7u5C59QT5ySR3WWnVZ8tX4TMMjeK1
JID9UEfkHFZhyQW9EYCZ+fbO40slrUbjkgqt12gY3lMYxqfJg/hMv8zUrB1ABMDP8Ayt9cQc8ZQv
n/+oasx7QQic/r6CTKNCdvorJsO+cxW23mF0ZSZvXduWh46Wj6e+qRkJcCk6gSlqw36EW1n/jcgn
65s4cZ23ghaRr4n6xwNxcns3UR98wuHkffs57Ai0YF3iVBX00EhLMeLCkHkyYtt5KJYW3jTN3N3A
e3tltVrt3OnnrX/lllPfLU7rJ3jg9V4W2rCN2siA1JrGCAswLhQ5lNDcL1bhDe/Ubjvik1sB63Nf
AQ9k3qWlBkgeh/Su+YN3kobEkYR9jD6XMiRP7uu1/lb6TfJrtIGwrJoqgd2XZ1FnbpKytz8cehOK
CzqRxH+RFIsxNvNI/4sF5g9MTdwEuUyOWy26Ucg6vmcYFl9MbTSfKK7Ij75o7S0JlfISUvn6Ujh+
fGCqSSF/D/wRzFqjDMyigQ6rknGH1MqywLV4bfmedrMno9wJWnfWBSnqb8xfxtZDgof9gjX2pVGC
kqeU5zlutwJSxpTmRrehq9kg2RoPuQ3EipI4KcaeTG90CAmx/sZoMQYlHNG3iHqIB9dkbwr4CYpi
bplr3ozGGm19b+RktTUqkg5xruZL3y2QZbQ22Nx6rjGLeTulJNXQBZvOtl1TT9ypE41imsVCZOyJ
VLdqHo8wMeIj40wZTIbA4czY4DxbRF3U2iMpOe4wi4prWmMKGem5XaUzPLO1bMzmzv+1teWU7Jp+
4d3kdhE4me6exmgx55b0BgdF27TvVUimKpT2BG/P6LZh2kRcR6a/LWqAhaBwsl1YztEFb7a97Sw+
oxbWirOjLY27EWo5vLXK+o71g2qKd0fvP0MbK6qZHg33veEZhXFvoN7Pwsb8m/kSBomwK+pdKPwh
6D3VVx5suATSMCMgztr9sdS4LHeT3hPMbFN/52losFG6VFaELLokyvSOciQvIOsy1I8lcb61ZyNj
ih6MsgJlMF2J4BlUY5Sz/eAQubrGdqxB0jAzecLCkz4PPdtGI9P1HRTs7CBbW16HODbbDSTJ6XuA
qQmro6Sgwuv8JchoyyTwZeua1OKZDlgEPND5psw9/LQKZwKkDBs7F0bqBRPLTjpZQxUaW1CSeUTS
jYDsXDYVy6imOBdurz/K0a0N5tv0lZ2CaRwHpDFcHMIN98siH6u0JzFpGx6RRTHbe/7JWNIgGu8p
SBK/+zYyMa8s6lTTTvoTpw2hsDkm4RjEKgmDpsONMYSkuCKf1jkP50CabRh6ql0UFtDWbLtdGYje
n/MYdu1ucDrt6En5WZuaf6lNF0/wNBvZd1+40YX6C5vbvwNW0SiL10M/hVMA8Lp4cLFC09ow6K9A
Yv0rF1x9KvXROvkAXNkoGP2WmA+fCVWGf+2MzHQqTPeibJKGq9ztl7YydsN4GLRXzZk5Q3C5ULXm
V4W+g/EJNQGY7p3aR2tBDhvmY4Mvep34s/ok6hTeJk7xHVYKqis7m7EMq9yagPB3Y1U5DnPc1K4N
q9Oxo5ChcxYYy0cyYAwFyWieTH5DG8kyC5SOXr5U8Mo2DhcNrVy13ORJ6D5MYLleRd881gbmCdw4
7Y4y7ZZdBI+b81LlcHLSxl1ss1m/L3ljBD6Eakz09nSzFABhzMi0+mUvKJXftI5fuoHtSCriFMxF
qm9pmhoPGus+0aCQly70D0d08yWr6/xrmJr+UjJ9rVAXo3M8p/Ee4N54dMXvFGtk13UWdYDpWo+w
a5qaFfOWAvk9xVO+FVxIEc7lpcYviaCuJCTsAa9DFzioxD7Gk3NGCD6lc+I8RC7+cfIYzQqUxohr
ubJRzMXAIlblf7wRNxsxvfEZFDRDdBGVaCnsufU6TQKKrdJbNDHRhg0ocq/rrZslcu84kETbdAL6
p6v9pN8Seeonl8C1WTaCEZTKUT6G9tqlhWSDOyELSlvtw8xxdkB5jrRQUMAzBqCTkZ4HPtPTeixs
GgtQkY6IynLdGFKdGsPWA7Lt8FDmsuwPws3FVsJwx6VnNyx80sZC21F7C0d0rTNDzNbgEeBCYMKt
nh1CQo3bEF/xqwirUqPDbtI2ZRtrpziq/XedResOoIV4Q1fCfVZH2bFScx8ITUQPGf0PG3v0sfYP
0vjwTM98c1jo3pmA5QGI+vCaFuFSRVRpICF6+GrwMjgrbfx5IKrjc9PJ+CHO6xnrCCFhIVg3eYLN
Ft3M5R8TWwLWuu6sanmiS9YOJj38rSvuPnNazyTl6ADUnmvZaycwbg6CA4tPDYPBQRm9/zA6o//k
hbILiqiW61IwwA5uYW5aU3gBLT1nPS5orKQ91aG/KDYtXpF6fpeDSpkTiuZTOAVGVc0M1xZP/ENr
GnuVztpRx+O3KRD9Hhdy6ZFM7t3Gim172HANq3ksjbdaVw893J8ZoKfROb/SeLwUoy72aayePFxZ
kZbfp7zZhymIloKAHyiOBeGZN29N5L/nOT1AQ/LZsNhYZw1xiQgX/B0ZKN/7ncPBPprF2UpHg88x
fU++l548O86PLKbnk4NtdOPaXrbPU29nTSQqQMJlWH2K5DB2WbQzh/5JN4sEqlwB8DbjgTcPWk3C
mDH8oNs8rmYysl+mIctzSksRi3yimwHgIY0hXdtDmzYDu8v0XeTnIdB/NzwtJbcbjeIZgKe89FdF
Ld1zEgGO9hBfl/jRoclS+B3uQfTxScBRmc283iAs2S9V5XZn3XLNF8ymiymY5PLGNsgGIY6yWl6l
4eT1a0/2NkmmpHrVRnbanskTZXZons0RqE4EbIYnjFHX1NYJh9j89wMYFUMeu7z+LpTdPOTppOX4
xilS4oA/6hUlI5QHbFkxVQfpYXnEqZkGRtpMD3gwh8BxDf3L5N8HArgneOsWynrvNY9EtPS8q2I1
vw31QQSF6xNCySAB10rfAglFUwx1zrzy3cRVch9CuLeITv50yzHvQP7TnGbb2Z6xG5NiKZ/T+dHD
qscmPfqbkWIO6ksa+0wJAP74yhlBw4ceSMDyIUqW1kLxbZnECdrZPfr+k9LTAMvjdUqyQ94lv8eo
/56WNfJKr0oGcaNWrPudqN63IP62XJvaerQz6PGGpm9K8GtE2gYcdkTy9txc+1TYe+G2wWgNAeyC
hcmS72k24Qvl5htu229nNB61gqR36857WxMnG970illri1nkF2leeEzKNNNDzXWAl0yfHs0w/tWb
xrxuSu2VTIR9yaXqPkn80G2vL3xnxhaXB8QBzsa4YkTRnpRvPpQmUoekhcUtEaFgHGHqtI13DnA8
a3ptv5omxaJajGJLf9Zr7jp+IB0P02YTLxv4dQN3bSq7714HujhwNa98l36qtPfwnufO39QFyx2j
1qWKstH8uXYIQKQ22bF6IGrDBb7NwwqdztwRjH/XKo+Uw6Slm2QMdUg8VtY98chut5kFXSYkcO6L
7jo2GaMe4sQ1bs0XWfoL1A62ush05kXBxsgVhCTMNtkStkhg+BoZqzxhPSrltIEHExa6hAwDGyel
AdPMacoSVogYjlZ6JvZxIp2T8HUsnnqZryhFOoZ+6++Ttn90Zl81Qdv31K2VIn+O6lK9075zlDPg
zYwHBwZLtXewSe+6Cq/iJlNTeUD47bda6mCEFrGxT1sxXOt5QBZMBYkn14Sd2T6bTbYer2CcelH/
cdlzPY8Jzz/qT8IDejqpADWcNYc4deHgi9aV6+0tI5O8TfpLBBNg1fdl9Wqide5TCbF4laDcbERV
ISR2AzoscbCz4bIx49kQbgltO09zPCbrUJ/VQzlboJ0kcKuD48g+aOg+DApfncGwFfRRScUvSo92
lYHH2zXcyV/VlZm8gDhBr9KnDanV8+RQTyyJxgD/1tl6HWZJawn/b/vetpZ2MHgpbkpThzinz+4X
/WktVuHxyQ/lE01T8c4tZbUjuJa+apgRA5T5aw/GbSUTqkxTWJwBTVJ0d3DPMycPGstXmkWNrLo7
OuES7F2baXYx7+JbKQ6QASlGH8dfZEWhB3GKHxzqFB8y3aAodKGlYC5LIfqzvmFaHpXpnd2owl/J
XqiC+iT570KTJVRcxGyoavuPy6pr1QIWuBaOVDca0GsRpMs+3NfdkU2q2tLgF73RaJCeWyh6x8J0
VLVpE4mxWCM0iWttUnDVadL8aORI+iM17W3JpMlAlfZBbnEjJ7PeyFXjQkPmXIASSDWKO0TnwZlO
hS21VwwnFDxVPD027cIGQ4wGE2b8IMOyMoc60jKSuQtRbBhpQlBuBGYMoDjIMTU5wMNMOGRh1MKL
W9hkugG6jLe88QpMwz6Izqn/4oRjdAyt9jwudLNCM/UbJbHRRXNKc1fHjdxhvWcAEgsRDS8HN+9Q
5fZZH7qgYfgzgdY2K8mW4uw3tvHUL2S1bDKMZw5+Ug/gynZDtCDYFoDIzpA5YDb1A2mjMhRAeEzo
yBekcCerhgJm1z2bsHIBvHkO58UqgSnxgnPqoScBxjJzLK6yLulDV9Z36JPs1E1RxhQAmuGfcAHH
MYb8QrgHgpGC6erbZ8PHrjMsCy/Qhftunqptyux8Ukrn40pqee05xbDHT1h8Vnbi7r2KrDDJWLCZ
Jc7uaOHWEXibr3o/4CLCwgCwA1/Ndk4NICH4q9aGg9aX0wlSQsV59FKTSuNaucR+updhgo2nG81b
InB1Nkle7FLDdh7nBZ83QTX8sCJPI38BoG9n2j2hi94ySUzaPGyi8DnG4X0gUcG405M89voTFHfJ
gQc0cDLcvwnj/xLc7IIltsZJoKjlHBaiH8FJLhMyCSroO/wpzhxee3e+OpHj32IXRV0sOMCyM74K
PIurBpzSg1pYgY2cTcpXJu0THgkO+9L/gAjn7R0iEjRwetYa3xVDmP+DHAwBz6jBEBAXCX5XxhFU
aPEiF0ihIfj40fJBRxdO3T0POyoEm+zWJSQQAczpWzyYZ8Gg3nrAxcyZreRmMGYQjm2hPQ6T8lli
WM8xMI2gSHPklQYfc0zPVNAbkhV+wz8+q9adMC8EY/WzcAlJATCVR+GhHos09dkMOempK9RdGA1f
zqZwV+5ICMcI/adJddYpLoonnS/RSrfHbTO4/kZ12XOZyccJWRgCDqlahRkA6TwVcDrsHn8sLb/d
FkIyYlL5A4XsfgCRI87Xk09PC6Wv+MT5MI9gIYTDgSwW9ORE5ONPCdspwF7k013dzPx67fZQ8jEM
SF2BZJ/mtKIhDLplF7fhtVmIl1PneA+e32XrtJIvduTcHFToLeHvTzrHTpmKzh7b7p1lt4yCk3nz
mYtOSdyvm5rS0rx5nXr5bg8li9YWD1JdAn5Jb9TJx8GMwPLU2CatkAuY08R+caoXWOdARO7VNqRD
MefISLNAPbuGCMMs8HXEFSRMD/Rn3vm0wt0UWtMD7FB5lAsmNFchlWeZC5PZ6hp2Lz3uEOR0+4wb
EF2sJiq28ahfjHCgBAoWqfihklo2dltvQhLsE6aFlfwBmOYZJA88lzorR4fuojqHdep6ufFKWRKW
AHeBoXoLFlWwa+D7s8BS+UPlkeKJFwqxdiwIjW3J+fbg/2BWtUFpX5iYwdA4crwl4zwcIur9SJs2
nf5uJ432zLvfPM98lF9xOg9rxY49DlJy3xfOBXCvUW9lH2RAh6/Y7XjXsTTwB0ShFCzOidQSwKo4
sfpXG1TiZfiByk4pvwQ0pjF+pGxBTqv5B0GbVab/jLO9PRBaA1GbN/oA/8q1X/pYxMUuAxBH5B+v
O5vMBXKL9JZdIntB35o/GNw5otSFH0kCHhfUYPLSQ284IEcxxhW9gRVtYeq6fQ5eF6YTqF2XwMra
X/i70i2+YvoF1t3UffEsB9JbJ6UM9Nr4yhj4ENxmFlYrDTLboV0gv8M/vN9/2L8LBngiCslIqdvv
BSEtvGE/xGDNdNrfJpwidw2iu9xW/WD/kQzk23mwnIO3oIdRWdUjEVpyigOacENCclslmX3rnYVb
HBNr1Te1y2+PNIm5x9jaoD8B7JYesg+brmLFqDh889Ppt8WCR3YXUDI1vnfnh7qShaIACgyKRS5Q
lm7Bs7BZi7c18KgZB7y+9n44LuEP02X64bu4DiZYV4R0ikHQJOm9oGDaBQpjLHgYYwHFgOE1L9kP
PYZ2WEgyI7Y0+BtMlUQFdJNAi76AZ1AUd/WCoolm77OI9WjrLZgaPvj1Ztb8/gArwbhQU/Dpt2z0
yAUbGfmf4Re0xB5MXlRTQTZf+3jAlFTlxML0uYd7agAtx4MX1NM7trC0BURoGjRZJS6J3b4WL1GF
SXBKm52fePNrMVAZq6Ky2QDZHAM4D+4qzAi8FwTzYSKRcLJ18DVUUd3h0HHW986HCrt42sjCqymx
H5oH6bH8UqzA7hadRBkVELb1jNg00+Qtw9tYjMm2U5r6FXbiO5tZOqR+aF2KpslfobBxIhLSWwHX
Tm796Ju7wXaoo238GnofKoozrwHI+6eEtSSvjlTK57iHfe0aCD4wJJMIu6ihJyfbJ7LDs9QSQWRy
J9tQSMLZVE9qSgWJ0H7YWcrngQYGDQXxgPUH6dQc3M1yU7s8PDYuDdHrCkMACeBaf1U9IHrVt0RW
u4GqP/iDgUwI+Zd29czLjCmlw7rmEXV7kCOuwRz/WkAW/gP9LTwxiFDGxjSJb4gHzZTkzskG0Lcm
FUDSCu3vgXZr+80lupBH+riViQkurOtcgmVVc6pm7KJp3+r3eDSGHSIDa86uGslJMbXUu64Yw6d4
UM4j60r+KRJR0K0LKv34PF75qVrMB9ZU0UJPQQbqWqFIbbv0qccVldDFrNy/E/n4bIf6whsQ1U0d
x8anctya+fSwS32OZqu/mH111ZZKKbZ5D7XqnIOVuRJeKeQtav8ilnE1cBH+g2agn7ASKWG+Eoev
Q8Hq6CCpuKXZ/8mwDtCSloV7wr/8fWVbGTvBoHCylgRUPnWf6YCNZ+MPZMaBeBbJK7/fj8mo5U6x
RODqQldfRbng2abCwJHtu24RBYJKTHPbKMjkEdX+4V+j3+kBAAlYFLPZwwdLyQ7Taz6cplk5FNYV
/S+Ml9NVkhgFlof5Eo5vvWrM8uQWNtTCyrG5bNDMmf8BaST3rvZq1sWyNSkJYxHQlbg7U8r/Rj6/
uT29CKzgf2bI1s8teMM/KHD+2e7FMcH3R94RvhjbImNsCs5CQUEcsZR3DUH2UoqaiFZRCD4VAvIf
hrmP0ZcdcaRwAPAIX51VMDPDFztQXh5GbV4iQzeBFCicfl6RXxD+1QEmmQ+rEMrPKcoTvtqyQ2DS
bAJHnfYLsEvz4WNldkipD3Slg0lcSIK2/ApZVvJMIHG+I+YkgR3Y1EmUff3GYuhXEs+/R1z8XONO
82IacXZIahsCLddp8i54f751k46s08Ms3IPw8Va8Nej8lXqGO4A3SxD5Ca2JqSpu3pTP9Mx6zqXL
c0LiVTaSmwP4t2bTB4q+jRYsZ0XrawQALIQqNHYarj5z/fPASVlLbGe3uaF40VOflIRnqJBXezp/
yWLSNLXTamXcSksfzq6G8tpxHt0xeWhkPcEqMbSra2ZH1t7ouug97grzpU7hHBETBAwA4Aszh2YN
u7Zf9uNa2ohHmgvZO+mABxC8unY9NgC5ExszkRtxEySQiXOQ6zQ8U2oRdJowznqPx7crDEw+xewY
VVCCaAqc2qHD0m3/SpGAwYE6269avLNfTZrNG8MUzy67/XWiC3/ncJpu0Hfzs5YZVxvw4LZ1Shz4
lJA+TlR78N5X6jcYkpoGDm9cov3h2PBEmv1Hopf5HZHWfzI0S10RsJ3fhhcXJ21y0NUKfYAj6U70
A0VZvzbBBj9ZEyrjZHbvLXvoFHJ/Mz+YiUq3OGmaHVcpfpdk6i+9kd8x76Vnxcy1BwJHv+3ovRKh
iwOcywmjpKfkS41f5zoOyibC11vylXAZGoHmzZibkqFaV+b80PCBWBcpRU4U+7ig61MQ0CN1nHnC
OjL0YFaTmq7ISQa4vr09icDiwC6DlmsKWPlGqPEoKowzs2zYbzaum69DbyK2VzS4PkzTfNMc8+41
4YuvqvEaY24P3JBXXNq0AG5H0EwYhG8xOmGCG2pPkIfvj+9PJ2JgbF4zVTymJanPAv+5yTh7g9TA
3oBH1NmfljIiHk/mQ+X65Z6935fXVs+WPp2iCMHI0+xjUeeINroX4eAPlf4eN7W7bUG17mzLyl9E
73JwdWjSBzCqR1E6/YmdAJ4Qy1ZBIoz6NaPn8cFrQ+rAcwPaeYNQTT+R0y5HOjmx2hmzLVZYuaBI
sHUsbX25XlfbMe1YAKh+MnTK25YiOUvPbhzTRGSQ5NWGm6Pcoknqp94YvqtGsOtpI3sfJiOrPWAm
1SPnlg0305yO+Aks1OlIPQ9dpB69Ihz3UEbmOxbLbDNTVXqJfFHca4aL+9hNBnWreQXtZ4DpQ2ho
OAHFaNexL7y/jjLD16GlGo8oA3e9J8MaPngLyAh5yX8raCMOqqRkaxCXWpDSswdJyo4PciS1mGNz
vonESR7NomVRPsdLU+hodld2A/FXNqInk0gprLXJIhK7g3BOk9Na7yIdFefZ3LI1VDYogclv1lOq
MnxbCXqCbflfdehbRwaV6Isl4ZKjXlZRZi1vCY/wnIdAb2Ptfl9WQW96iCtr5Zd692sOHeOV7Uby
C3/afGG3YcJEpPFzbnz5HWuWuE/KQTkIy+w5lGG8QRbgeV9oC7+icp9sXei7uK/tteE58R1q0Byt
K6vPjl0s07+lMIengusVYWYKL5TF2VQHV5S55Z20NhpVNseeHuZt3XLX8Hgu9GsGGvoXaxbnAckq
A+rqARqHl9VeUAysp7znAa6VU/qUltpv2Tbe1mm4P/ssPMaRgtpr2s0lqpX4tIuBtWLKd4YySNAA
dOFqGIOaHIvNbBxIEmswI7ThPkOeZj8/9k2QFW61nRsWGZX0R+pODfHXkF54wqFTFSsYUdQWTyEt
DA7DwRYxLoRnyfdwbGpCJvQNq9Xosi1AjTLuI7ivu/RBLEQYAZ6LMHnidmXmsXlLc/2a+yaHOGKP
cXqCFaBeiAXMe2B6CE9aBm2SNqCGxtM+ffNlNbGMprrtfbBcdm5+JkfWDuy3Z3w1HFGJlm5d4n6n
1nDmzwI80M6LUe/aDjL4kvZb+xLiEOrO9MQ2rNvbNgWy47zs3iu9b/9irpnWHpUsTzPt64cBrsCa
31u74tHlH6t0dNhpoMTwVa1XnZVT1z60LnuFydFI6LE252OJgk3t4ZB0t3wWHc64btj2fuhtcZMx
c0YJjWhIN0/toCpezK1NDqw2eFV51LqsJrT3v7Pm2NwUc/GSxvwMIDqZEC+c8lAOY/jYyL4hoNCm
x5hOC57wGAVXlM15/MjFNweO9jCEU9ttqB/wNHB8GWfQv+MVk1Ia2bTF7m6TzvLKb7suw83Clf+V
dRM5ngTL8IuToX8QARmuQxHKj9Rvh0ciBuQQcaEeIZYDrY0tWdz+T5zw/4/6zpb45v9ohG/bz/y/
+9//+R/+8b/7zr90YRpcCTi7HfcnZfqP/93z/4Urnj/bwZdr/ZM//S//u+H+y3dcm7pRYJRIuSbW
+P+KphrWv4SB/d1zhEuGwhX/q2iqsyRj/5sH3rN8XcecL1gLQ9jk71qiq1+f96SI2v/4N/HvZeyO
eqy1JkCPmViVTk+O2PQiNOVOLzFa8jWas6tHTCXGoWV6AFWjqeOV2kl8GnHnDi17St1tghn717ag
/YC+j9zuSza4kD3wbsM4JDY6bAzCKN+TWAyK1DokR8vOepBE7DLWlj8kB6eINtIu2quVFMbNZ6v0
GCGe8rjUirMyqFShmBhN2rCePKtq1/wEp51eCXCSmMge8PlsW1Bw0hrlxnbMo5vna7fq+2BuRgKk
P6UWy4E0N165dVkgg1XrcdvamCvK2n8ICXk+DlobkaSPP4BhkUY1wINQFuFggGz9bWmbfzhI7fU4
tF+4wMAJVwkgztYmu6vC6YAPqbvNvj8e00Sn7ICeRQhogiZR0X26SvP2uqs3W9mDjxp9/k4vcb7D
wRWPXa3+zD3CsK7g/llSI05EcaGcf/MOP2iRGXR5+KZq88Tr+ExjedBN/TG3xFIlgUfSrbUvq/TG
bajMP1lW7VoLo3zqTPs+m2AujeZz5LMsZiE+b6BPheQCqAmvhXzLYlttOtd9d6R+lo0goegGY0s5
VNKreuNHULm9XhtO9BI3PH3EMacZCMOjtcMpzqMj665pUyFEzopIk0VmYT9W1u9p1PB7NI5+m8me
0uhp4yojZvuRtwb+XJpMoy9jQazEqKfXtDc5UMVofTXE/HdZX3uXPI/cE5bl6W/jd2AKLEq6ebWq
+YTDaDw3cXrRRZX8tWiIIrsGWRk+YrTK25LjMslApKT9D47pLmr/mGKEWotIcEPOWmNeGNZDjlrv
mpYuLbfOfPfi8pa6+k6LRvdKnHQ82EOWnJK6gzEKMMC44pSuA+BWhI6l2tIp95GD2XxoF5a+kc06
dJg2vbtuj0keJxLdVB6LOwcfl6xG9EST/hQYFqcudS8C4Ou9i9pWnKkdluSwMHPUpGO1BInWSvN+
2+XM/mstG2FUuH4GRVIO/GODrLL43kmn52ZH6shJ2s5hjj6RSLiFmiaNO4UNAL+kmcPWHBKzwKfn
zLq+7iHOSK5J1USb1vWmCHtNnDhs6MrQDcIspAY2IjLJIKIV0EOKqEEF06wk7/a98KtuHRtpS3gk
tZLqDZdfQyGSVngdFQK5t7zI9NJbGwPNso92zBOaYAFGhFNYx9m49fBViVXE7slDfoSrckjtTCsB
YyWzz9+LUrSFB5H58OU0SalDGBYQDEP6qDaTH7EdjAbdBiZhOhOZY5sVxwZaeRJvw1zz2j8lBKYc
o4xHdEAAdMesWfv2h25E01sx8o3xO8n+Pmq8CeS9SOoVcZO43GOugnZnDBr7J0ZLWl2hm5D0YZzi
h+WmGmYOa0NdQ/SSSp1vSIfkbiRIe6ks8qeWIMP3CCbdwr5AImOBR4j0CvY1l9u5twpvk3cYTR9j
iC/TiZ1QvItg4HUbA+9mttYdbzYp8OUFvMv7mLpULIcdJItG65Ot76bYWowcAOzKGgQjEWFZPGh9
fPeLWd+g4vAX9lUaoIcP/EOr2O2Bi6jGXtXIsBm9P45mGB+pk8QPBcmYz5FScYukhKofenpd2Nd6
szzkinnLYytrxy3YUqd9lp37HHfqHbyqCtqinn559lijtMXZzZSCYy+JSIwURfdkuW65HYbW+xUZ
NbOl2Vnzh9DnP6PTY2zU++I1JE5a+UWgtXJgnz50J4c/t1k5HXhokyN0HHKQrwPVEr4W8hPFRbeY
AUd47ER768vUQNrRoJn3u2isOiMoXXQQ8Kw0fJ04tV+HzlKQXOK6e5K5m5n3MKtJWFOChqBBbISR
sgBYO6EnqLudYUfcZxYxjkEnrvGUuSL+g+Av7NWY5G0ceI2VPDclYv4HD4KuOc64gtirDknrrOoo
hrmYTnueNb8Vq1ZvxaQGjclDz8OvXM1bQdsua6Z2uHbdlFwsDXVzMJV68Mz+NqW9dQhjR948Xkw8
SpkTtVl32a1l6leLbHirNN1PVgOZred2zqDshU2eXUF9lb8LcD97+M3jIRxyl2Y4ULqfTpgI2P8+
6gs78Yvq4F9hQJQetECvf8toNYdSiwrCWx0oAS3Inen99SjSOVdTP/4NmSl7TJpg8J6xpTPMuhqO
esN0CKK7tB1kfxPPwWwstVh/TIfBuZelcN7yUZO7ZEgMd+uDf8nOAnc8p8IUb7TCb57LCLTAuk3H
4ttwvfLvgCP7fawNbK/ARP3AsXNsuKx2eIwnimeoViJ9AhDW8gfsAtYzjsA6PxeV8lI8PaXlIH5r
IB6ouPDeQQCa3lq2vtrJKiyNI6R86w9AguHmpIb3rJdFdi4Sdn5sZkP3JWuE/TH33CBAHzkk3XyK
3p1BQ2uHCU2AaMpwZ5A5CzzDdfYhS/GNiGyBpdDoDoNlpAP2RDYZtAjQE4K+2NB2wTodmhngGkJS
/ty+qFhoj+xB2HoCOGbP5ETZjHlLw2ZPqUlO2tsYauLXjU6wDv1gyjZx1pXHtlO9sZ1Ns7VvjYT3
lLfU2G2hgZiLkXIITRoZfEz+Psg8tMqw70J8qIbW8ALRuf/qCAX9xiZXmy62gyhx0/SJJboqJW8Y
jYW4B8vVBVVc8YSKgnHMonSVaykB8cTjlb6LoP5G56TQHBLv0MdvAg9KdAQ6a+vnUcoZBd3HDsBq
orz7pVpqWqQ29XdYJnb1GuLDV5jX8XrA6DN8IhNFylfeRzvHhE0WJiX3uRu72n8OVQ6QjMmFrUnI
ue/gIdpr1mwCR/BUAI/W2HOf5Rf6N7BukV/ZESJDEpyGEsmW6ppzG1peRyWXqZ0SrNLUI+FlGPlA
DM2X8hww7HiCGB9M/RFOMdprE951vvDrhnaXTeewJG2zanj3RF+f6JWNXuR/sndeO5IjaZZ+lcHe
s2A0amBnLtzp2j20viEiMiKpSaMWT78fs2q7s7J6utG3gwEaBWRnRXm4MnH+c77TVO06bQbcyULZ
4YNphYS4ON0UvMMlJpvJpS0ehQLGlmGaibdn5OjytqqW3DM924QPQU6IaxfzOTbTyHg0ad+sdlkM
XYSYYcqynLc2/b0qSfIDGWbjkfbKmLeZ0pRw401ddz8a1AIf9Mnlhijn8JNtjsUyqAckvX6IjHCf
xSLY6Nw/3pWee3QQi+xmNsubytHHXYM9ZJV5ijawYrbOGNldv+isUzVbCNeyfQjtOCXPXgSnAYf1
OxtGch86Euhyp/odmHi92g6GluJNqQNY9qZTfYZhwRGstALw3mLYZ33OBqXGyIFHGdcJNX0N9eOV
4SwaEH69eseMOgyo+iKu1wAK8Sj6Jl2R4kddV+1UflPN9K2tNDS3VqcnZV0KaYFuNDIs/IhTEPd+
upzd/J7v/Y+iy2/KuGi5xCzQnb+nfv964/kF9W/gdhQlyY2DWWYU8RlWUx+LTEse/v2HIe7s2aYE
AYuN+c8XK0AgRRkE2nBwRurGkchDeMdTZTr/4umQn/7l6Szvr24yyOVGyH3uz4+je5pssSt0h5nO
mvdk2eGhfnEjCCc3g2yipfFX1qOVMEPLpfsvHl0ur9afX00y2gYwUc91uN3++jTjIUw1klXtwaxj
tcW30d5LF6A/mVo6Y1Htb93qR/ejOb2mU4nMwWmiF94DbJkH88cxQw8ZoC9CD5DN3TzejE5ZHmyj
QlYRIgQ7CZ0YVVgb4uy6ob4pBa5Jo7VKopKhjXf+5+/bX58QN2HhcGUXuivJhf/59ZxxozpZ2anD
HDcNnog0xrXSlzG1TOSMIXuyjLvG4d99UAM+lanrgJC4+S8lGD/fwmuyh2aPQsODhvPZcAzO0i3a
YXiMnamid+NvMf1/8AX4M41q+QLwYLqgKh3DJ6vTIgn8dOUHP025hJu3hwEi+caq5eeYattcjO2/
eFZ//aZhOOcY4lqY90zjV/wVWStdUXdUHGJsaO21SScLG2ehW93+nz8j/a9vGhXPJrdIjokS4/Ev
b1oIwCihWic7tCZiM9gczw+6MQrPqB8GpQ7SkM3OQ1702PKG5jodOsO8IZxHnw5Hvu7H6U/plMjg
iwngR/84H9Y/zor//Ff9y2ui65KPloeww8tiLTiEP734mhm2wFPiQxpFwjkot2tvxnLksvRvPw5Y
X7h/dKTwMN7ye/z0JsMiaaoQ0P+hoIwVbylT59gPgyw7/nichUcRfpV/fJpoovmZM/fLH//rocz5
3//9E8Pizz/xX//zGs8N+mp+ekv89/b9P77AirTT1Xv+9Z//Z/9eT792nf/+M38w65zfwGLQhYP6
ZtqQMXiHfhcGHfM3IBC2+AeVOIb4zfWkDQDXcfjqGj+hMdAMbVB3nqdLvtvL3/x4C359E//+55/3
SMsB2PHTuo4UiMqIWdTiUQQl1cYvi0SqS675KTanpNfcaxZMWq3yucippUsS4t1t90rvQnYosEcD
eq8CKrGw9hAzrfp93UsPLazGTQ44fcmsJN5TCRL/RQ6FczXPwnyMraC5DMzQD1NuJB9lrBlYjsLx
UPDPPTAb9HiX2w9MMb01P1NgaIxqq669IhEpH1DAuLzH3NexUCh5qV07e5A0qvsuPQLHIiL+31RG
6nfofj783BwrGaEqWwXJEzpFc6w5dD0JFSUXTmDbeGKu4pKZJRRaeXCh0PWSBFiZ7aDKU0cm10Zi
6Icyc2nIDKGGYQovQ5w9RrGLGxI4INQy36i6dGO4Y34P4dZZ9RgArjrWfJ/Bge9GFiU1sS3Opmmq
i0Eu4DhmwtxauCyvTNmbWMTT9L5vRXsp23DeJI5dkF8zm6VMRSfwW/V3WRFxCWk9xkAZh6y0s66A
iGfohSOHtrHzXnUQ6ZxTix6WvGQ4Jen1yTJAtRZEoXVbKyjvXTu/ezkwJSNOsJyy4/kywpQL7Cjb
UL1pHWsTFkYAtJw9XVl+AbUBqmieDq/0Y4dPLT0bL/TRNQ9e0AVf+myCSTJd/OCAROCJrieB5e3A
zTZvtrERiVdQbkvDBwdsCOezM74l9IIQggvM+KZw++BMI+R48rjeb2rF3N0359mN/bLzPEoDsslc
8xnR3LWGAbjETkgHutsDstMnIChBrzNmFSV5j7opi7ORm9omGK3qPpt4X8wqF+smxm8zMvGYI65Z
eP+MS4oPhnxU0T6PCfzfxvW6Z6dP4qeSixS1mxQl2Yk6Jf0gv2PPt1Y5U69xlXQV3t8knMZbKZPP
KHLfmEEFF1XTDdUTHDrJDC5iN+DdXlEfruvLTbtLcbkr69JTOwFf1dUxnTfTkcG8c50rMCdayq0R
yiiDt7A/9/BY3uumY44mzYG+Dpe82aTSA/nJjQzHYF9y1Q9hrxn27eC55fXQDtN2sm2KZ8PIeo2M
2oYUMffai0Oh1VOosvRQpMPwlrM/vQ8UqK4iTIZ+2bjuaTAqGqe8wU9t6zYe9erO6MccvG7Wv3P7
rp6sEfN4XXbGq+oVJZpdDxSVsilHR1Xmum5CRIt8/lV1FTaWZ69I9oQnIyIThl9EXVtjDMDFVeqZ
7kTyexElDXv5owgEyG+6TYIMMoGYKEJG174jXkYhX8rqcC0NsoUtOh2/r0A9RmXVhyc7j51jR3DT
d7iUXQKHth+7TeR1jDPyogpwg22EZtP0To0oQyVpvLaVsi9pFGKGgcOmf6G+6V+uPZGpsa3qIhnE
UcBBnk8nRoblrCcTgSTbNPW4Zq49PMZ1VFQ7fLEiWxdWB03Nm3TPz8lQAqEwEq5XBoq93wG7uEgy
w5sSjPG2Q/4sUKtaYfkKOdBdF0mkNq3h9DFuGs29okUT4mLNUvzqUBEBqgXdm+CMtQgIVGBrgd9n
A/y7OrYJfdVMC8/4VAlm0WoLdStZ/L5aX3w2+WyPGHxC+WbW4HxXhWqi17F0DXPFgsjAmxJZyoJW
meyc16kAFY5/23AfdS5eV1z6hpdKyBmMJfgJe4X2Nh20QVjFrgUho687L9Y+wnKU5aq1lPPSRTTb
bzwwhTdCde7FKKdl0R6CiYURky76NVZv+n8Yw+5cKUboRNLTXoH2Q31MS5yJK0YkiGLMz3Kxx2qp
6rVBnORqyJIq2oxja4ybUOq4ZRptSOrdVJC6wNpplfex3RftCgAjkj/qWPMh6nlBtXe2HWFZtGR7
ryKhnZx6zrdEzdsaFk+EoyypmB6LEO823ty0e6UVyrbWaP4YDoZuMAm/NFO0TjuNEjjRWAFG9QzC
dciJtyf/kurHCWL8QddbwHNU44zfa80unrHNNrvSbaZsTfZmYKI7VtldTPjuGXdlcwF3/b2atPrd
ir07k9ADoDjMUM5qzEp72wnKNzqrG98mt8dDaXa9/WaS93IBG6TTQYBkD1axk9m7UO+duyB1Z/cm
pAC5oAA5h9mfOvWwhZDHE6idqN2lmdeatJRMNsVWLL6PSGnj0vEePgkGbRXjG7PxlS7EgFWwHr50
l12FTo+xXXOZBHYB5eECT7UBM2HqTIDavLMOVJ7yva/5Irwo9OcH3PDpacgdqS1Rbj6AZWQyJJqD
oN8FDF0eOwAIlzS3uO2lmkjiTYH2+0LEht/Z4TpyZDpuFgwjYlI7TeQ1xzLLqmfXTnLzEGOUU+vA
wTBE2beREYVDZzhDdOxeNSPD5ajBUXSwK4fZZ6X1QBqI3M5XADT4xrSBnj0nRdadWEP1d6G30zNh
QKLkhQlQKXDmhLW3oFZp4D8dEpIcu1ePn79teiOgzSz1BlA7lvZaZexQNLGIx7wgO6jjrtoFceE9
hfOoPQrlZbemgdqHMR/PXdQa+cXIChhXJarNF4tue01WS0cJS6L2qe/NqfXn2CjftLRUsAJ1tGkq
Sox7KyaaTbQt1T4KVBISFLYAITx6wCbWMnA5KoCXzd5BU85qp/V9Asi3XZp5k7isqx2CmXhp87q7
LwtRfDmR6ebPOik/kyjC4NwloJ3CrTNAv6r7BOtym5bpjRfpTDRavDRAsUJrOAU4LlbgBaLboY1i
KlPdASkfCQ3LYfbBezUmlAC76om+PHYBCpdwNunzXVpHmlql0BbqVVjpfEFSVdDIRLVNyARRgzqQ
LKEcRiMOHdqwCzFaOg7k+rj2OhJhsp42aWeHrR9EVnu9hNX5eDqyidc0FwYvgQ30MvdG+qSoKaLJ
TAvVU9eM9m07xB7zsZj3PakZJiMhzZcZnmOMC8xs7jqd6NrgBpQ9tUJIPDc6UZshpLsgXnL1EFKM
itoP2tlWgTU5iI+dvtVLvYMD0qfxJpkFOQyujaRWkzq5tnUrYKTlFvKdEEb5pFUexnlyA+LKrkde
ES9LKy6iI6+QMlW818fQfU+hmn+DFMevFWI0fSJuPPD6RhMWd9MJv7mcZ/dUCXpP5PCYd82VxuLX
yqt0NpJLNlkBDShWNu/wPQPTNExFpbWtU+abJ2JydiVyOB3Fo3sazRay5yydNvHjmIK8gVEH8xT0
0u+UOOdfAY6lIxjd8GNu5TStw2b2znI0QEQa4jDNZNV/V43+99L4MCmufu+feVz4cdPW8bf2Z2OI
4UnuUX/Tav5yZ4S0+l7/9Qf+ICm6vxkCNUU4UrAQ/HRhdIGcG/zfts1ByLDwfv6NpMit0KL7A8gh
Dg9b2t7fWYo4SfgJ20V9xyLocGn8d26Mrv0rw1CyYhoADkxrUSGF9cuNsertrIF3ZuxUoJsPdGXN
3L2gYY+E+/yemequr/LXKM1Holuu+xrjzzizRXZMqPiHuStAT10iuq2ekyiK4XXN9kX3CiegG7CN
CKbLOkJUrm37Wc5U06wGSp7OAR9mjA4t4dOU5sddSHz72YPe9n3muPVM8w0THdNAf7IdbbzBCQpA
thEatRBlumUbkMeR++pd1wzVyWyK8shhBLmRkPEhpDph9HVJnROME2meVNskpyTzYKwTnCge8FHM
4oD6pJ1EwgOtLTPpsffbOEY4FgWPjFyqXW5p1sn2yv6Nmh029YSmLea3zhQ/0WkoHllmBoJjRsh/
m2ofarSyBBwA4yL56S2aDcytvDzWzRhurd5Or2aZ1OYqabr4LPLEMYkeefh1Swf5PLKN+lZTZeoR
sIynWw9pbMuEsLgUrsngShCWSpl0WzmGUTwk30lnaXcBJEYGxXRUM0mw6HyINIzvoFKm6ioaF7xj
JdxcbekTxL0eRmBDmnmaDjaGUGJMHPwZtDO8A21iEClyyjO6unVIdJ3YQm4KY5ujAexlR3kIjLPv
NHo7nNYjgrWQ8sx6n2gpI7LSEx2ou1bw7kYdjaCr2SWA0GDBJC5SONTziqWJSsewWQpn2xtG/Tm1
GRaEpGEo3HG4+aZSfXjV294+Mk4PT8yyy1uQJ/KRsrT6klppYuH0E462tZRItM3Y9fh0UxMX+xo+
rHXEqz1RCDN6+EgLtYGSydjWKs38iJbgnM0iGY5W2+Jr4fx7MhKKPnQbdBa3+OwhL6z2HsNXNOxL
SSQ7njVYQC4DArlKLPIvcIujawVmCxpt6rYXq3aNs0V17kHommTTCeCgUBogc8r9eEnd2l4asDUP
D2zYMaJLvX48BwBLczEHb15dpEctNc1XBwv2iXlttmf7lLxMpe5d1R0v1MpyaN8FRY7hYl1gkmI/
9hjhkjqDesCUeiCx5TZAihtMCjhi7UZu4qmv77SS4Ls7JfSMxJpvqepNgW8DTlrmYKR77akyuRnV
XnkUY6dtnS5YoN/mdZsS0MT+ts09on9BbT4H1GvknWy2ZenUsEyd6IzyNBBKqb7BFquuQIzfV7X6
7sVNsA6MdLMA9FcKo1c7m8N1zpTesRRk8sTuCVXZZHvtLr+md4pPPXrZaG8HKdPCr6DnALgaETNK
uhdGtsMWRxXG4ZqeyUEYjGPMPAL3M7f5mfCUjVDg9o8YI4qLJqj4qOFE7TKz7brb1kab59Cf1S5A
ZxoDV6E2um8dmA1SJC5QZz6uYfSNwKYQPqsJaKlSzK13dOcxinZGx4tDRJcGH8xxA78kP2SJVWmE
LWAkY+g0oE5tHeGiddJP1KRu2+mJtuXga/GxaMednlvmTvSmwFpV6Qe9Jp3dD1Cw8hAc4SrkjP3o
8NKuOwBFq0FZDKMhmtQ+xBYCL0tz3qZI2m47Mbi9EMEQ925Sz29cOAFryLjuT7mUUG6cIL0JpBts
RVLG3xVQiJZEqkXybW7FtB2wam/AuA4jHDiHL7zRd68KEWpfpTYXnX5O4/0ULL1rZUr5Vt446HI2
daJG6sV72Dv1iylri4/DBBshGMJtjl9uk5lFfy8yvX7Rsi7FtseYDNI30dmmY0DH69/cUMTa9WsD
Q/ZHyJ0S97a3n0PrhCl6OrcizV5qGTbY/sd9N6faPQPMFHyrm95NcQWEsRHztdTSfEdnp3FTFWcV
twdm6RNkXBi5EHv7R+yN/bYBvSjXyehUBzK/2pVoaJ86GXyargdVZ2dGu0nPrdDTj+aQvQae1746
Wpo+VXFXXniZ09s8nc231ioY7lbkpeAhAJS4DiNoDVFPEeZKhnMDhgbi3gCobN2AT4EhNBezPyzM
edPrTtk0mzS29Va10qjoqrXeXQ6SvHXzkGbbbM7n+4DjWo1WEqbPLlf1zaTG9jqPTJyPnHmJPGaz
Wjd2knxWadQd4BfxJuWaFd9TbsmnbHlsGpOMm7aI5Xa5Xu6lruxv+hBNO5veM0XvGYFG6osKCoX1
sR3ZSAvt7BARWggO2a4f2O5VXW11ELpbUtLDHTe3RfPSwnLnum568OYp3AVmpNYAybNnrejmR4h0
8jwbMCFWOjy1ozLJ4awXzfYQCuMTMlrq03SZfliRW6WbGUTF40g2PuR24YnC9yDpn0flJhfJRRsz
A2sr5KB3owEOBDEtuUrMOrymUM8gpT8HIfGWwUvfBtbTZA2l3NA2U8iFBLO1zhyMitiHUnJ4wyKR
d0fR1PZTU6X945jonzUS07yLg0YjbES61PGa8Mvp2hAePOGl1cRReTU1SLorc/BG3NqGfCLbMzzg
YR/eg9GJWXRlnzgruj9wsyFEqUcH8eArMzAhdAY+hjyK8Znlrf4aJVLa+zohYdbiYsDW7W3HEOKr
W5Khn8lyvXhB+LEgivhquacKFNMmlzBrei3cF5V+L2be5ykph+NUBVdczquVSMBHud0wk3KhPPo+
rfmS7FFyrNNYJPZ9TwZopTWd3CWFR3tmlHDoIGDWfKgkv8IKwxs1yfoglWbtKqDPdGzVWkLRG6WX
hSWH2zDgM91Ngq01h0Oo2FMe8d9lWx22E025en2TOeb4mKpZoyjXs1ZpVtj4RzIi66WlPcBX2ozm
FGOHke7t0Fj5VQ3+BxNBnDzr0yQPfZ13m7ov1GdRJyk4j6bAMdgX+5HOgRfbyKfrQLfLz76RdK43
88C1zranezxc1R7MNwcT2expGozOUdmBYu2j6s0rmvk0kvv5joior1VgXStZx6dcY7svMLt+TAVO
E+LhrgxoX6MzfTX1WnzKcma2nCTT8XsQiOE8o8DF/pgDnQd7wkJChucj72sJBalxT2GgtbshH+Ib
e+IcRYG0t3Uoqd/OiaMuGBwxv9K3s9YDmlirZvzM7Rm1VFVXjE1asEKq8Sdd4zjQUqCFmpOeoXhQ
pdUNZw6dsZ94hXmd9RJElmJZR782IRakO+HE56mNPvBlfSqd0o4wbLY5jWV0aISxc1cqBRGoUkLf
RpV2Yk3MO+QtuJV5xbq6KqexiNeC6l6OEbSPnhy7Hbawn7U7V0yGeB3U7DrHPmjAEdvK470vM/M7
h6yy20Ew0J/YpKrdOKC2OuhhtKDlFWe/2k29T7AYuk5Khd2oMfvhHhCKg+zfzRfRaJdUT6w7DpPT
MUEvWRm0D5+bOvY4zS2gIJdJAs7tUG+C1QAs4QFNLtznDUmLYjGPDG1yMixlX7EitBurotjNDmVf
r3Ioyi+KnzjLXEMB4Zw5X9WtS5pMicp5zThZ35e1rM98XxlW65SZbetq6m9TrUKHmBzID6amMzFS
djHLDXq1wCINWwhqQpHdz7otYYJBGX6FXpCfDaqjxRpYmHVllJxQ0pSKT/y1SS7pjbHLG8Allr1u
8iawV401xLCDq5r5T0ipiQY2TEXPIo2wrylFAVIk6O8IqfZ1IWEfyjTLrzDF2pnfNvlF9rZz64bC
pJ3WMUj5JyBoPt0p1j/CRZ61wVC8QjDoDhiECefamIDKdR5GaYRozNQc7KFreDiFRoyaJTlswMGD
+9BMdYT4jJV3M2IFWTlt6W7Nytp5QD598AVEMjXSZSjRQb1j1XonOkNrnOxKMINmtMtcAgNj3O4i
Gd7IyvpeMW/fB/S9H8YkAKdK+pFx3IK2vSKKQHu2raiSxFl7L4ZaI2pbx7vAygI/FTQ4ZWa605Yr
BpnDPS/EvKZJqCg5G/KbHGHTfxcYEf041PbSXjTnlAM3V+R06bbXfK+Mnr16AAAVhQ9tBN+BysNH
jWPHiusg0JGkveY6X4C5RNKWTeXnIOOMGNoQl5EPTHTnlLahIrbc9Ywiju05fGtLeQphjKzwFEm/
7RzbnwcK79OSkZ2T5sTMB8Q/PHmzH8QMXgAd4TMjZebHPUxi28PHPmT1Ns+kL7LxHfumj266b5eR
Asbx65m84s1g5OXGjsQMyX02dwqN0mfr0VfDQDv5inuTcUwKengDhT/NDIgQhlXfbSrRMYIy4yVj
pSDRz4DCOZRqU78bEbFwl1p6QONdOhkkDTt3EWbb+mzDKYlhc/L6ujXU4nTUsPsZZr83NSd46nTZ
vTRJgZBOPR4XlqSFczQ2E522s+z720wkebSxQ+U9IUCP72TdgxNFwwOjOmpoOdBYL7h5QTy3muXB
+p654EAo1OM7W4UjNBDDmPdqFOOKjUM8h0WT3bdUkZAjqU0bu36aNUcG5pSN925Ts+T16pnelnuD
icBOtO5D26bWiQUGl2Os3P2YVe+w4A2c+Yt/HBHTgxEOxE/0X3LqIsnpVLhXYWe4e+5YDBgiobLX
CVFuyZFVdJDVQf/GNyumDlMxiM5zOtTs0d6NE1u1hcXzICMvBFMmmVy5qAQrN9KZK8tanfSQNZ9V
SAxPoZVmr2XmxbuYkXqxyZ3GeXQ5uJgkTPOMSmGgvL/bcv5XffsX6puOzIA77r+X3/Zx/v4tes/+
YafJ7z/8h3fD+00IF9GMM6HpCnOpO/nDu2Hh6kCbY1ximLSrL3/z//sGjd8kSDCEOtvhGoj29rdQ
F7YOA4sUUhxisfPjr/4N8wbu61/MG2iBuqcThET0M3Rp6n82/0iHkz9XC+oEiE/4sdNMFaFqTPQK
PecbejDDAhF5T0NluTtbG8CUUZTkO0MSHMDRyU+GaMWekQ8Ge4SzLvfynUnQ9Q2MJ0yt2VaclNu0
+lYhx3AGqpp1NkzhFbC18Y5KZG1bdsUPd3xbf3q0su/GqHHuODzGw4avkvktgJhmrgrTjrZkLraT
111gZmYnKjV0xuZ2e6jmECwenOpJL2DtKo8SAs5xygu7FwCQ3meq2R2N4dEU7Got6LZGoeMCz5Js
/AxjM3ijXqA7zk0ifcse290ManmPcklwSYpiR+1U54cyAz0Uu9eoXwP9b0m5L2kM8qupY/BZmQwj
EWJuBpsqBy/B0L3KyZ3ALSoSyvGCWD32UGu/4iq2L63QjGPldg9zIzwEysa9MZzK1FfSItsm7TJg
khKD3IBaWNfOhupXxjpTnvQ7d5rGNXtH+tJwgj5iH2mPRSq/1UFOa0Aax+c4AsoYO25D3ZqKCMI3
zpoWc2GtwtSJAZxTBCKDkNtA3JjnkLT6hxoZYazGxtK+91RjX3IGii8lc6ELbzjP0yJQFVBzFlrC
vBow4xDMd5GHOLNjABHu99HkpMIUFZJaxqHwWKWLk5ipBadYgNJzRstKbHAo5gNv8kJpxb2Zy4S7
KdsRFSziBdAc4yw7q7By96WvOCAtppdmj6m78gfD46mHEsZ0SBlv31u9otPFSE6WFjy5NTBkC4gC
cf6sXfUNmlU7R8briANi30mXdg7TyZcqj4R+NRdhxiYYv6rlkEMYaOCNONKXTDQ3uRV9cU8MmJsW
yrrS9T45kC5b8aaLs2pFfh7K2ftEWwofx17nzsEG+zSNMju6dJg/DJQtMHobvQq/idZRyyzkLd4i
UbBLamBNSxPomVl36rMh3E0dFl2FXai2nUrk1WwAdE4Ge0RHzTokN8mnNhZe9kiNsKz8EbfuVst5
zbxEF75WF93bbEXlSXNdddflKIywFtztNIh6ZYxc5s2FM802pybHeUoVqADGqv2q1tA66ynxByuN
dqC+ikeddp6riGfXLmWbMIoDEC3UCibhFeyU8MaYdRNvlLHcadh1QwTHmo5vY+CMEohp3UFDWTsY
+b+53AU9dkmt2mtWbW5Bp7iA49KbuSu/Nfp4hDpLkxrVXlK02rYuByoPwaG6HGOJbNsP3C38UC/k
QXHfJMwU2Zr/01r9D2ytxrKq/d2K7JisejAQWKd1krMswoul7SfLI7UHDjF1lgNG+TJa9VbJrquo
yoj4OBZUHIL/Xg85ic+meMkARUWbsqJY2gTzA9QmoNmknXtCMHnU+UVUZCevX6oCSFbQSxYaxUtZ
cTZrnCE2OJNEZr5p2xruMvPZ9I5OT77P6Y/vtgH9yjwUfC/sA6MG4zhYEyHToTfMYgPLK33750/d
WcyCf3ruWMA9c7HAWsiVbD6/rPiT1iKmpqHY6VbILSon05Ia95o7vhEJSVZ6mXZrywmrs1N31MoQ
+CWLR3CdT0OtwO9poVXTzjnT+ozZJCBII63Bp8Kz/2JOGz5E+TgdnGrYL2WDlTFX41p29ZvbtNsS
pMaO2O5RZpLi7jT+VlVjueazld+MkGkPTJ4qn0wN4Tu9iY4SvABZ/pQm5rSmZKnoa8Nei1S0gERT
uQ4GmgN6G/is5Y35TecM3hs5i+Jt6kW/HWyAcpLQ5ZUVMpvIQtC40aDnu7IdnBcyP8HBzo3gZqKz
9o4/OltqJ+OXRDfoZOiH2Uewc6kKta3d0Kl5V9oD10BIYYeQRjxiVFQAbcNWhvcTmYB+NcxMBfi1
B+x/abRNTU/fEcCwYVYCjMkMQqXsQah2dRPUT62kCCoEKPHEgN3zKwwG323hhX7cpukJykizGpWV
nLBMhPa6a6T1pLWWvPZmV7s3mkEC/vFC9hZXlF80cIxPNgr8k+WUxQ1NSvWNC6vuKOZc39OEHJ2D
StR7fIOHHAZg20eu75R1C/+lGVtYYTr2tGEYbschT6+g4DFqo6s9BteEJzKbOrjJU1Xfd5LcDZYf
xsz0Z32YXCgeysCkGTDIHqM2oUKlnS1Qdm0z529UWw6XmYHaea5b6O5RM54KEkfnHM4msnUWnx2L
7qpV7bjGttaTCex07kZrUffq7KghuMbFo25tZ3DQBfRw2ls5NzULbXFT18RPPZTkm26Iygt14a0f
wXhY7uzqCIMKUOayimRVwHHFORDWY/hVXAMovWdesKqGLCe+O13GxtZ2kNGIAbFNrCeWqmZZs0Kb
1StY1jEj1CPQDpr23V1WuH5Z67Ka/MlQ0+LI5ZVEUWbt5h8LY/djkWSlMOEQs3LWyxrq1hHrTBbL
mYUgEi3oENZbFPDicVzW4Fqa47EYliJ2JSHCFUEPSn2YWNEplbvrnao8zULv3iysZT596w7WmFoy
Kls2hmTZI2BuEWrOdIYo6bKHVFjdtb2DPSuG/bFsQcJTGFQ9bWpx7umV8zCJ0rpuVGYGPtxC7xPH
GjVGLkWr1q4Rbn3UesVwaNknO7iiPlIfO2ihQvdjUInFVsFn2mCfitUJwEnPGgp5fF/S8r4LwJLG
fv1jSycRzxsLMDVCAYz7rY6sQ8duw1vk/Dg1TMsBQuMkMS9HCvfH4YJBAfjkzrH8aDl3CI6PgRdV
a4qdkFKDzHU30IbHU57plBh42ngILIZzgHRyhGYV+T2qzyHpOtmuOjeiwaynrLYYy25cfBbpxZJN
cjDaEh5AmMvnqKQPi3y+e1dMepCv6iZqthhdva9qVvJmxFH3rc+6/iZupvhRQyW8D7ByNX4oOufA
YEcDfwyYmdu/GWP18AZGSxDKr2zN6PY1uPkLZzpUy4EY0JK6lNZNTrr3qAKVX7VdT3xT0b76gajw
ImxF1Rv3bWxlYBlhcbv6zsXD8uCEPHEURnmoNTpvScTbPXl9l9CeakhrGamp3VhzaRwcewQdk5T2
DYEzax07bF24PsoHBcwkRvajl8nQYioDcvopyPX2Lj0suurWmTcmzcVWUBbsfvDA9sfiY/Tm7ptR
ForXmPENujFftO0wkPNDGQrR6UJkq+cJ/+iOiDHfYqI68RGhD7dX7WpHr+qHPfjz8Zg42N+WEBgZ
i8oOGVZq4lUf3ZuZyM8DAzTUn1KD8wQ85gh3CHjlYLr2bTTJ9C0xAE0TT7eoHa/z9iPEyfWmurbZ
CMfMNl6ZBjv+lQ9Bdm+zCGmbNi/sk1QeH37NaTO2chHfatWC+zKysiEbzilwKdgxb5Y6toCc9tqy
UcFLZS9chS8hNZyHbUmTIGuiofkMg1E44rb6f+yd2ZLcyLVlf0Uf0CjD4O4AXgMxR+SczOkFlgOJ
eZ7x9b3AKumSWSWWyazvw+3uF8lMVGYgA4D78XP2XnuzmEyeiiYRx35quguoKYz9DLScAwZaftie
D7ZJ3jcKBCCMDgX7BnE0aXeuOrq6+Maw4W0aITazgaUckPwiP9i1dHjb6Qmu8rgKbmmTTztWHgpr
P9EfYtjfxGBkD4YozSdRGd2+79LycZAyfiTZvf6KxIGRJYbHfd/OL4wbHyxFLgsqdakOUhQXphqu
YvSjFP1j53XA1zeAHeeM14oR+EbvYdCj3iTjkD6iKA+Oatl3l3h0FHUEp7ZlvDGg4T1HGs+pvgSq
j4PW4ZghZJ2euNgFyokH6PVLWT/n5LEPI323kYz2rgv9nSsqbasYFJyjOotODBqC6dQtAe+wicz7
kPPL6EVLAHyfIMP3rKRxzvn3hPh+CYsHOocseF5QbzEwz61NigKCY4TUblxi6Nd8qaK1vUTQI6+N
XtMllt63y/po0jrn/SGse+xT/4AXOj7BkmgXVjFqd2ifEBI4jlwlqgn3ORPUDdELDVKVeeTgZNEJ
0lBXjq5r7iLJ5496aj9lVIIR3c/JvSA1cEIuACXVMjr7JawiY0e4RbzyCTrqVlk68dbWk07yeA70
YFUWDZy05hlt/MVs698W4wgx5r7xytDcvsIvwfZY3jfgfhDEAQe6NYN6ygC8RfNHjKJ7ZYXOQ9bm
FNUde/ts5sZ66Oth5+gVWTuhNe70JWspwkDwABCMoBFYQSETR4igEUo8ONlmeVPaPjntbCU83ymQ
hnvaE/O9wuBZeokOAglP4ZnWMqp9hCfpdZoX5gWjBKZBCwgWAbcJFDRq1VqAGc53ru1qdwiArGvL
yIdvInnzG7CTQzkCRQzmUEEqn8S+jhLKIi2/yNDWCb0iSKtJySnL03hHmE3FKmJyxhgbbZ3Jj4lO
V7x1sdnT0ZvA9g2ubaxLHAHtgIiTgvDUmtAk9O7JSV6K+XYKSccT6Omq3Iy/xTK4TJIspztZ6je2
9Ktnni82L2TdVwP6n1Ma5uUTtHrmYlFKFwKooAaBlTf6eZbN8EVlrvXs64l8VMi4vVZvxKFBpHpk
JwjPKvU1j5EYvGQ/JTVFaygq4uDQ1jEzWTsiBgAUw00Ul+qWfJfphQTWGdBekB3qWcCbiZUgcgPQ
BckT0MnYT+3xCdEd468csNjieA335N1kZBtN1UYgrsS+4Y53ZueXO6kxfgTCJbYYI+O9wHuLjoxK
dkr9adNHxrinhtRp7BaOQt5p6f61JOb8IKpu3AZpJzYJKQ1f6ojKr2fQgFyjI+5T1O4+SNMQykw0
YQP2YRBwDfQ+AxrVPYOGp6qfllnuGAQegYCENbKIroCrzNt+2XABpSGFN5IvqTaVRxy93Y5RBQVZ
AnuWwBXO/EKJexQqzWbuyoKmNFqbFdLocmmR2qbXptoA4KdJeAOTXGfBhtXTe4oM7hWXUnitm/ET
fZuRDurn1sOURw0GkCXJIMitfZiwQvhW1qybFqs6sIxsn5vMVlpYbSvDSUj4iplwrWFyEK6eEMDT
JZgzDN+/yFENk1X+JmnMxIl+CHCTGqF/qjOk3mbCQL0rQjS0AHJDIEmbVM7TkQ5fvqZ8uOVc7plu
OvDdZiMUQs3PLkLGOF429PaaPsG8iUZJ5JsZETHFsCs9hY60+Qp84zDUhQHtp48pGJr8W+gjqVAD
pkDHmjQPNJpRriwfj0oOufnDTIvkOY9ETYJ8Yvq3sKBdxFwqveas0p4EZN0Dsw46S7gqrIcYdqYH
y758zpiJevA9ixNan5jzXxnvSxRve92K0p3o6+qcg/DbNxF8OECQsExt6HHCnbEkxMaON8z60nJc
u2415m85PopNlNH7CDEfGTpT9TZOToUpj2Oznxy+zy53nxtG+cj2nVsz713kqXb8gMNeHKokTc92
1GCT5xUkMhLcsqWG7ndt6U9+xB+ta+ZfHYVhNzp4NXSXdOBPDsshzk3fF5az06ap2TAbVe910MMp
qmTuuBAEOf/C5w6wv+cMUGvE3UyowlKDaJpMb4r8pxpNigw3E6wklL1Lv5KeDtiqDnkacUvhLFCt
fe9w6ui+4L+ONAinQjnHCJkYAEtOiJr3/Yz/f7pr/z+Iq2YosdhS/30//vS1fk0xN3/9bqs8fAAk
+/1H/uWgtKBV4nhEeeoo2/ivLrz4DS2q42BzluYfNsk/uvAkiNu6Q2de2JaDLlYiY/0Dreb8htoU
sCsOSn7XIqf9TwSxplqc9z/2oyBmK8S4uqkzIbAstTyoP/Sj3A5hYJIY+AF9GH6EKPIAERAbeVRj
3TmPoWay5ponZc3FXs/w0COXT8idzdyStURrH8UgdN479p4nVfJMebqeFwfg6eCoiMtybHp5bQ44
s3eu9JA8gkOv1BARblcV72KW3akh0ak+djymtdcVUUeeKMRBMnrYqhPmbahpViRRAfeJha7WIUGg
HzRJZcYShgSYcKq4HlYtvbIK2cM45qAiEvsLJq04IT8sHM9y1v3T3FR1R7dUV4/VPJiPvg12pQm1
4YreI02mfkY9o3I9OBLrC/82SkI0eg7ydlCgDN+bfICNnWo6p+5e5KI/AmvGezLUHL6OagrNO53Q
HbklPSJK6c/PIN3JpcbpMyCYziG5AQW6Cm3cchsZgkLwmC9QHDc0BIYrhf61OZtKgA42fRZSEtQT
LDfs6SNcEDuodS+Ks/JbhWjjbHZaxLkjmupzMcW6ZCZAO89TaLNJfSMg4G6Y6UBxpDDhTrXtmLZs
jy39HoLDcdGooUzeE3bt8jAZXUoMaJPwASTeOE961MRXiea7e+6MuNeduEcy50+XfjG51yY6zHYV
uXE9bppGL76YlkX7fY5JbtipgLl2WY964LF0j1hXE/smqXT1ro9Ee286liIGOSDbFAQih7p/iMnm
62RjPlZd1D06AFZpoGH3cXDWYr7zQDZVpzjr6NyTYYdhwqko7cvWAFshxhagP+qyke4pn0BSmt5n
m66zrFssOcVeBlV002Tk3K16NJnvhh5yAq5Cc7IBzJvDJc3D8OQinVwHnaG+ijzEW+PPko6w37sj
X4E/uwfRazGZ6TIy/TW9PvLAckO9VHZnUVYrHQL0MLvZSIdAlGI70KaS+4lwGB/pCzXLmkiCmeyR
vrOfK2ZO9Yqkz+bYoL5M1qJENLWqHNwgK72su2/KmEex5lfkPoznEl8EFhu63aazZEUjuo+3RMr5
N1k/UpaXE8lsycgfthpCFw8hUiASxIEA1eeKCJOPJd9dPziZpnu5L4GuqjQuSNAbREjUGG90dgdV
31k3dkcpsiKixdTMVSPq+KGEEZ3a3bjB7jygT0UVXJ50syJJAORQCuk43usklD7k5qDvQMbNGzsS
8zlwm/Q0hb25BbLtV16UDPZwMaFWJ5gXGvdDPXBKRKa0N2QPy8m1ONYdBVz9uyCMN23aMO2HfNbM
9Ax5UiqEOheIrkFDt0BrBz6AzjbhN1pUvll4Cc9mT4/FwyeHMo5c52R6kMLBjVJNNGRxn8LVTbY9
CIWall8f0/DI4iR688mavR26XL0l6VBxngxaQIYD5f18FSWpMXkGr0y3dVHo6OvBCUaciTRnLeeg
aErMV1bQTfOFBszuoZ1amwAhC5/AtkMkhrJLhmaHN6edWOZXfhM62jIK4/yuVdVrMZYnZM7xJkJI
CPunWum8SV4pOwpxKflrV/9Llu6kd2VHFzoby+vG7NudUWJD/W/Ztv/v4yPohm6DF/nV/r5+/ahf
//Gaf/zj8jV4rf+xf+2/ptFP+/2/fssfW771G9NuR8dlwpyDUyvF3R+Dd/M3WKqC9obN4+eYDhOQ
f9JUma6DB6Ed9t0bY/5ggdF/01GKsz+jKaSnw0jpP5i7f566S+ZYNiWFy4yaC9E/kXigBaAEBaC4
oY1KV2bcKRFuDWboySh2P3xPfzHrMgDQ/lRbKPRceHqoemwDuMf32uOH2iKAlV+UsvHBcgPds/vb
iRYt3QQUUGRLukSJo8RsB4wwW82eCatDfxZaT2lgIvgeibkk1Dg3939zVT+TZZY7wlVZSCLYCmFU
qE+ltw8y3FVZ5W9KAkrQBxyIl2q9ASqcEdQbZAOercHzq9V2Uc+7AfFKPtnZfsApt8WGW978+oKo
tP78PTmm5YCFUdwTqX+6IlDlJTVO4G+auQuJOxOHYEkjYIrjXyHPp7cttfSqTPuOoBE1H6MCDSbD
jo4jIWOVOcxfmMjKG7810pPVgc8WIjqUdg7zivXeyocXe3xPMWr3iN1UkV8gQGNNXmEoYLsgLIBU
QFdpzBx1hp6YmBycPwUBMSH4eJOll7moW8ZbTOF04sWFm7DEhdFRabeDWdxC9VybgYBf0HvSmTaa
Tq55565yGBeB8nddVZwbZaJsyZnkPS0JAhrt9Ll/0/KTsuHrisE6LsAHU+wT96Hv+se+S0p6VU3I
oc8+iPYB5OfBmSDV9sXOqukcNwiP2uBmFkeMt5cpfeZZn4nrntAn+UdQXuuEVGfXT8+THO4yAhsh
RG1HNh2VMDDtiORdRMLbRVmCx3GNL43AdcpfUV/0odriPBxtSB0cVFOO0GXRby2QDg39F8c9xtDj
aJeQwyjRsHcwFqlaidlCUQrbgWM8ai/Fc9S5gk7zcFvU8ob7ia3K2nctVtKZZCxbjitcUmujQh1x
ZeYcdWdKq8jxBo3dVgcDLngze2eDOs3TorsEUYRWX04l+Eg3fO1jfyPEG5PMlwbWbw24CD0cqdxX
ja977nQd1fneMYi+cextRH0S+MRV6uxmd1HrvwR2pl1MFXfO7pIrfEjDrTmPRYvcAnVt67vXaEaL
98CqcDuXJV9a1gO0WuFt+NpMeXgD7614ddFv4p6Qy0uDMjQi6+pgD+LOJq/rC2jD/tAgkX6maixW
neUGu2FYeIYAUoIHCpsc9rDlrww/nys6Ggb0DaqU7M5Jpm6LQdWGdjRrFlP/caq5CkU0d419KMcb
hn2HzNCLsC+js9VZV7Ju1E09Yzlvzaz6/5vk72fWv1OkIRBjRfr3J+Dza9KErx/D16/lT9vi7z/3
x564EMEt6kNbWaDCEQH8sCeiBNCVLhyJZPe7Y/Sfx2CDYzB7IqAgWiFA6riM/zoGq+/0H6aM4GHY
Zf+TTfGTKoPtwKVZa9u6gTuVjdtdbKM/7FSyGPywtkihVkN2dDMwXIOTnoOsfiGBDQ26rQMcWQB5
dbfziemgTaU/ILvRz0XTP1lD/NyVNU7qeRGR9d2+rdrrOMjpviljgcNoETGrDRZImT61zpIS4yZP
uBIpgqcjeD6TTg0bz1BqnjnEVz/cjb/Yh3/e8r//cY6F3kQnkQVipfj0xxGvE7bzBPV3zOI1XDNg
Nt/yurymUPD+s08S3EmpiE/DyPu9zvn5awy02rB7hBPrxsCMgNM0xogztcXaKIP1rz/KWoQyPzYu
kKUAgKI1y5GW/1oKph9v2aSiIdMGNqZc9e+2DwbWzvLHlmxH+CQGvNki8FLV49GpVLm2+67xdCUI
JwuqENjD0O7p9u5EhJKeMWaeZxeaNOe1lPVToA2nQtmvZrgWFP5I84q3eswm0mhCOKks05MI6hUD
ZUjmln5E6NEcLIa2XtvjPhN6NKxDf3pV/fxcVdGLVdnZKk0odn79HRjLnfv0HYBPw8WslKSLY34S
1PjSDvvJ0tx14Ti7kLa3kY2ARUOC8AomXcVTmalXzSF4HL/guDArRJ99QPr8+usL+f5BP1+IvQAe
LepJgS0a3v/PNyMcxyAL6EamLa0AIkshsmr2kxM0i9kgfccydxIxM640PdUdPiY53RDTbe+IAk1X
mWveYEG8W8aLwJB2IrBf5zh4ySZsF6m8/ZuL/Vxu2dR8LELMuheuGYvLzxebkyauJYB6Nro+03Cm
g23rw73o9btKUxdlSzBXVxxiV+1ntNJRpT9Ae4I0jlkhJNyvnlH+wI20aTx7M/TKUCG/KxHU//o6
/3R3uU4XVx3zEI4M6Hg/ScVoXdgqimxt3UfpHT4yOKdZNqAeGa+GpWvmN0g94wHElgKeglvqpa/m
uykjp48exq8v5nMp/+lanE/HBkQBRpra2Bp8oJ1jSdo6Sn4cDita3Lvmbz/u+5r04wO1fB5HHpRy
3ClYAp8eKNtamDFoD9dWS48InSL967Zeg0PmqRB3RpCaOH6zYt0XGlFSmY1lKZwOdCJf7Ik5TYxZ
YxMMWcr0JH9aku0CohGyuLmfyY08oexLPfxMIyqb6MalzbTmnL/SrPnstI3YxwqjeQkfGvCIiXmu
MDbUMCfavIw6qTyouqpzWmnB1p9SqhKXiKEWp9EG2PvMUAizv1kH1qa15utf34ifF3OoGssXY+pK
sVcZNkrjnx9evExpU7TciHkWm1kEBOldjrEDivPi1x9k/vk1sXWF4hvgCB8Es+HnT5IzGmsaRoQQ
xTaQouRrLg3md/iy8ZLAq3Sb8DEehztRzYe2m26tyXz2naxBBuu/1D7wKNl8wITmGJDs69TE31Bf
jEX6N6dM8edH8+fr/NTB1qFMB2aJA9Of1Xkyhi0nzNijYH7y2aCxvPRAbso+YtQbNiuyui7qkXBE
p6yeAvi3SKlmcixEg8ee5Iq9FUf9Rd3U2Zo8t2TPOMbfBZUSx1nVyUM3kKFaVu1lX9CRE2WHYb2F
UKaZhP1CvI89pffTGqsOmLBKQNkeJvzJVZRtEKl3u1wUj2Mbv/rhok4vh+llkt2DOTuYcKgcvmVl
TwqQH9Rbv6uCE/S+eQvG/uHX9/bPDxHVDvNvSiuD/5Sf3uakdSk3rNxdB9JHZJuwCPZeZNk7vzS3
v/6oT9TT5YH9XnPY1jLkQPT6aZ8eY73qGqtw1wQ0W8eumx9RClunsobthCYSvn8FYyGfLprgW2Az
5CsshoSmywY7tAWJLZOhuCmyvjbc6W8u7nMrgGuj6cJbiwWCt+lz2ZfGPbZ1RMHrOEuPE6ghqZ3m
6svffAOfK5XFSkF+zUI4MWzGNp++gdpMgg7uCLkxaOxwkI77iYTftS/R+0fh0nnvboegLF/TSn6J
h+lGErwe6wVtQJFjiJqzkmNzlENWHK+ZzYfnVGuZCYK5+JuC4q+uVDmCTZHHAnfGp8WljekMjZLY
FUcVrCpRtu1jQiZChiMBLHJQGPZWZ5LiIGz79Ze0tDh+Wu+R7ZvKAZ4m2ZXl58UGwVw7F0FB4Etp
c9S3WWJqL3MLmhfmLUw2L8qqv/lI468+UwG6XcZ17DPy031xs0kXdiLRtFf+jqY3LoioHDlyQzY2
I0r7rHsP8VcTFP0aR+rVnE3ch9obRJ3AC7WiuHTG/FtsWwejsBnN3P/6KxF/WoDhbdBKoMClYefw
Fv28AI9aZSC6aDWC2rp1BFHOl/7Wj3ldwOqRjZDMWFF4iIbRRF4SHrtZvTRFPW7BQTzXSAfJXhG3
jGu+garZZqO+DQiGAZYQLWaRHYxhtqoCdUhZvCv2W5hzwbYPNJdQ8WQ3l2I4wr/CNobScBq7apvI
5uuU6ffdJJ5J4FzTA9j2pAqIAGNKbwFN+fU3YC+7/E9PhQPbWrdsilzeHchiP38DeYSmxzFCew0d
8d7M5M3sFHs77zX6AGOKWBBQXiPDi3IMUkzJ/C8F4b50B5oNkTW3bT3cMsZgM9AQfUeJwBdXs8Hb
+Nwgj9kIANeZ2wwE/dbnoFmMoBOLdwXzoR6UscjToXyJYQ0U4BVlaA5W27nrLeClZnRhEHeUpIgh
oaf2Mc21QWe0xFDgI4z7ct2Z1WXdReueCzX07CpNx/MYx+ckTSRtC/lKL26tWXj/43zYta26gKy5
qziDbEbcryv4dPNW5Ja5Ga1qU2i6sdIHA9FINuKxTnB4isazRqVBlTOQfJTvAzSBIn2yyaiJ2q9/
cyv+dCeWFjSvJkc7TGOfV4ZO5X5uA41cW6ZXzXtp7/tiX6HqJF/0+yf9vywhoH9C0fLvGygXrx/h
9PqXhr7ff/T3Hopj/kaLhGMvjEudgfEyPfgXjBlM+lIufx8qLGfhf44V1G/fRQcsI4srzXa5kD9a
KKbxGzuSyd7HLvi99fKftFAgL38uxLB0KIVpnFWLwtRaAF8/nsgj6D/jnMzNdrEQibVeB+EOC1B4
xXSMbolsjUeH1A+kV+B7z5E1DcYRywskhyFCVynMCJQR+kdOOJP4YIuEv5+3LtqpIjBhaOXoNx8C
NomJ6N3CeeAAyaCgNM31qFk6fI30tgJs+MWWBWOFsOuvylx/IPR1ZL3Ih3tMsBlR1Xn+0UGUvqqh
Uu1Npq9HRbjUoQ6y7poo0LRZMb3BG9KkbQYWJdRmrzUnHOH4BRihtvl8ooU06F7dOdON2/k9nM6I
IEPkANVtPpIgfdu7DTJoFc7ZXak7jH5jADZ3mVEAzoQTZDBERG3ECFyYYX8wg7SvVlbvlx+a5nTw
aqsczKyVMY4843B3XcgFJsmVEwLu+maakvJD1KKIdoE7Jv2DZgTuRzHP49tsIOTfm8SiY/uxGUsH
8aCpbeS6NTEkNGOzK+nY+XCcNdl/I2amZZ9nqv6Smp1xXyhwThal+40pJqwncXwI0Yxox1ILS30H
VVq9TUhs+4OlSpqxlV9XAflMSp85GZMWp/q6gLISiMhjTp0s+Sf6vWiK6LmD5vLRVRpZJ3pjX3Je
m2xAxlWLxXAIhCezcjhRPLW7nM3EWSUQZXd8K8LwWgkoM22q3l1BJmPt6RPa60YbnK1Uy5KXmYfj
Fjq2xnBYz/Wjho5thYYb4d4c0Ggu/YkIJN0KIq/sQD1iaoF8azEBlyIxF5jIYH+HcMHMSt67jKeF
Fk+CHSYrgD9GQXyHgyhY4ZxK4BTxdzNhUYQLzUboBWIsXvVi9BGodNa3IM2cR4x2POQGIAjrJSzp
jUeMbjzG6G8WG/oyUdL28SiDtUt8306P4cat28yNTqrNbkvOH+Mqr8OzlJO8WRoYz3WdRhfBQJzT
BuROuKta23mvM6DPyGO19AmhRddxBJH4aVQUjAGFI5HoBG3nYfLdbOoQ20bKzbHJya+zHZxRqykN
mjN0ZaAceX6LZFrfRIUh6L4wIlyhOrhPheifa2GjuSt7nnd6opJYeiJ5na1T+I611/1sfoUL3oWP
nV6E+MzJWOHIHRLSR+y3NgwH3W5DDErdjO21yHRyFgzTQcKPVDp8aoZopL4wgrbYFlCGx3NFvBjG
zGRRQsKpssKtSMBUUG4NBrkakWFDs6jVswWsGWG8E9iav/OZBDxCl6y0SymasN7CkQ677UjDTK4F
BuHJo3trSeBQ46Sv45EbvcJfKxPedTPIx0tR2UF3gfMF44dRxTpkdJf/123oDNDoJpt+4SMsNSKJ
dBvm2pYURryd0YBN2Msnd+YpmxnNgB9t78mfkgeHZPTqLmmKydlEWku879BP5blH9M+LTVMRJA+p
xg81F2p6pCAmX9OhdWtkWH5drsoE/CinMxuILOlkkI0aR0MRBC7a79fZnJI1GFce2skh2PhxmTQH
nky07iXpVivDrcVN3Uf5ZZ5L+aG0kSkqw2A3OnZC1m+Wm9YQcMOkWsCliIsi/olFYjS/5EoYXyrB
JBYGnyG2aSKCvdTLiorXQU1qS3zE3gyT3+QAgy94hYwW5AYLpN14HcjxwuNPzNZGVPpAQULoqpy5
E7qycV4Pz32fOxd9IvPHAlou6h85TJfdYCZHYqLccVVT2G1YhwJtPTbusFdGO1z0hFBe+5qDKs2J
Q3cba2q8kWRWeyLkeMBoL4SK28oYEnceFAe/MiENlukIh6yaolPbDiPe0rq6x5VlPWatGrZGDTB0
zl116IiHadHBSCfbjJqO3STgDG5p5hgv+V0L4MSZu50+de4ZEpjmoa0GNYQNoluFIi+vtLboXnUC
014izrMPTWgkB4VudqvXvX/Lbhk5u8qwm/vCiMe3qo3Eh+kaw/1QZ8O2l/mdy7KETaOy3WYT9sVd
3IkxXjVzWB4rDM36DqlgsMe6ZDH17OUO3jesCyna3vIkWpZw6xCeU6+aVD0HDCWrddfkzSlRpPuS
Bdmt8ojDJI0SfR+3bfZiM/cL1gWiwGGv493apD0JoikS3n2W9QX+tni4lJiHid4kLzXeTgZ/MDAL
42tJBMK5g/cQemaOY+c8ZdZcrpt6Lr5U6ZCSuTqSkIUMtxQHQGj9iXwGALmF7QjyhvU2epGaJm56
cIwXcZW4V2SmL4Qt5byzNddnDL7Nc9zD5MG3QbhOOSbBKTMwE62qiYVKWmN9m0W44Fet6N0rrqV9
wcqiPyRGo5jeYiS+NW1UPJGcSsi8isBVO/6qHDP9gmw23gx+FrWX3L38WWdiTMe5xYRXt3JXmAKv
QlF+9PY8X4f4HS+pXEZQnHn2NBlIIStXi0grKQSCR6OrN4lb9Lxv9mitDT1SN3q56LCyzp1ujE6b
yzvcedrRFEX9Yho5D1gAA4YBZ0Hg+xqBdT+gT2/aN1X14gXkYX8zYs+xDjLMk6diCILgahItoY96
LPK3YmjadyCYcBCbsUBz2EDIJidQhzzEwa23SbKYmpz1JbWPJUZRoIaS/ihODEkkAb9tQWtqtt2v
a3KpgMdX/GPit/JGxOjY5dCwMnNzjYdRa/IWwyDIco+fzjA6BBw8S/D4u2ke2m+ycDlLkhDGDmaF
3Tc5tP0Bo1p5HlRtHyXKrJukKCB+NYQDhWtJxPuXFB/NLgR9eIpCX9/pzIuPSJ35RajCoF/TYybA
VzVsNhNfDqRLAqARZob84+K8cEGOZQ06hMmaXys3J9S8Gq3pNZo0/71tRlugSOzxjgWOqMKVOU5h
cm3gBT9x4xENmvx4TrcYe/cKsWV+VdFlvqUwDddjBGcBY5gTlMzr0pmHFXPJznTj4gW5Q8b7ho5i
i6YvMhBVQgFoZVU+k3SuAg8VZv6aTBJ8i89R0eq6ZtP7NXINR2j+CRCdIWkny+Rgc0mbgDVz8mLs
s4+tE1Tv8JPg71iFLS+jUHK6dZHgkr0wjee6KfP7wsX8uqrrQl4SytNHzAmj5pADn7A2pgiKa1b9
aQ2vgaBIip2iRDrgB18Aii/rzsAy2ZhkhmAgMTAX+hRN66kgEZTj41S9OFHMVkOqyHxVZ5VEroBT
5LVtC9Jhw7gBu1QlyZUFFAYq3JAZCVxSBoEYPu3xoq0N5GoNDq4vATzJe7cqE8fjJDBfRlOo7/Ml
NWhNz0s8ITvow7tk7NzrSoRWumGBcT5aassWboE++duGnfk6DyZ5DIkF11dR1jp7q7A08EN2iPIu
4Dvb6xFIBtm2EAakUduwS2NQP04+mHcMW4kLVEH3EM5tBFnHdK5BfiycVlk1N6nZyn6ru9hpKEmI
G6Sy7xXZhn0AXU650VUMzpciD+3BlbSq5B1hqXVbkWHPTmQVwEIiTaqN7KX2wYoXb9mf1RbUevzV
nsZyTSkkvyAaLYwtjnp1q3eDwgoUE4TqhhbBDpVJk4SOsHsMVWE/J3Y/X2d6rb0VOEbv9CkE6mY2
bXbKgfp+I687Ks94uwsfy6rMPiA8tg/zMAJ+ndP+RExHEq2FHeq0OAgEybeKdJRpHeWsQvuqytQe
DJD2RQVT2m9S6BRwhmR7yvCGeIB9CdqtsIttjKmrIRua5C7pSTaEwLX66XF2UIQXYUyv3J7sykZ3
HY1bci3LMy1jG5BWENWbIQ/gKAWNfjCy7mnU20UpVUQA4yeaVrDpXvxCXw5TCmd0iG4ywsrP3hWI
m2iwIZ7hv8PwNA1kF7N4rSwtfEAF4oCqIMKEpxDda+N+K2yxb4AGH8bADzaV06ZbwVRu52DABm4/
+V99rWyuhFmw/k0YEFf1yOkQ4sCuyDCAD5QIaGrHnrhugkmvx1yGhyoum60xafneaLBvVYHdvQ9J
W97Ap2V+4feURil+pnvB3rdVztDsh9QNXihnGq9ww9soZ2luOi50mkk8GNCpruy+8LHOQwYo3XpJ
1eyac2cG7NTALdZDNLxzemhpGeK2WbETJ8R3DO1HUqFr3cRDCvA/JqklrkxCCPJKtceBB4S45Kk+
1RXeHVEkpGqCJnidnepjLjVqK3zUy3bKaawMc+ACU10fJ82cdxyB6OmBvIIFzezoAphivglt8h8r
YgdWeE7MbUSIx02b6ZPjVeNYn1SVtGcgZyjDNeKh146s9Ss5S+bppB2frcK/57G/UeSm9GP3YM2D
uKaRilQe1LsH7BRviQEajdvZey6QVQ5ucxxehERsJF48delDYY3A4gIUV5w+kdq7efWF3IHxNSqT
8RqK9YKEJSblYpqVvVfmIA6Fzyh3p48N1hU9HudnpmRXSdnUVwmi653fLMnPVk0F2OEo1lOre6Hq
9D0sbfKpmYr+rZybiyxMq1OTxoCBDT2dWWKs4M10ff0toNyAPjkWWygYDslG2nzqIVYvCvHuDhIv
+5xTyTWTx25bpQEeXvw28pDNmXmJWmC4b21qc2T0+NI7OvTPlU8ESmuY/SYnLnnVTlbz5uRRsE1d
ezxJ1x/u/ECSq+y0+haXMbubUmJraWTVOiRCJ4SiBMgP+7onP5lq5Joeol1t4K3h1y06I9tUWiUx
RSZdjq8feD5buFGFiBcFLvdWs8qXNqN4Woda139jfNvauLhHZ/QM0og5mbR0tFt2k4/a1AAoAOkb
9/Ec5S9jUNOe6Cwz9Ve2FpfBdRaX+oMf9QXld0KuZWyZL2aoqSszTo2PJl4yhRNBFCahR4Z16Djd
bBX4CSZw8xg9JNU4SPyGUHXuwCXnADGDytmUgWohuKbV/NSHpcSAXPUHMpBNzgujlV+Tgw5odGmQ
vAZSMzZ9MiOyFv1IZr0lcNx7bd5qdwY01lU7/G/2zqw3cuTs0r+IDQbJ4HI5yVyVSqVKu+qGkEpV
3NcgGSR//Txs2zPtGtjGB8zcfBgY8E2j1VImGct5z3nO6ITsL81jUnj9hwXzAFyoKI+WTL93WZ2c
baX6alcMMa4Qjc7Cva4QW1Iv8gnQeU/cAWTEJZ5mgbQKv7PbWcpavAP4HdvY25NBaNbXZeW/ZG1q
mYeGXdPeqKhYj4zxrdbNPtX0i0JYCYYFx7e5UIA+BuavBvL0nU/Q8tWcSsCECZ43arF6L3tLq7S7
QcHBI8uM34b/h7Z9Y3iZXT4BN14ecc2PgCsmArjnGs75tF2Sudyl2tAhjbm85Lb3HpRtGeyYU4qD
jTjnsSKlJjwQIZcLl84Ohig7FqF5UgZ5jEGRq5nx1PiRfws1XoUcIbE3DPX4nVcu7e5Y8l3n3A5l
dhWR7fwossF/RZkxobCompN0Iw9VXjR3MmigdXUxQJCUHMUtyCqaKIKk+MqMxoiOLTCGtTUeKONG
LPaEthOU8JVFh2CwsRsLFIjbaJAkdHPqCxMHetvxN8ToEUWrciZmTe9sWdcHjewfr+UqqvZM8rJr
lCR1Jl53lSUz2WKz7O2j4iaWgaegWfSA6djcdrnsvdDpmuHNjtr1qMyUhD1HFcVTjhwowwjF8ko7
N+zetCQICh6WB3PDPp27N60snY/YAHbX0ckzhTmIaU44bFEz88JmQyplutFBs2YIRPPqlsJ/W0jt
TRuwL8Z97VNNESqygIrmFjVjW4DPv0+LoTtxEi/249KQp4rmQXG9A+KEgSfrG5+xmx9/d9q5OdA5
6t4VEWh8Ll2lb+x7b/DgTvnyB3UBkcGkGk+D6xT4lVPOPG+ZMkAvCZem4Kx17fuSIcuxKAnB8ATb
xUNlgLvSkd12YdJx9yAkineVr8StboEk479WLcTmbQnSodmNZQ08JwJDOsbMZKOywRzTRcNuKEV2
yEfPgQAImf+dXBfU72j21cswe4S53GEK+Ks9dyEKnfdMpLxgRkAbc07JQ5GIJ9/zk3Hn9L7LOSGP
7bOrRnrtYzlmHxY5KXSLdDLEfo4FbQjl6FCVFXgMkTPQnzZ+kMzF+xBPnhREuKf4jZGROpSV5d4g
iHgp5Eiq71Bri6+qLa1LFczEsYr8z+COgvF+TYe4f2kDAAatNmkTGObI5c9k0kRfvQGVjkdsEMS9
eVRu+jlaIKp3fksia4yDpzLtuM1PFsvP7IrsM5o18a3BojHslnUiLRicioYHNKev4ORPbVdR/hCM
NjVE47Aw1pu8Hx2pnOfCtShryVNgCxtMswgCae/Rc5K4aI/cBYycrpkOYwld5nb8AbDZOzPOQisl
iuXf4Z0CPuaxfrJgZ3GLq4r1f9nmFemfraz6xQuLSiDYgD1pTTxFY3PH2HvSiLT59O5GGZ4Srx3e
eZM667YzTerrm1gNt41pjXTNGx7jH8NW8Vck0izZT9bKt4XdZ7Qh2xLrylRNRfmc2SNmiaBerI05
9K0bwkWVzsaAG3pw3LzZGZYijjo25nw7V6Sh11ukEYekxtp4txR1ke2sJF2+WTAnmoPPyajjyhSo
bYuTcSBM7kQXPRmRDrs+W3atmZFn0wRkWFDNtUeKVdUeGfFNe6PW5nA7a4mTZ8VuLJiNAaSHaWci
JimPlvjNkgT+nVrAqJDty0uuYC7DvCiDTb3x7aJzKcoCf8v0LUYsmmt+Yej6KrqooWIgW5Ti15gb
/kPHCBflMXPplDOobt6aMBZyXuMCJJ1RNF21UyybtDv2rfENJvTiv1jpMkP7GVMuMBnNcL4Wo7Hn
Wu+kvxzyVN8LDmRyl6VW+lBMlHnwGct2m2gvfcgLfz4CcUzGfZJP3kuTDs15mcf4BZIpJ+nKb7L7
oi3eGsOOdnXqecDm2UR20cqlidt+JMs2RdUHAx3jq06b+YnSkMHY0mDHrN9j2Z1BvDPBIScAvZc7
5OQfiSqiZedj8IPDXPdpZn75vJhTl4Z1o9WOy1pyY5AG8WEFrn9RH8EGsl2XsqakcH4Ko8WgE832
fkJQOCPpOGFmy+FembM1bI2ytsVm8fRyxI0bP/Stbh7AX/AGZDlOWqi81mPXKtbsfgEUQeOlmM5J
OzT7BX0l3i/aG5OwNBRKlGjgt+4jZ7DTo8/jC5O4Hm10S8AEwNcFCNn9sohxuW1W9/FRTdJmPJP0
vkM6whKnfk4ek9ZxAUGI+cOM0p1tOCACTZyWfrsU+gcDmZabQGu9cSabJHtblriPcHAQLercb9Yi
mPips4T/xFk0XgAhJZ4RmoyiDI5tbfvqemb9K7A4OTN5QQcIfWWWPy1FdUNIrhVwuTsh9pONJDBB
dGfjlCz0nCg7tzz8P5m8/ndMgXE2Xi2I/3pEGyYkwFLyX8k/WdxN7CN//pt/d7kzbfVNIHekqn3y
1D6Wjb9PaN0/MHBYJrB7e7Wc/u8JLVhVhupU4pIIs//uf//7hJZ/tPo+At/l+ROr4++/NKH93e/C
xJjYFwMjfguMlb+7KYZkbS4sM2oTdNc+l23tvbWeiC8w45Fg2NKn994wPyMI4T993PDf9aDm0OX2
OOwcpesdV1uKCaURvHVirG9GDklbwR73BShueP3/D+OfhID/kLYg3b/a0P71k3j9Sklb/PUp/Pu/
8neTgEcvM0YAoFTmP+IUf3sEffGHY/I/KUznz6cTd9c/XALWHxLTFVYAj3731cP/v1wCwvvDZ07G
AxMIyI08vP+VZxDXzm9GEteX1MfbZKKp8gR9YP1mEhjd1ndqaKIQP8jn1iUUGLQaw7wkXpfsOg+b
7kAxwy6AiFruLBoMboVbFXucae05zzJBD45Ju89opwFctgYSqmVxIN742Ma6g1VJXKYihRgTsAnv
YjRsQfJddzec/dq3JZUF3py6OKV2kRzLPOuOQznCPVoR5igo1TUl1tlv2rgfg620Hc6xJQeyhJIB
hyuI5XRddbL8wjmnWOqJQjeOYk+1jQutn3nL3Ax/GJ72yfhJ2groKpt68JkGHUNYE047DRnpDX3B
66AgX+pbEqHuK8w7OnmQ7ZCv8oY9YdOl3ai2FlxLesmq7CXri3e9mOkl7dKnqFsWCp7LkZpdt/tw
3SU5OxZZZkqR3Ud3cYqLmWbWYRqNFU5G8VVKXus0zobB5dk89QwT93FdLbuAj24H6zvhfNRFGybG
+qGrkJnywL/49VScrbhPcU+DeIkbsm5unT4gbGSnSjTFjmrM+fu01O5tAmMBJqRpVByv3HwEj8V6
d5PX8ElCZdqMPdTQJNOmLmCMGSv7BX3BIO5VFEIwWpg0x0mykHS80ihw785gmoOxKIIToomlEH1W
NBaSNap6aamP2kt0e9LMt85uTJnUxiTFc0VIRYgoW38Ex9iBMD9rrOtIG/DuOIR6YOw3SxMH92qM
LTt0e8/x9xW1XTdqUpT6AhPk3Br5LUX0qP7pHmcwdkBwnwiHyrpLIQF8N8bB2kdKV4cK3WP9k0a8
J6DwnulekzvZ+9Ntrsrx2guv4Ksk6j5vnMmn7tHSGEF8ga66KQETvw5Suy91IzroNroT3wIZuFfX
IqexlV1UH7GqFMcycDTpoAFVtjet+BMQQfZNQfjjQJJQnETFxIz8wJ807odC1KiqxSp9uW76kBDr
P5JMN9fY47TnelFy28xX+1bj1Remfj2+wEfQaaSa9Lj3EGBrDTq1zufxbuj5jAUDtHeO+MO9rDsi
ng6cDb+rrv0k7ux5Ftt8mBYoD8WqQRp8ZAZtKh3zygtVGTY+Dil73up5QofturWbojJoiGgor1h2
AyCJJTSaiVE9YIqfXha9c0ftbtFCqotug4lOdKwom4zbyXGA5QDwYoI6tCjawjj/RddMKcwf1RhV
5yEFrrq3tKBTojNT71uVFupFUPXZIzUW3kUFonubLKdiRN01nM89Lnpn2UTDdNI+V07mKrGbAqKz
/fm7Y/IlPeJT0VtFiPmrAMPDvIdOKrehlGucA0QNzmbi1YjJwJySbL2IZvEIca+2ndz8YVPNFdxW
NdLwVlJBx1extt7pwaNNlmb41A5NMc7P4CvEVg49BajWRKtLUtNHAhkgp7sUogCCARUGYsMSbebs
wUPxmqaTPgwBl6uQo8jL0Ab6Vti9uqMHuXouOknpA9YY5DK/mMwvD/LwQU1RceksOgVHuvP2Y5+R
2ATbYF9rMc2flYrEe9HhWPS6Xh4n3iJW2CZGmOqbJ51a6GKFuUhI4AXNhF/x2NcEcN3oZ2ao+Zhz
Mf/q9ITgaZn8YBGlIgY/uzjTYYrp2ntKDfAVED2UH+PQqv3pYVatN+JsVpSOYTBcyD4zf9z2HJf1
LqUP1z1G1oRFuxxIc1yq0musU8n1vdxJK9UEb/N4eWJivlqXEqjxtC8Raccz63Bzs2QVjxypg/wy
MQllewEc2YiECeoy4D23mqg+zNxVOZivZK0ivhaqLG47H/6HQfExzn4HZctm46GdSTU34OzQ9IbA
1Yd5mspLnHf6GVNEzFAkcJPN4ljN96Hjz4EwxiuxURqY7tYbWvsc4+5a9oTBVqRH0XjZMY8rXYa0
bMw/TKclIDXmc/AJhppBXZNR87xpvATO3tyaVXBAXcEOapYz/acAtRw6O0AhPyjPowkPOp2XnCOQ
zzAahyFGdGeBT68etE3EBgDbpwxP70k3lqMvhVPrIxY+3gJllOd6LlIEocAnAwMmM8wYgXLhTfoH
bxr6vSo686PtlwdnBJfL+DMaHs0p5zqKLoZRpadJipAx7C21sZbc/eji2Sy2YL/d126QQxA6Li2H
RySgMdkNrbvQIJOs+rvJJTE0Zz3/jEVgPkvsHo89YlS+rce5f3RtMzi3vMObybCcB6Fa55U6+fLM
gu3cKKhzG5l1MeS0+bIEhTOFg0uE25c5RoLlxup5YRlGFMtXWdSUmg322qVsLcpdR62lQlLiq4w3
zMq6eQ8Ry6gOTuHYvzg4ET9uDL+cv9mxmTzLhKJ5frrpn3NRuvGBQmT7OZsy1jvyKT1WjXq1IzNC
7a8GmXbghKMVvDZFUB4Fk2oA6DAG7SMq9kh1oBHRjesmnNc2JUAluVU51YZoTTjZrgrcar/zR1Uw
RMjNa5fBEMGiMqB6d+NccYYIGDfiRRreW5pzroNFYVVNvZXNlF+qRwX86wP6lLRCOSgP7k7MBMo0
KV7jGm61bWjRcnLlr25vooRa6qPbmJhkqGBTP1VB99i2jHUMtARjqXes5x7rUzfYXhLCLoFul5gJ
C7a7CAPpuC/1xZvMZgmZ0ePBiKVovrgNyZyIPBcFlVAXHTq6/eGTIjg2LWS8wRkX7DwTaErslYZU
ITvTsmvAdq60UDN+l6RgbqWZja9GWqC6mbPKLqOon33dSgtHYBqLHYUq8lx2Kttl5ZgNzCirL9OB
9y911L0tVV2fujbnOx8Hd7ib8gbyS4JMjAUDHb0cMgS1wmXeu6elu73PUlyUUCV7Q2wK2qeZQrRI
YumQdwNKHuZoOFaWfpuTkok83Kws3hk+gzDD8ePnYXKTn0NBoTazQ13Uu3qoFxGmS8WjR0Cy3S59
17Ssygw46M9CWfCE7QbbyCLePw5D9DIiEMKQSbpD5642PCY9oVHC1Vnm5MCB9Jibuas2mNqrvTMT
GWby7vbUt5NitH2GqEwnnB0WS5bAtMzVK0XTOZWM/RSy77Oe5DyVN7FvR8c+Lprbeoz1E4MqatcR
drfwuidKxd2iCFVntp8xVkbsXkli/5hKWn+icRfl9fJO9PnnmEZU9LhmDCLJGsXGn5F5Gfr58k//
AmPZiIQFimYCGRI4FlwIQPRvwmE3ek3a2oCBMNny3h5Bgi0gpzC/dbSpH+O+KagJwvRA73tQ5Z9N
LIm1YjoDwePUyMOun1Bp6dZBc+zYLsKePeA0Qc18qINUv0Q9rkKpC0sfVMYp00iq80gZpLFpewYF
R0OVPlYzShZpL7UC/cQoliGqbF3QEjQgfRJ27d4sAgNyW6Lt/ewcA+MoYQV+9uR331iBTJosTbvB
ApPX6t5sdEBTqMC2RktjcA+CsnvkPi/zQ+QyJWHmX7Xf3dSjFk01GZhUDmjzu89s48cQe7wdXs/E
78yLx8EwrRKwCu6gnqQY7VuCp9Z9OQn17Ns++qndDJjqbPpf2WdxS4RjagQHRt/TkadHE/VIzOHL
oWg9PdZLGpwJmNCFYdYeQjSkNJ9xzGxjy8gULHlr5XoWRQni1VBe/Ebc3g1nHpV2UwzFOlar7R6w
ZWWID1jPw42gRvOirXKF8PvrEWyE7BpS5kjPY2HaZEI5E8LIDGZ1i5bODBxCJ3LXYkVmcEgqp/zJ
IpF9ZHAgLoVvZjbpkrba8ZlhFKBCcgpHHDkwkYAwR1sR1S/KzcYzL6sTpky9wrGxxY2AgI0+S4Vr
Ige9Y1WFeekZlqBKJogcHGWrSS1e5vg5i4vgKw4aXu0OotznNMjstmtkYG281J9KEoud+ARi1mwn
E2prauQWHiPujZTxNgT3pnMX0bvWLnm2gzxVXO1sqe5rz80scs5A8uFdrQztOjtpooOhZJH8CAoT
aqlP5S4gueWTOifSqI0/xysIK/tsrLoi81fEj4xR8jcrKs1HnIjc/zz2kDvw55E+YBpTjMc8q89D
Xiya4HtTViEF9B1Y6VjuplL3mFKNo6afJayqR5xRxdrXtmBNR5EKIT3akMcIBpwpkywAkkx9gUfR
To7TwuFiCyd9SUKGXsmXazccFnH20ibslQccmQtdzmWVnGPmmffuSvYo+AKecPIUj6wX7W1s82dw
MiIZOuYJZbaaDXdGhX6yNEw8vtCI69e7l7HaToETP4KVef6L/HH/tzjQX1maa6zgryEhmBImOgIO
bsKGVGr8FmZspNReUdKhC0IN/KXvEfKfatc4dzRCLuCuo+rr3/8X/4+gA3FBUpNQlECweO5an/TX
oANDgba0m3455BQHfGv00t85iSu2SyW8m5TY8kFUBMX//X/0d/Vu/TNtCDU+ciDNSfZvcVwrFfUS
efl0oAuuuOVc09/jlCcgZ9KC2CwdPTfzTJMHENm/ZX/+bydy/jvqwizR/5598j+6ofrXdVwmWtqf
P+Bv2lyANiekFSDMWbS/yBVD8jdtLhB/SFKIiMCCiKj/F3nYCv5AEST8Ji0wsY5n8TD+I8Dj/uEC
i5IBPw6sCk/Ff0Was/+U3v7yIvnmSkGR0AZsy/Ile9w/P9YQlZs5XfMoXUrogYpilV89xZ10i1eB
8+c0DUV2LKE2Dxt45mjGqU9bB97exDpxCsp2vKbdiqOS7kWYODE22EP5f2Wr9J3UbwCo30e/2bGb
xjeIRsEetc4yd50mnnFXS1mmR8OZm3fgQEm1rUXKtsxbxSweZJPyd6SZvBdwQs5e9OCONzhmd9we
EH9ousfgM+fEwJnYqI3BUZThiYV3O1xYlIAvDVl6xDY7LqGF3dA6thOZyq5cRpujejVShWW1Y0So
uynp4pAo4xVRuG+Yx5tok7fMuTci042EfdwqrAtkCH8lqVkzgoz9oN86juE8VEnkFIcAJOVb62AV
ol84mlEBjP6+yYjtq6msBmzsDVdXu3PGDyyW00n6kuB82bjpO9X1ispBxy/pijRNalHcbqsJe5yE
oH2CsdiaG4IfDHNJ6Oipd635TXBWpwqELRaFyazTo+V7A+z6pcuZRs7AqnaN8uyLVQrN7HQxznbJ
MtUuTrrc2Wk5CASgdfTWOfCg9k5A/uN15EhywrurBC3npLjDpYqtlmuvMNj7i5gc7KlVSppXf/1c
cpLKNuptVniJD1eVGyCT8g76PI0Sbxae+R1Yx/XDSk5Dn7CLgdLf8WOcM/A4WN85l62rAN8ahyVg
E3GNPT8e1+IEUOY6azkKcChxBnN66FPzF60wHIByyni0sqJTjcUJGSmyNl0rUOcGZhcj4/q7wPNQ
Wm3m09RV9/s0FzP3VknOmfZC7WztYPAeQX1yMzbECn+Lghs6vmE8ZNEjc7j4Dsf1q9XYpG3wR3Q8
HyGB1S9RlidqgU56iquDUZjlQarACqkqZk649NUFfbG6cXlsHtgtjJM7jbjfbIePrm39Q+mUyDn1
qii0t0lsOCHJ7JzCNlpbyQ5dUMkFmhZ7bMG4l2/VSb7IshQHpsDla0p1991o5/I4jFYW4mkkFBck
w0aOKr4yefR2djHUDx4xsbuumlTo5JJbBJsMV5HEjJ7jYnrE6wgxl9PziYZezmnYB24aN+EaGhDF
xtWOWlxnn+QWbDZueoDjVU4BtxDt3YhOZKeirBKkndiMURCmoh8uIEfheIHFRZUEbfBUJM392HSH
cTIX3PkgJMIuS/prhCUxlMvcc1pKbZyzGBukdeD+E8bz+MBZGgHCMx6rqvk5DOl9rkVP3xeg4qLn
OFplyruSZYjfcC5z7eOfbFp8mW+OCBoWI/vJGXn+Qc1tZBl9FYIoItzve2NZzJ8g8XnS6xW+z9xA
UOQHjwkpocunX17VnwcO0GGrDb75hrscfunF2ERkb5eCIqU4kkSxyZ5tbBwae8hKisJ1LMgVylEI
D37C8eIha89yeTP4vffASJYd0+/2YNuZvvgg2E3u0foxl/Wj20fZTSFLjwayYkS6pHbPdyZ4+PZU
fesUlF9EZIyd5Arvlj4fnO1cTvKYYMvCOYEUveUYaoPudaqYa0WLrdOMrPmFepV6g81M3wUBtwYX
y+4uSKT80bfdr6a17S1E1Za6osjeJ/g1dz3stRDlvryXwexu4l5ZNxSQ5Z819WR7UyJCUH0nK4ju
ZrwtRhjtPAmshEwNYZjPrf+qAyv+avJRp/8hCu7+SQD4p91JMrYkpW96psU5z/4N81HjQUoyZIeT
bymKI0hkle62T+v5qqrSftZ177DG1YAVtA0ygQjdWD1VrTHvOuqkvoYY59ftXGshdnkvl6NhuVjM
u/XbD2tfsE1pU3sNGH3E/50FpJ86XsLnJ2B0vr5OzoqOrfNFcxux84fZM6lwwcvmjvLcpIt/WZYh
v098tHGnbSgJ4GJj92gbvfo0bMsgbpi4rzlO1JAi89nGq2NIiL8kQTT9IK6+BBExLi5F84FmkOq8
4DLZF6g11NiO01FOdCmTT+eEa+EtpD4m5rWP+pcAn93W1avlma50fseRoErPOWRD8gGLOqmITe/X
/qZ2liZ0dbDMR9/tDO6Qo9BjcSB2CXh+8s3x2JmzLG89YhA7Cky4Mw6j8ZMi5ZmoieWcirjGQtM5
pvGQ526zgxUor+Ws7HtlJ5zt9bxbwADs05RJkaiWAZxwJuor1ZwSb63hX2XvytfKaGzmdz4lFkXb
7KGDK8SVud818MH3Nhn7RPpVqOT3KpvPY9B/kEI6DAnEUktRyNRkn+PYPQR48G7prRJYq5du62eZ
ekjMPAgxsFDwmBLNG0xSH7V2jGNFMeeHQDhCKMWvNnjjTW9UD5Ye0ruEChUCubZ7P6bJ0XMieWJb
yUOzd0noebC0oD7a7WnxBmjdc6NGfKuk2/AxVm/ZDB7BtJrPSUPL7DonoJM+wFLOs3mlQ1w8prH8
4dXO9FAnvHm2HoY71UsV7w0/QYH0FxktJx85Or6p8JRVX8XsNG/Eg0lu+TmQ+EPgjPKuWZrRYlGW
cnoNlklA4KHl7GO23Pydu5izPMrIsHC/Nx74LZf84TtGseTOb3obsRPGMc2pHtPFkcRXLG3jc0xy
KOulO+qwEuSfAIPTXJMg5Vr46h5tghc/7MIK8KMF5aNFL0ay8+J8OcgCpljRDhLZL+kuA9PMERW7
ir/L0o8fTKd3LsjRnAhazT4/6HjrOlO6c13Df2pz+kad1Aao4bEosZ1MsThqsy1uUt0aKJaGSLDV
Y8Z6QIXQOqRjEnS42dEFtVqU+yykfQSzEYtdA5WCmNg2ZsVqNhM1em2IvSi+K/s44OO0MrZ90lw7
gU3tgdRL+crW4vwkYDMcOXqhsc024TiUHBJlecYUYfKH6tgQ6mT185EHdhr734srs/ySz7l9Vzvl
+ICpPXjDsSme0tIx9oxO44fFyDny2GZXPfJr5E9iWfh225StiYGseUOAYMSr5NBfKn3l3SY5SS56
Tlq5gvfVzuqs97mp6J3yBPBoc86z96JPvbc50r/GZgDgLcQ4HoVZkTlJ2bq0zGi8yufpO2nGjrQX
lI5kowiafSgzGR+Z0Dpv0eShE1ol8fJNrAjfEvcclyPIFfv7App9y6ZkvLt9mj3A7gw+GtVOT+iA
1W1G+DvHcWbhwuUULo9OZo50FJkF5SVrWyPVqov7Y3AdKjsMvH47e8KjtJNDTh5Z1GmsQxIr83fT
74w7bTbw6CviZcEGsFSOZpq1F2eAsWpSwf1llh2KsNkr/1VQo746UizDPtc5A+gNbmukqUFT01c0
U1qGjdF1Lk4/03r3u658lNrPTzqic92JCasiVDmAU5yoCkKiuJa90WOgblj01LA1KQkotnXUlvNG
Ttr63ntQ1I+To5PPOatRj4kwjpeGZPamRZghX5F7itg/Z2zcnAQS54nlZW/r3vuKk17cRqk73CQZ
6Z6DZ1vLS98lVrMTvVAQ6CfjuYJSct+7lf9ZT6J/HKk6Ix/NI8nlCeQAD0HMSwg2LOWVb3lGwi6u
3NtlbAQ+BRFw/0HpAf7Rx4hIMDTj+14Gy1NvpsZ1JkyOkmUmzNKnpTB+9YNDwE2VVL9slDLl3RKk
uBLpzxovVGLRJ5TY9iejm1nteeTbn3Mf50RlgcCEjB3jt4o0XAB3yotPA/eNX1a6MrRKMg+7sk9R
L9vUm+jAG8kTdlnevpDPXDRkNHrQ6Ufwa5z1vt4FuU/0vjcUlHsksP6suiy4Zn4UPPD5VHe6F5w6
XdW9l60WOz+yq2rbcXhpwiklXIdhGQdh6fdYMEC9S3wKejohxuqDjfVYbzMpRRZmXs3zmNExe3Wc
Jr0OqRUfW5yqPoz72D52FW1ZIfQ6OF30Y/ZWmKSOV2+rrqfsvUqZtcnae8bSPX9yjyH1ipnWceht
mqnrKSPc8B3BcYT8Ppju506/4fN6HI2+fSKK0TJcmar6OhSmWd/Df0yO42LJD3cx1rnLXPR3RAun
Uyt1vmsmS70xClS/ptj0yy0lx/5jTSTgcXGy+GXWBTsRjurkVHZlMoYL9uhzTAlQvucgbFziGqsg
/hijOiVxRoNvatOZNLrWzVzZWKPzlB77AyZOeBJx5+s7uoO6q0d9H5iGdnlwgQBvaGdVJ88d/XdP
mNMjBZDetBUYak9cldx4Lya7OFWcN7t9387ldhl4OomXzLV3bQWNnFsT4SNc/HE+mK22P5hIdSdM
xfWdCZgG5d4j2Q2gggwQtyVOYInqQAQGrTHdGx245bSQ+odnx/1X3FDLtBlwkXZbij/WEyvrxAfX
WQzWXOEhqEq33Y6VYSFAoPRxLMrml1gTOtnwEaO6BpCpuUuDM1LbVa0f12keYmg8LvbW8PyWuefQ
PzmyyMTWiaaao1lhV/EhNvS8AeLeXnxGvYcCpzxoh2F6a2rwg9fSKF2eYTLc5PFTFHOQe6xHbT/1
5X2Td5wCRm7C6WFqnZnzhVevYiOnIpwmVr2zSTPwMBfBwhSnj38s3WKfle/n5s5vJ6ToAIc9/CFG
zWeVFa25sXU0zzf4a4345NOIkuwip56/NwHHNhOv9fPUBu1PmWv/ZBpB9Sqp73wJqpEgy2iZ+qBN
Q5xAOPQH152GE4Yfn4auaviVCz1zI7aZLcLRqoopbJVPVElEat9P0jiwJbXbIJ+5x5lcxkqLztM5
Rkyh0dSTPxwPG/jGDRr5tAQC86nFJTIO3BuPbrv9XBT2rlLB8jhCV7grUGe2lBFT/hKpaQYJkdUP
yg2iH3SNWJtUdu1jYVKQvY2VAiNO0Ir7Ym+nDwui1F7h0nh1AmO8Az0wPdVQzE9cHRX1wEZtXlNP
+3AzGtzXhSlvRl74p7nn6N8ZxXyMvSkN5xQqVw3l5CqtTtLpjBFdZM6NSJV9mkTUv+Hscs4lNRvE
gikmS6Q9nIY4QcfuCQtYeLiUJx85k3fftIfrLItj5zYZ7PqYu6n7bvLNfUY2tAHuQHKPH73bRovI
b5uhSu8Vpn1kKsYSqmTqogkfkRCy4l++kzxHk1EcHdnsyq6wD5ztwN1xz9zNtuxu+6Z/p1W2OrS5
0oeAMo9dgm8EGFvA8XTxXwMWrEuVNPokVfpDeF60qhVU93RMuXobj760hhsridKjS57jHPn0yvcV
XI5YTAX1lbq6LA6eBKoUO37JQh1pmOmPfZZ5W6OnV4S/R+2p8LC3dXAgcR38B8Cc+I1p5puryxV7
IjkkRwjh/qZiGyy/lWYhOdFLaHHsXE9pPsnau0ZXjg4ljxBxUxBIm2awmz0McO+kqUqe/tMvYv82
NuA3wZzoYHqEI+1I2/9tbNANUTuVJPdPMz6RbCSEnwS2Xr41oxOoq+9T8HLPsNWDjrCU+mGca+5/
VEv2YjePvN/UE79AXvuf1J3XjuRWuqXfZe4pbJpNA8yciwiGj4x0la5uiHSiN5uefPr5GFL3kTQN
oXvuDtBoqFCVLjK4zb/W+pZkTjbB+oQt6jE/M8nKq3dbzg44/EaTL6o1sjsPDeJmts3s1VXghMzr
QI4ONv3DKYgvrQ1ujS+MP7Tt2Lbmo9EP2mcd4S1MO2RldIGOxJgK49c2NiG9aj0IfhEzFHB78YJV
hTdKHI33qrQhgTKJ9TbTLCDuRiBTzak0OUiY4e1QYstq3RpTh5NPJ20czZuOsoU1A9uMdFv2apil
uKdW+ugMSEfGMrR0lvFldZ1k9mPLCqkhjkUbRq7ygTZexp7hdQTqSIOU23UwaljK+XJc272jYLh+
mMNZf8HIoQA7pZzyV2QaENowNRl+GLrxPu6y8Yl8NO9TdEhO9/r1pO9dT/2geLgBgB+dPmVRs3YK
aqSS6z1BR5ncg5sgJtwoOjHN63WCaZL9HkN5XUksjActMJ5Cis0P1YhPhAI8uUlnsmJa4pXOSlvu
LDgIub64y00mX+409nK7cZd7ThDRL7RxZ/bnhOqjVaIP3IiWu5G73JKiaKBnuMrlzlD495JlIrpm
NdE+susla1zuW8ly8/KWO5ix3MYmWgjflIi4ojHL4bpWeZExP9qySd+kkVXv0pmh0RZTa44vma14
kSSOyUs7c7/cDZbNLJxBevVaB0BkvrSIGsINCmj4a2t2pbr7e9HJuA79/zR2cWC+Sd2QNOpZeDYW
WeoPZHSqcZLejNhOYs5aN5U2hudyiJXf1GZ6KHLhHpRLPH4ddGWwGevy1iW6f47GpbFWs4fxSHxJ
MU2bIY4wASiqVZGnWEw9hfxpMSd9rSkVoLggNtUjFpF+VRnovOEUDxvbGW/zLLilHasxF5GxP+uA
IlsEhTH4xENobu24suFsqfTe8CT692gnR1o2HiF131Kxd+cR3TgTGaemyQy21AE+8oybF5HPN1zM
vLWtWfS1O7GQ2op5XceWrVx7H8VLrra1OaCyd4h9XznZnQ3V6M4s9d7alJYMf+iOTZiLMqFNOHZa
uCrNhQnLta25sLioOxcX2LbhJNP6ktnygLnH9PqNHLP0OCuRq3VH4o6RIXXHX07XqOXA3HGQlO0d
vIbmeQ6HwC/NpF9bcs7AVI59jkfNCd4iVIW3UU7QLAbSedugpck7zumHZde1HDSLpN0mzhTuC1fy
yFn2QJxR1jZJdaA9X3ngeWxfnaCco7QLsNuNNyXEa2oqOpwOn4kt6uCeBqzoI9etYNc6ISWzZL0e
RiYjTApiF6A4Ne9ZgnfEELF+YbQ4867k0Jkl3nhKvUgjdEqLJp+uJTDpFg9pTH00c95KPcF74AkI
6UXqh3bxk1Z9tMW3xpY2A2mYHNW+9YYe/wDaazwruB37AFxLtC57xdKEWfh+hsrl17llniSrFK5C
cAIlWgOo5si5cyI9eSpEg9kyjTzy5C6vzDE2BekZCEDBeUpngaUuEjzXhF/PVV5ShEWEt88YUNjX
nWiOGuseOyuGB6T6nPGO6OjwMIvWvStwwZnYlhGR9KuepLdL0XBw1ZnEIjnVTHXndVgtSlQAAaFZ
efFEJR2lNh/6VbXy0K8wr6NkNQCYt50xOM/ZVekqKH6WlJ4O3D5jVu/CZ3Wr3kKme/HetGw9vMxV
pYvNso99YUwfsc+MVIRxEEBtS8p+gAZVj/w/NwPTvsErWR/qbAHgELY9KEO1nKsV1qBV582MmoBU
pck+gUcDgI4BhvRrNOcTvRqcJ9R1pjsu491U6q9I7YSd2vAHTXevhOl4QIwEZciJKYqe8eL0nrOt
9LJbvutmK9FJT2OERNRopdxX6dSQcPhnBuJfmADIz/zRBOAKR18KfQyLTIGpm9ZfYgWCyXzKSNQ5
eKHEqH2r0vpc9ffXL/IfCeH/nsr9o8z53/9ePvNnCQovZgrwX3/+Y/Pbn8Pv0n9v3//0h801KHLf
fdfTw3fTZXzob82iy7/8d//y90LKH1P1/X/+1/tXHhd+3LABfbZ/yo7waqHz/vOlXr7C7x95ec/5
yLvuC8rtd11P/+LDfo+cGL8QeZJYFWkicGiy/O/Uk0TWNokcyd87Lvmb3yMnOoEoy0BxhsFme66x
/MZ+17V18Qv7jE4OBiEaFIX3HxVeLWaMP2xglo27CWgmPV9YQ/jPv5w4/7tBTXPlGwOydeNigwvD
jjwsnTSrVC0FxJ5zrgrz8w+v1L94U/7liPn/fOm/SBZGojtpKpZ13UqxD0aM0aJk5u0ffAyK/Pjf
fzVj+Un++JM6Bk8BhaJoJIj4aPh/3qqToE/sltAo0GZK4UMVtGuPAIQ/uka6nZrqVYRJsuM3rTZZ
1jHhd3pKECsh/d7uXvtyEVfnJT2a3k2tcyOTcW2yGQH+Cl6UQlhNYZet4jI56RTybv7+u9f/xbcP
jdzljrd4JHhD/cVVw9bTMJRQ1kamLZRfppLNisshmMneWryDs4R7NNEyjjB2R29p/Mig/tYYlzCz
gQ9NdOo1nXHnAwl606ziHJnWDqv7R+gQXwZec2ix/63GgX9r5AxYC3eeEbTcnV1G5IPdSR1CZYgf
WiGsmkR7vYci6ROohWBxP5VinVC03svowZLJPpyGjwaSbzpEm77L/THo6U2K03snSh+qbHq01NdU
W2AZx9VPXBDzzmGa5OMNdW7K2sN2yiDx4LlddzAizhFNY2e+dPlhRhqkrVo3dwZj1h92Ku6J6yMn
enxlU/XZ2QBQ8Z7krbMrPQrciPRiBktow7JgyDgrvCS1b+ldfDvVDt01FBvuhZPi5HKwHMtF3maC
FpwZRcwry0uau6EPrP2cN+Tbm9L9aQrDWYcw425diR2t85aMFVmSn9jwvY0cIuOjknP/XXWtOPb6
aTCigenuTIBauE2zTcy03ErbmI9Fx5cQ9kwXaKFvtcKpvuI4IWdZ2ocBszlDJeLAbGb3WlOhXE3R
MUizt9iNjsrynkIGWyuHX41spnqvN3xAlbAZDXmQ+Fi+1A0H1s3YlT+cjN/3378hjWXL+OPjhJ0O
K4Vt0kuE5dFZoLp/PPl6Yamrqp30TZdlKKuxnMtizSgHpCZJ44qjgzR/xLExnueo035GgVxSTAsZ
IIgpPHMd82k0GOEtsRQ0H/d7LNzp0UQj2DUyaFBoGvEAHzF9oYy6Q0kJxK/XH+E/2q/+9U70p33p
39vS/gd1NhsY81gc/25TK5L3jz9vaNcP+W1Dc+xf8PexcS01jrrNkeIfPi3HJODLjkSTMyFAG0PW
Pzc0kwwl5i2MlK5kS1veLv/waXnsgvgT+UBmDjR3/Ec+LaKaf3ljsp/alCkYnmFx4GGg8uc35oLx
syFrFbuu67EK6Wn3XsSoX4ur+w5fQnMalJj8jKw6HDE3wgFRhId6dJMTTcr6uiMZ9OwWk/zyagEO
z3K0LZNgpnZDMp60tIg2xAcAzEsZHK2cMGM4zu92ZwH9iX2zYxJrj/lJ0zLL5yl2Vk4Jy6b2YsJg
mF/x9T8bpfVF8H5t9jI/pk2ldkae0ZlDeGncqoq9F0xJTL7H0Z8yGWsuo4EoOxL/KW44Hc63OCnz
zy5l0V1KAz4WX9qerzfcUoiqbQ1LAxNdQaB6NkSP6qr15Auo2vVrRHREyI4635mvGoB3AqeBM/yr
F2Z/ILQUvlh5Mxy0ojQ5nOq9r4r8vorTEoBf1B4Tfcox8brjLXK1uysjOUL4aYhHQfwcu7uI6cVe
wwh0KsOho9GykdT+Fka0itrEeJoQE8J6HB/jBEdbE1kERqmi2mm5c0forH9qKXr8Vllcv8aYj+5z
IqGrUrjeXewqc80FmtmgHcSPFC8YBw8bR+L06i6Ssc7SoeSBa3Z3ahElzn3kFs8DYVhiYsJcjU1I
ZDHEXkM98jtltujauBHoC4p13UMEd/pHVvv84lTRd2DBN5vjlNNQZ6tXG4Aacaep+rTn4NcpmdzZ
d7zxBRFrn0by2HVGuokrXb/vl/l17CbpXeIM3qtlj9VZnyosXHltHmj3yL5IvfXwTmr8BWB55AVl
QrsUc7Vs0fQcfVayU5CTwvzArHeJMNXDMRdWcBnAQ+5ZyWE66S7oVmb+N2pyvoP6pBuvKDdiQ3Wb
99hAicAx0zT+DJSe9sqkqzZzOIX4xrSqmFf8EvI7kB3pxYtmuty0eXoy5kwH8YOSFFqleqFaeLpk
kxf4oejFecL554fEYdZQiAe/0/kF4SA3vJuca1MJOKJq9iIKIM4UfQsnxP61g9h1aTvunFylvK3d
EpmMsIofWnaZC27eJzDYy1Rd4jmLHXfLHub88BjeEX3Os3c7Yu5tNzFYQGlrAaEq4ixJzSVRzRNg
ikLT1uPUlWttEopEVyk21ow8GMaTusntctobqnN2GbBiGGTObTHWu9xkvgLeuboJ3MDyZeKuZWuv
nGmsdjNWuipX6HXBekKxofG0/JDRtCOQEZ/ww7mMXEV6T2YrJvjU1LuUkIqlp9bWZkyxM9D3Kf4Q
7lsajxMDG1H093qshge7qN4sO/8o5nAj5+ZMafhn0hf23RykLsJwbW0JgwYsPstnRPAw14M+UG8+
PwyN9eDqMdmmjEpPDpnTY+hRr24OoIyIxUGWicEeSjxs8TxuiMQUa72jdpR7fvcSlQNZXarZd9gc
BUk3smTlVOgnosLtsWxMa9O1lfPdUvGytUvbvCHCxMPEMXoTkBJ4NDlSb/BaQWCevHHd9D00D0nl
Du/jYuNyRycwMVfjS5gH7sF0EgrOUk44HMTL4+ho8UJCaXZ9mUyHtJRgSnTOcYeGkecu6IL5zg1n
uSXf0awCM4TJFUyjH9b8tqcUlLaEP4ysEbW71FPZRgucclVNHafWTrpLrZf5UdEZg0UvLadzWwt9
nYt2PIq0DF4IZMxrICPQGL2hPwo1FkcQVu4+yr3iA5tWe+Kkhs/MS8UDDzkdLoTikc8HZcfr0RjM
JzsuHSjpEzOaFHMHBxcqwS8NbGuXgbJrbpOeMNYID+lr9PInc1Bqg0UYsyMAe16IPSlChIO0kK8I
dPddM1ymmJ88SNYR9OklqiYxzbl28gpdf8Z546LWItdsy5JBdVBnHuh8Q0oUjKhZNV7H898SaGli
wOhtIQVqSrZJBWHEKKSdtQh6ZjXOuUtkt+6wHK1T0zolM5IeyIPHYu7HkyzZu1eysNpH6HTxkhv9
SsmJ7Icy1P0g6G+iIr5PTNvy0wSHFTJmvY6xFW1bmqB2ZhdUO1OygiMtz1QxUb7R4RH+JpR4H/XO
U2JXrYetybRBHVbTa5WwbGAKzBO57+0AGCqUN2wMwm+yoAYd1yyp+GD6GXOCfxA23E4++5oZ8z7o
w7c2ZdXP4h+m6VyMPNyUGmy2nBnQhnCOWMks0NbR2ETnWhPJcUSvOTiJrUhwm9aLzD3zrcFT6McK
+wO7xL5og+oxzLR6N6kukGsMI/gG8qioXsfZCU/Kntpbxv/VqcRY+02yHBANDHC2wYlLRpoX24YL
u+/MjYdsh1ESrtLGFt1rZ/SXIMlP3ZDMFz0PucZETPB5UtYBSi0cKRWXAnASiyp19EdtwVEOZnMm
sr/OOQqvDKwSKysxaRLgHkrRyKpViVnRSAORVp/bA4Pk1Ti61dkgTkeqPvkG7OdJWqAJR5L4M+pH
MxzUuXK/MacOv8bOFFywfSL0B9I4ScBcxQ7zYWv7ZTm07zjY6+9kFq5fgTS609OISfNkj4rtDf7S
DwhdMISEZ1JvPKU5TuIsVvdTL1p/quBIaFMDubhdcHUxiK9nlp7Ex9w37hqFZ20wpmEnDPwQswtA
uwP9t570yH7U0mg85O405zs7nILIN6PmR0X+bGyUe+tqsquwNWjPmHjmdVVyRAlF9Y2xZfxR5U62
JohlbzsL4+/KNHPvHi/w8+j0dyV+4E1RRBcCQAxL4Qsx9H/V2/qp5vqGNzw175mrlFtK7yg2nifk
Qrxt8QYvtvOaSNjzJceKUKafSWTt0N32cwMfPXb2QztQ2kzeKfRnK6fqNzVLcNX44TPClSW1xkzP
1b4E1TRp4iEV0Scb2jM0g69GWjsF3fECrVJtQ/zAazuhIlBCuGff5RQWRFSA246f2PN0UzWWWAfk
+JGmLHWhYW6bkfWM/GF0Gt+LrO4SCot+xQpTCJm0pMLnIcwfLL/ueZob+Fttr1kEsTzKBHROnVZ0
EWUao2g1mh/3g7lXcyPuOcVNj2WSUaPTD/IO6YCTcPJlhRxg89HqTh2/6LXKuhsbzPFRi0oNn59E
OGoMLH1Y4I+BEbe+biISm1ov1jC33xOMZmB1s+xM5IotOlD2hkw/Y4rGHv1yjuS5GQL9juO3OrpO
b+wrQN6MRZNTro3qrYP49kx1iesjgUZYeCeUAQdKyQPKQ3XrBbq+G5Ly3c0Kvl+vXsbZebDCxHWA
rQBJULWvCuaH6kvpx0ZrMdFXO7sFChsIXXuRce6+FvmgbWK6S54KxGkEBm7wcoLwkPHSfWP1ID0f
6/b9ADdiPRK8I7NJivYI+jWjvBbOQtfTuja0Ni9qHp7pO6iQAtmkwjLzzbboXmgZVWcYhPUbUg8I
CKmWiLCtNBaehQ4/MPfVA1Xz3omDNcDKYD2EnrYFSOCtZ2nJHRpZ8FRMkboXoeFSNq6CB7OuzAsd
FtWBMxit2UZWvKBvguPMB/AdUk4PhoYzt4/b7KtEv92p2C5+9UjL7cahsvDbcYImWm+dDd2ilwED
RP4eGzF9Gv2MGVAH8nAqxRQ/hiGnPDQqFT9THcOWkVXwVrogvOhYeXahmYuLDkXSB/RnQs1rmkMw
5zqzFDTDwprBgJOV9Af6w78s1XkX4KbyedJ1bdW1yC02rbBvXqPCh5RM82OJWHwcXBfSd0JZOC89
OUvyvfGGJyZZN82yudKp3STWdq5lxIGtaZ474iTkVcfh4tAPg3tXFRerAQSao29v5iD4HgqwISBN
aCwvsomj24jQxRzMfdPHGuYA5uiHYbabzdjq6hQ2ic3505b7qZXyJ1dWtZnz0Puu2sDwPS6Ah2hy
y1s7jONLr0fxXlotB3KrUMfS9AS7huVtEWUJRxrxXaoNBdnyxdMSezo8C510Isz0izHXt7mIjBX+
EhohnTY/unPK+LAyvEPLGPMshzr9lR9UbQKvck4Avhm6ZS1e2yGbfsUS+9nm6bRyqRGCjOJCmqpH
nWCCvpTYhqyfWRGcgii89GnKyVH3bgxMfD78oX7NYC5+ibVk8oc5eytdIj8kmpybCkNyLudkWwBR
WJdGM5yWSz4eteJbDdWOCgjvVLbetAnqyPMr6NnPUYQLERoeNOaIZw7fO3EBWxFP6rpaP1scwdbK
MIon3Dz0u5eifw6FtOl8FI/JFAZbK9i6Q7DTU5Ueg7y/Twbbd8KBxWXiSC7EVgv16UJSRW1bjGKk
Z8fbxGo+eHuOONHy5AKVlWLiqYaA2MLhHmjK3tUzQ1h4h0UFmJ43ahbkpG0SG/kwwt8nLiHr5yYT
hljOBvEW2JK26SvN2HDPC/Yu6Ec/teL6vq+yGFRho/Y9Hp4NlvF8z06RHPWeuLDqc/e2mydr14Bf
WRcyvOkdU+BErEV4JNyFQAqhFzg4RkLD18uggVXuGS+GweFpYX2oDBM4UMcQQKBGipXISlSeUxfX
exf2w5lZHn09rjb2j41Mirc8MHh4TOINnzWd8AQvIocKBhTzUaxFn9zntY4Kacm8zfEC9mCn20i0
HDNlT6tDWlySNtF/sgPWl0rLuOZGNd84LkV3Ncc65TjQ6V87cw6eDb2jQKDn3rJqY6ilq7wYpwOF
FPoOVn67A9ZoA0Ma0+PU2t1BTqV8MEfL2pG5qT9tzIwChEMXv5WgHz7HPKfsAE1uNfcsnrw03img
wu/Q8k3uPQOzWW9b6Toum5aJdW29cpcennuSBo+tGqxL6hjlLtILfGSor7cmv9N7Izf4ZkAdPofG
8F1libHhJoRFWJCPmnT+C4QjeA3T7JkbLFJvQ1D7lt1W3+QWOFNOH/lqmrQzTRaUllDDtHU4WKw8
XWkLeQkaqkFdDsd0RNCLqDzn0clGDfwW9hyGJPmNyAXW5Bl6VShZsfoQd9HUp0evhrbtteWP0U7f
62q4madYWyVD/JWmVnJwFHaKvoY6Qbq7WuFmaLj8uDzDjqlPN1Rk/CxVoR1BiUb/HzrdvzH3/J80
0XSMv+cTPrwn700LpPBPQ83fPur3oab7C3560gK8F5DWHOaTv2VPbRKmLjddsqQ6vizMw/890xS/
6DpmNeiXhsU0dPmrfww1zV8Yj4OMk6YpXF1I+Z+ET137r9N23dCXHDe+Rs8xMQf9xY5VimrUcHQ0
W5HbebbTgoWwamSS017jIRcwcofBChilsXfelc2qUBgKP1+QrU3t4b/ICXuejD41t4M5mmcbgjrp
hivv1Rlq6CTzlQObdLnRnT3osJ2TwIlNlTO0u6k2mcT1fUXdTygha3cLZrarhxpjal7Yh8hDoth0
XZ4z+kfFJ9A6jgOHQ6rPN/RGcQKkEojOElEE4Xl0e/vDhB2yCTH5wWHz3Ls51XGdaK62yas5XXuM
NzeV6tKH3gCh3RtCe5+uBF2RBfZHjlMOx3sY1sxKcX+ycQXUeIYWAN5eOMlLhhUGS5VY4LzVAH9/
5/T5+NgIwL3xleErQHa9TVMV+CRjxzeTWBmg3EJUdHOA94A2feUBX9nANKFFws+uzGD7yg/u8xgg
XF+DUV2FhVndsvAqFhS9896qK4OYPix0LCJYsIkHdFQ4OlZd06Wsyze31aGktkNEbM7yeM6bxsza
VZ8v1GPNWQjI+IcbhC8YLYtttajX1nKu7LqWoYPRkj47C9YraP9jnW8VDLwPs+0A+yRWdcd8zvqK
dB3jWEc91UJtBhEzwJE4VulMlMOsBhzq2VA9o2sBAr/ynHPZOeGqmBT5VTF38jm6wp8Vln5fYZJf
igqs8kG3w0Rt+A7G535os7uiUtF9qkMooe6bEhpavpqdudCmk9/I03g8HZe2iw4ktbvQqRk79fXR
1gddW8OpAGANhITIsUYq8V02CIZEPxfctQ6TA/IIc3h+Z7B/VwyExY9G9dBQAteeKuKVCYDuik0j
oELAYYDpXQHbV9Z2lw3jG6qvewayTmEAlEG43P2V0R15E0mGJiXxBdk7LszdYhXiNjZw5960V8C3
KLWewjevO3MfM5YJjvuUJg23gZTDDus/Hta11+fzXXAFh8PsLxEEG3Mf45a+0xdT/9gDd99lDbXo
K113i7fC6NIT6TbA5HpZ259VKxxfv4LLmb+1xziYbOqoRlD3tSywWBel/eaFCYp4rsc6IzjcVPS4
9B32WLMy6BFQ5Mpdc2yTLUOHbitKyNJrershq3PPDx+s2fC6FQFB71XgTntJROZ+4HC3Ts5AjBlA
Bp+cauWU9gz3petjCvpKkxvF1OrWuyNjxochTTo2M6qFAu+NAOFVMQ+TT5TFOtY9hHvin9zbtlxR
uldZRs1HlITcKbMrab6+UueNdO7MfToZOAxDW/CVA0ByHRFozrcndaXXQ2IGIxlhe+jXo+1V0XrE
vsdU/Uq+VzE76TSPlu4b1cLG91ywGyugHIuILdoJxrDwYOlDUfLeS0uL39MrZ99YkPvMfIibLhj+
giecO7Roos/atsuL4wDsH4WYnyOvI+5nYAf/rOGn37rTQvofr9T/cCkA0ObCpK2NelldlN6ZcHf4
xDuKavMcS3Jw7RFgM5neUtINF7Lv9AwAC7IcRJzQ2Eli6sjETv+Z1Njq8Y4rKqQoLCiu3QVdondc
X9ql0yAkLPzIYiNzjERu8O4mmnsxrlUINueHYxNW6Su9JchLbksMEeN+rr2opUsBArVgBs98nzB8
RSCSozHMZ57vsxBG+dWaimqG9FrTQH1a6j5b1/qGTuRUOSCcTc7OulY8DJYUDWF02Go39dIC4Sx9
EO61GkIfMNfnXHAw8zZURzTXFgnqJMKWXglzaZhojap7z5bWiW7oAfQvTRSEy7VHi+WMDD9m2H6B
x8PhC73MIBEy9+/gu0x7Hy8NFygC4At6kCkoHi0NGEsXRps5aBp6ObgbnUBKARCgteJHYZH85d8G
8TPTBqo1usjNtiAjzUM6ktkDMTZz/jQGQeA1qJxbMG7mT00j0mtMerk1FX0tGQUg8V0eISLxzXOm
W5lyKH4mS/cHuL3RXHdLIwidAxFBmbp0N9oMhXHd99ng/AiJ2f+Kz8uAT5lTHCp/qxpp6HldB0nY
rUEllS2u/0CiEZQOgaBrXYnsJ2K1cg7uunqpM3HigGoTuphZtayl8aSx6T4ZzDTYY/MTWyP3srW1
dKSkS1uKoRnGPuz6iHMfXSqV7pLBDFyJX6Dt3ggyDcEqzJeuM4vyQnK5PIca4EOn4N5fm7dw6B86
Cqt808ZpHeL7oaVIw44DPaeMZXCKTUgfzOesrzFKxCEECk/0BFhX21eTb00xbTJcXwPlfNOB9tGG
lrbT46z024Di2HXHyDpZkfWyXtqUC9emrFiJQRM1NBGihg7mwYIGZa4ZeSXVYbCoPV2Br1uih5ot
EZ+yyYQMBtFt3o5kQkZS+u5XWaqSHjOCZM8RZSNESWjQk/sB9vt4gZ5VfAWwXwFz9Rx1rAj39HKV
K89WmyAheWIhDCbaxugVbaARo2foP65PszCTtsyMk0PZZmIT4f9/wNaXbWUfYFXsPZqv3Nj41Y2D
9i1zzcYf54kYM42Aa0YLVkzXNYjAlSUD++KgrKwKbygIVhf4C1cEIFP7TJBO054sqtuIdwx9XK7d
tFOFb6i4ny9qYbpuct4wRGAqoFybkAyIvunrcDxUsWZeFGB2DOGjGcJR0zsTMBV3zIM3m823u7iR
cjuDPmC5VXbI88Yz16wIvYOPXbi380zpBpnF2sO4WXlnQYMvdlO9w85aNeZR1jVW2QDK3kdlkMvD
/EjSBt9Lm/gU7sFnRP0l/deB1HN2XKZoU20FVtlDCC5pl08SKw3RieRGr2kpXWE+dOyVMdrHNAe8
CtuJ621pG80zhyjIt6mnG5+NmupX8i7RMculGwEncbGlsimNlxBHEDsJery2dvQFZkC0NLntHJ1O
CNOWLa1mWjT7etrW9pkrWH6Qte4CNGSx2w5Dvex+XNApEyIsw+oOjuuGFsAYHgVmBj+XGcM+bJ7P
JnY5h/xpXB5cmgBfsdJ3yb5AZbrvqfkpfTc06mnTxXzKM/rQFN/WehDejElDR5gJmP4deUDdG1Vu
PwQN6WjGYHaLAkLciqlMZ/A+6SW5LPyYndj2TeITRIPXTDnqsNI4mN7LUA6nLuDlWQeRPkcrlnH5
nA6cilkyIhpPYkGL5caNLDd/CWVSfuMOM6g8gGnGPxmW01ESEYhGZWuzdw4KwQOZThi4Lt1CYlWq
dpp5bDxklDSPHULRKmG0wgI9gQ6AP/GcBpaO4MUefduVU3Aquh5rNh2P33kn9Ych7aPG1ysvu49m
ApyGEt6z0Y9Y/XvP++7MXjxNmjucXCm1t0kElGAEKpnvhzLp3lh/OS5YqjWsde42CYUkFgzCYbHL
CwruXsp4An7Zsce8YD+hptJaqpNYBESS7krm8WBoCOk069AEhsdJWaD7CHQ3d9VARav36A350XZ6
LEdlH5mHuDHsbKsEgy9GEuxu1NKQMYBTEYXxcW7t9CQ72C6HzloKHWICZ5rfeZn3K+Sb/LOpGUzi
h+wKY9Nwl3q2kimiRyrCVqzvBDBabc27N1oM1BkIYFNLqmQr52EAnsPEwtPey7px9hNNNG7pU4gL
IDoqCNCOGKC47viYbEr3FZlAdx9IWwpked5pFWmWUZekJILuXVKZ00yhnWyHll6ddsycTUh3prYb
C8s+mDxPvDFnmJxnSlEqaJym1ZvYoEMOrLQnwkFz5Q8gGmo+psEU3KceZ4K7rNMB17AjEAM+k6qn
MDhC1ccF7obdxhAmjuK1mfc9N5UMHhEyWBEppW6iueR4ROMpyA1Dr3Lr0uL8Do5Sb/ro1h2czr61
4yAY9kmDTDBS5XoPaFlpIL05k/yYmL7NO09NOLubcY7iA5JiTOFTWNX5HrozMj9tiVPzM58n8e7F
CbCeaupk8DO1w4IeF4LxDoek1gyon44HGM2rvqE8yKAqJabDa4rRlsLJED9NuwcUV7f10K1VUC0l
F3Lyzmzfatinrt4drSnX6bOSjb4vBRb+FiYk3onAHh+jgpawwxSTb9hGDODdVWF1YXJTWs7grJl5
l1SBpkazpS601/w2HOwdva9ecDRrPDHbKnHZu7wicIJjobpJEfNrDYFNqLTpt9M0O2vexpTjdqXG
Kb/JFt8vvHGQ4bAcAdhVx0JQo7wPXG9hyGGbj57ZpOzmQHy84JgjhuGMrkPnwiqOmz5/oqPFSj7I
mPXlfQicipqMCso5EgLBH9HY/V2iPO8t4XBHb9OEC8Bv+HHokarjad7rIcrMKdJQCIgdSwgZpHXb
rWPUymaSWGsn4JlvkDWYqiqd9rMordgTraD6qZkjA2MoyHdJEz4kvSKtU8cp+VaYbL/BOihFGu0K
AGdAAZMBHZUmN3DLv2K40YyDDuFaw4c5gJRvs2j6nMLaNAG36cgMeGcaSn/77rHTqc7p7NBk/yfo
cehNpVkEmrOHLmxYmwoqAE8ETwqDUwuOQz9wJ+ZzoRb2H43jdksDuft/qTuTLbmNbMv+Sv0Achk6
AzCpgQPeh0fPYJATrCCDRN+aof36t53SK4lMpbRq8lZVDpRiSpEejsbM7r3n7CMku1BfXZUH1DWH
TPXACtW4JC8qsRPuh3+diZSQVO8W7GkWtjIQFBh1SkGbvR6FEcFFCGrGhulMFHsvriTn2nvvWPqz
7dxZ6oNCQMLrlbf9W2XI+kj2ihGW0otvvLZUQ6ir1ZTgolwi6NfKte9Ii7AfmRU7+6zNq2POZHX9
YptcDjnJHtbgrJ+58sHBCRLBzzceRPNpVcdW1PNbogRG6SXTHyFV6Xxv5qZ1Gm3Tw6oeYNIefLP8
lOChbsOir3wReo0pqmga3VZENXGY5W0wDIh1Vptu/87gi710SRGcfYaT0B8IrZ2QBsdTR/9fBxid
YgzImkRxUGREpY7RRP47K3YXyN800P9jes3rB339b7vB/xv+AnqDLsS6/yzFfMoKMq3+3LX8/Ud+
9xb4/wos/6p0lFhHaQ/+n7al7/9LmEJa4t+Ief6/iJD3KHp8Gk1XR8IfTUvvX7jZ0CiBiry2M3Eq
/Le14nc5P1ftN6vF73/+M3jS/NlaIElsIcfC5RiBokT4BGv8LMRkbxX1VFOYOGNqnNZ+KkKiTy8O
AIOTNwPtwnvcRg4H8u3UJvOHbCpAvJiIfjqh08ikj0LTcvQZxiukKSxSjyRFzqDMWn2pQKv8g0Pg
Kgz9Q9H877/v1UDwJy+fayxQPvzFPARZOR0WB61iy/63kXXMuJsuGkI2IkIrXGF/uqV/caXsH+L9
v/voX6wQSDWrlp1lOWQJwKiVTs4tdHR/t3Zzs80Ho4nAdzM4NcnLKCz3br4GoNHBraLAw6mWo8Y4
LGuNI4px64bEJVSnfXqHRhb9fMvVk/Z8V7JPXmJNLnzmNdBc+loc1Jo9tmO+7cuMzpagR0X6Flrz
FgHOa5EZyxot3dTdN2nF8EVXw9Noi4T0Bo4TRQmzpmyt6lQForm4Q5BdeppCn9JhQhZgtM1NZlLS
LxWzu77VW1F/XcZUHNGL70k4MCiLUkq7yRQfnKmZjx5Rr/vSLuFqz0mGQW+gRxIoTTPQGl7bzBXw
cY18h9KcI1ECWqJP3YZc8vyDK+O7YZkeqB579opoKo1XR9XBWRNmelry4KNaLWNPGuO5XxwRLam0
bvI1uVQVtUuLBi3yl5xW45Dt7YlEstH33nTFYBFtRL1hZntiwAwOeFzuZpG6O0UK7BaDoB0aKU27
dpxnoHoMieMyu20gjVOmikOfNM/wlE7xuiCl7NtoRPhhkebW5B39z5g2GM7fHYaUOWoxtu0yUC97
1F/O1pqAzzFwI2ZwEc2WLwa6Jms1lY0Un6ekT7YywRu4oaG0oGrLHqYhsE+8NaQwD+d4ASfp+BZy
ynR+nkdjfMAKzDGscgTS4IFO+dSi2TSegbESJdAn0CjY0dFyNuldMJCdPdp2eYPgBMdJbm6VL2Oi
RqTYa9LJj47T+qFvNekWW3Ub5pl0adm3WTTO9vqMkuNEt2trNOMYjml1XO3ejkqqXUJVeZpnXMA7
TJ90S32IuDatsjO2RIGeUZOYPlZfHK9+1gVnNogee4CAmyD1n4Vgw5E00q2Sa+lyetkAZDtIGwRi
0dleWHuElpSWjw10aJkEx8QQBu7B5W5uOJ7spftS1woRsE2jMHVbxBrlkON7NsgzLnPMJR1KFc/P
9x3yCjg74mwk8LBw6k7RTAGwaVrtnZemLZ7IYTCixfP28+Q8XeWNUeHPEPPJ9caYnt9Kf4aelKKB
0A3tWJ2LOSJ0eG9M/R4vu7HFrPw4WAhL0amhMC2OsM4eM5+RTrfMz3rOyN3IQq3T25FDFtoi8pEJ
g5jVy1p2d15H2oQnhseU1gcFWJHtTC/YAvJ6KzI62zLpL31hQcOrn5XB0XYOdl1afRVmvdUctaLS
o8PKCSUNUYLeAoiCAbiO1D4d0dMwHnvzbvaSUx7XFoJayFMbTuTeLoll3VzNvOoLQyuX616Lp5ng
ToUh59Hg+LGLMxybdTDOTG2SmdCcXlZU/3bwlpZQqQVf6zivMMPCMnAWglswisZdSyMb0k5IiGEZ
zqSbHPo2I0qosIxNO6irl7VwH/zYQnNFzu0lh7l5KAkWOdmsi7QbxAcCaayQ1W86L2IanvsAZsOq
kfDZiSEgA8MbKqn6KTVrT9xANxDHoBv6xy6uhvtpsNtD1lge/Zicf5FeJmJ9tDq67AXjsviuhT/S
W/aydWXxvNS5po7S7A+F80LbknSm1itIUEygJ1o4wAyr7W+tzh9C4VOIaAJINyRSEtVS4KwKlMqO
yXV2nxu92JMWnm09gaAsaJT7WjES8uKV9Q63d7X69CAmP4eeLtdDP3nrxjCb715SH2h46b0rbSsE
N1QcVJB9spEUb50sfvAyGz1wGsNNQCIDOIcsUUB45pGWUn2LuOTxH/axn6eUP3ZQX5rs+zjiiZ7w
frFe+E095bVaEQGNBJGEwrGY7+DcvnYaUcL2HvqzziyeiDrVhwK+0218fbtSWlOIkuPuDLYZn5Nq
kNzn/QPmsQAyUs/Kl5h1fYv3Pz4UJhS2fCyTA923+mDNs9r2SPkiVYtT30FdRJfwHTmdQby5akJI
QQ/8HgZRV+Xb339fDle/Hhh++rq/WPJypywx0LnmgXyG+FH19IYXhk8R2sU1/PuP+tkr+fuV9a7p
Y/yF8LLrP//T2cScKLU0vQBoEN53TRMcu7rz2carGfVu+/r3H2ZfT2a/HEegaP/xaVfC958+zcgQ
4sxNbh3cbLxnEGh/tKt0OOZT8m5myEU6Weh7GqbpydfWetAGgz2rAGroA1a5BPlwyLmTEWX/vpTd
vMvVoE/IbYnfmDEDZhm3sHAnEWEKcSPISfU9mG5gD0WP9Hc2+X9DFkeTz7iZrxt1d92yoe6e//57
/tX9811Y00gqPA69vwzVTcNJTaO4VvxB89BklTzA6doMWer+wwf9wnX57fb9+ZN+OQoXeq5Tkqns
w5gMcOLi4Ju5KqBTjGJIYJdfpIU6cHYx1oOfZB7tQS7/++96vWW/3FJO/KbErOf73Nrrq/unW1pU
kxRgr8yD7EiqL4B7hpVtFRzdpHFPahd5HUNXFv/w2P7VF//pY385U1u6YXFrkJwajntNxXLfvcJk
Z+5jprG0c0/1Mt/G2CnuyVIgQnEi2ubvv/hf/grc5ACvGnB4hO4/f/NSmLNqq8w82BlYH8WWCO/s
gqaDmBkN16Js5R1+As6btvzMqt/t/v4X+ItXFzr5H5//yyoxTAH2qDpxDrocPgMfmG91HdunqpO8
xEbyD77Ma6Xw632W0Hu4x1BJ+O+fvy3IFaPXjS8Orq3yG3Mq4GqoWP9Wiv/H2u4v3hyu5x+f8st3
UjZusdJtnEOlUSxNfEGEVc5WI6X9h9v3V590/SoC5jrV6r8tfG0w1OsqxWGNJ9QZvgn1JTjy3v7D
N/rLx+TPH/TLmkf9MWhMzQ5vJ56YbNJ3OdmmwOL8mHTAwX4qEs1gOLkej2HlUgq0ur38/aPyFyWz
I4SHN90X6Iqo3X++e3E6Tx2jP/uA9qY9rMjHn1vLAXLILPTQ2vOHpg2KKBkxy2TjwvEtSbuQuYbY
eJXxBlEPhh6u7O56uqjPQOE/yt5G2Z9ZL3inmn8omH9AhX9+2KCBMj+FWXX9jd1fHgNCRYq4Wnt+
tWQ445hsNmYqsn2zlhgTjfUyB3LeYps6DIpkw2Qi05Ai1NhlJA1FrluX27Fi6wBFfOSYGm9zlNJV
S02jgA1iDe++t+2UHIEAc4TDymJ6Y0cEvUd5tviI7YwMKO7acLZq4w4Z5TcrEyaIvK4KhRydG6XU
b0ec/7Ee1J9bUP/7/yOFHciUq5H2PzeqPmj91v+v+/7t/ZtKf+pX/faTv/ernH8R1GcJwQlGXuEW
PDG/yew8ek+BTcEQOJZ95VuwQf3OwiDnl06VtHykeb8RL/7oWGE4hmnCT4KMMxmS/F95h3/eIwEr
UEuaDjI7ySiTDJFf9khd60D2gzvu21wHTzgbl7u6wdAU2oCjvxjBWpwnAVzqnzZJ6fy8yl0/GS89
6h9IPNCkOSn8/N4PijJ2dsdxL50h3mW97bZvKEzRSmSj6VSbocWcE2aML17LNkeENzuUoKHvlfaA
12kSci/K1rRCxev+KabNr1GiMTByzCXRod8zgBCqjdOwqEhdPUzWVVCGGgZmOdAupEZt4y9fsLBt
bL30UP4wXH2CwT+/LY0VvFSC0PQtWrrxYUEa0kYFa+E5S8sCcFAbt3k4mrRoasfLoNkwr/er6uxk
0B+nZLegr8f2VX8h/TJMNXk7a2M2kYqbr7C4zRty5fIH5H7ex2CVQOBjg/ihqjVrYGFQnkMShOIP
BmCfHBur0RwXsmDDOl6+eQ0BUghWdqA9rKO25hyLTnrvp4O3G2fkxjVhkqEBnjjLKlQmMM74ttbT
yGgXLZiFPbmrQzfHolVWzQBz0nbuSF1AhovwgAonoTlFbMLUd+4O4ifOIy3qjWwxMvWz9YZ+GlRK
4JyFqyKVliXdnH5fx+UOPSWczZhRc2cTTChxaKgro0rhyQyBwk93Uz90N2Kgn7PGkPNiRgE47Dgc
N1AxQpNAw5BBBjOFKfO2hQ+OXs2x3ms3oaMnlLkDEe0eHcFc3Ritbmv2w4DDRV3bV6kVrvm84mSv
rUMR58OOHGAyM6sCcSiWuYh6KduzuyB5Z4DI8MxMQJrWhvPemmNyGBwGG54hjdsVo+rRbLrscVlL
VUS1g6k9wWOUb8imu8Zi54LgB8b1VRI5vudQr/kMWLeT7ag3lFNFg4+V0UxIzJn3KRkc/8LM3PwC
erp6196Se+geWtfG/IZdPGmKGzETn8EBUWS3uRV0pMxjyxCOcSIloj2la9V8rGg4c63zntgssep0
3fbulBGjC1NLbuDMSomhQTb3FcGz17ha96qybArUFZXlYhABbRVSZZATpCpzP8OBrvaFkfpPlWv0
XWTQI4s6SV7IFti2FpvVk/5F9DaiFFQK44NF3uDOSdIlOSVJi56mE533SWmfFKwYkdtt59l0DzpE
fo/L5IsjVfpch5IMmRsCEaxjQTRJi17NT5jilM5z0/foF2EC4mBy/aucFfPXxOxYtqRpVc34Aq/c
TYF0eSh+5Gxd0zKdftr67pR0p2XS5rcG2vdeQv59Key0G/YaMhl1MLGVO8e2ln5jqw6mwwa8n/Ho
Sz3tECqs50JhV2eGZqFFr5mQg+guiUwaLPSam6wjJ6oV5q7lPzaRypn3OKyoEvn96FaWq3EXO8u7
TIovqkpvzDHft8JwdsOC6qMarfIwgo28g4CdRZ2DYkIDTSUJr7gJdAY12zQQYwiMRdVq6EPedre1
XNV9l4v3tGAs1jc9YYGaYl+A6rnUnlfsrIRvBEK33SWVl93T3tD72VD+eVhna0scTfNllT2MNMZt
t2LJ8f1XIMJvYkV+RVXRcdgwK87ONBTBEuQg12KiW5aRgIvFBTmJRP9EMk15BvdLB6ya6w1TYW1H
Jmlj8lvXLFdjlEfcdejXRsV7abyStAGYSikyhU33A0lfkFohzz7AvBTdJs1i/zoiG0/rsH5r7Y71
g3Grc50mx1FgLd5ltJ3QdYrVRlsJ8HSqkgzxUVrdGwKXGB6WAacAAc6PAAAK+3mE6A9seyn0sUi6
8as2Kqj5BNIXVyZqA3tOL3d+P6bhohuLyF17hrvqxj1NkTH54o+5ioza9Q+2z/kLhYEISS7jasyW
9QFEYUrrUaC2BaoYLkQfHJOpuAWDozCpxYehtKqQaPIT81lcQ5ZMT4N0v7M7ZbeIHdp92XdJvpE8
KeoI7mYOOZ7RDSaVm6l3pmjmRMbS9e/MF9AikxErboAFYo2x0NGqbdqTsrrBsJJc5nR8zJak+Iil
k2wTz/a/idQc9ktmz8zUeWH2bjdiFm5bmTvbcRz9204X1YvHfQrH2WQuUpJwhl/PuVdzF3+Bx2s6
T6qrWGb1Wqc6ajRiZapRHCtU3ggxaK7BDC3afr0kGZmh+SC+tEwadqQQrfvSMsezlwXR3NevBsrG
6upAtmj/KmROTFKlbQIbvLa96JH76A27TD9PheVAoIe0e+spD/H1IntSOkdmK4tfP8Q2+my8Mn1E
rWrclxrgw2wwZC1UHBLetBMMlFEJX3WvXYIcLDni7gNW5zv9OUfYZLj9SB89S/gK6SUYxXvnzYxb
LOc4KdqSHN+XY7YGBJkzlj4YBgHEGSkNkWWVGIbLebsOvbv3xwS/Mrkl0Zricm3SGQO5m7wkdpBs
Oz3xAMQTyzPCm82kHUWsrbGmj9XcLlcn4w5y0pZGirnTy2DBuQS7VhraRGHsZe9zQnB6PIz6Uiqf
FB3DhHY4z7ieFJqIROEHbz3Ix9yhactZ0A4VLXgmCusHgPNcyOoH/oMLW3Z1fMG4Roqmaj9MLmMM
cLz9QQc43zlqMB6Svd439AT2rEA+7fUWG0LRy60A1hHhf5cHmUOLRRN9r4yF17eynLuZ+y6mEq2I
1Y+zs4dkkm0L2uD7nhBUapDe5oXPHPfMcUFBYrre1DRwgY6rTN2D2wy2uQmjf9vU8fQJS0f56OmV
7mZQFt/V7Erm/xXwjjGYPuYYDSMGAM24m1zRIPBHrhAlnoi/i3QdDtJdfNJjSwuHb87Q0Rh9N0OO
aab3iQG6LCySUZwkHdT9bOX2G9Hd3c0oLKiggabuB/YRZFxvS56SoCJjdYSackrIboEiYbpn4Y/m
M8qv+FupYjr/LcEIe7+H0sXCZMbHXIOQTrjUwMznK8bTNrITrwoTSkEIUbIHzFLsK2GZL1CiAuSO
DvCPapmJGLHK5H0oakEOBqyPhptQV/e42oxnWtj5IUvVciYdeN3XpA28OpjIz0MHswF1iYQCy5Bm
R9h4AHJLEFmyJV54fS7yZfk25LLiNfWL4rHHJvEYwB7pwiKTacTRdggnjva7nKiYF39pxG2c1vUp
jU2xX1B54nddPPz+PAfJa+Z0TlRVogQ4YMzP41Q5h7HOxgcjsDWnSQktCN7XBVWZeSbg13s1UFRS
cnfNq+3ER5oejJ90ctv7ubyx/MQgvMtwR8lz5uDBzVJ006x4wDKtNSP+1F6xKff9vjEsDjxTTJKn
11FZbAaF/X5TglqCbu/G1W0ceOk+gPfCvLHmwFgt+lFqYz16Lb9BDXz5A4om7GtNr+1nJFYy2a6G
lZv3bBHsb2SmjgsLmCkjYuGu3GBoMAE4jZ2063WHQbK7HXChhV4ZvOWQa5hVkDxFXt2yt8Dk7Tp4
GO8cWqBuwHMAkE1qZrIZ5qXeVzhTj203qk+8tOujEShOm+5ck/bIh/iGsLa55xdbtyKBRwIYum/m
3rqdlBjnt8a2ZggCc9aVT+BvE4/KfYW40g0UeLBBk3zCbNrP4EotWOsbb9DAj6Q/MrolPvSxcqbk
eW7N7DtpItaeoRXy15UYg/3QC/XQLpb5aWgC53kgt4Ismt7Cy7gmGDfzLKufkspI3+cJCK4hHfut
cywNva7LMm5HK+dHwQH1W2836ymZGnReVTaTitKbrBVrB4yYO2qyqrm6S7D0FyzZvbIHNIqVeCti
z2EMLWT/7FeO1Ldx0zn2ds0nq95e4WzbpEKXOUK3NkPfTcgJAJTuITYczCU7tiQMzNGQGNBBBlf1
9NIWScpywdtLQp1vRg374ZmssWvahd21iGK9FCqAgS6fkT1IcP6Cdb8Z2+TYNYP9qVxBItcEfr20
6ADekGdW0Kza7rF3nYfMYPI+lypqge6f9ZLYUcJziEpLirfcS6fPSR3kR4n58SVfR+PVbBvX38pg
cT7BQ5pPo55AKQaYoa3Vlg+J48OkMJM5Jgal3HYL+D5O1OnNbDnToVPDehi4hG+jl4xkwRvy3knb
flcZpIEiYbrLvHw5EdZnRsM45I81YYGXQNtDsXEDDdkFYBMJB36HDMMrEaQ2/dqz4njxJUn9z+Dp
35Hxzw9DK2J06l1PdglqXGuD1i34DgrCC9OhynaOJRNG+lb60vvB8HHKeXNKo9Yf8zJJoniW9gUq
X3PK4Cw9FI3zPXGYStPqCx47jrP3ZUUHaibA6ZtjA2EgwsU6MFCWzysU39OaCLGF1DG9FKZNxAig
i1sVu/l9Q5Nsu/SdqreV2eqbOXZAKWPjOcqkSh9GGgCR3WZNC39oau8J4C2/dIvlPKRVrXfLin5Z
+U1/N5KScWy87uMg5owxum9BpspIPidrCkV+fw0yKAa9vqWyJLxhHq6JQDZnIOBbryP8pcs40sUo
ZRG8Zl4Xf44z1nwEx+oocVU9Lgk674yz2C3oefLw6BxfBiidT5pTXoH1HA7Mip/mhBcSipLikR8V
6z0hUMPnLOvrbbzq7G2RvuWCoqGkNuvRu/gexRo9O94uYtcY++AwwgbNnuJP+NFh3hDvEBe7tU3z
S43Q4qWErXhy2zh/MRqeK5XKikqQDGP/6mKvUtu89wJhneIrj8oYh/KZyATrkhpV/d2ZZqBAaKQt
bCq5vhUVe95moen+DracCmvoq/4sEoW5d8WUcTB40EwCAUdizbUuMNkh7kgivPztRz23XUDdNZtP
hbu0z15vqbecyOx54/0Q7M9BV78qYDZvkxbXzivyz/yscHbdr6x+L+sPuX/+Q/qPd9PpUXvg5Un0
RH2F3MT+MspavjRWtYaF5zVvaIDbiDBo7yPoaeL/iHm5STipoYVn7eAXyquoqDG2ZNfsxMBg9TZl
j+uBbEPE6Gq8rMWo34ZqGM/m1dmgLD/eEv1WHmhj43u4OiCUz4LRJBmgdI/RR1JUxqNbFm6YI2/a
mF6oWeKZTTVN/Q75VM63yJ5T92BIYgpdlISkkkyJ+VL/cGC0xZx9H4Xj75DoL1sIabPcxCuKjk1T
L8vHghoyStDcHpSXYULhyyecCX64PKxUOdWOU0B/s4gx/WQFmfnsEeAJVAY9Au0f1Twuja9mGkFJ
/eJU3Xf1w0PSeUv9tqIT/t5wBgXvY7AMxcZKFE/XRO5oGHuJF6VIaGwRx4T5acGJ5EIZZWsOJ60B
bV3NLBzGXlhkmhMIgScRT9Y+GTLjnFzNL2AukV0FpRsZElv+QNRpOvgEbCrnLrbj6kYkDJc3tnN1
1cxxcXR1XZ/hxMgjGDAeB5x17mmt+gE0Qmpft6lqVzSwpQO62GxVijfNWM/zsPiXLFnSiKYHxOwg
Fl9SHp8vrSmQwhc4zfn5sjvLVLiXkQpqJ0tbP+aLd4/0wNyzN0+PRWzUmDVMnOeD4aKlMgjawEfZ
37mWuLv2hD4JGEz4ENqJIWth1PkdJ7tr+jnr1SXFeEy3izAmLH6pk4SApHDnefPq0H9bCbolfeQF
Vk4pN8HUyweOBqUTFmkR31l5Bq9o8tRBE/Yc5thnIhuz7YaABN7LkrQGXYI522lCGms2vaY/Oz29
xNAZLAC6yWjtVN+qT/liiwvumUIBFUF0ogh3e7CzobuA18WWCAXtPjWFfRHE/NA4CxrvPOCaPoAK
zU8W1t0zjsr2nJHS9yjNst3VjD6TyKp5TxeyEe9orim9ZT7Gkcb3UGB3o7FMhJC1+TZxlq/BCgAJ
65cdrokl3o2V9KcxXuMnycq0kd6AbaFriU2Rq0/mZz4ku94V691V0bFPLa/pgOJX/mUmP/RhNWbA
AqT/8I8MNC0SitbbPJbeqXXb/ANMAlbBucEEaNkS3R3NK4bARqvuqAmsF5kuThMJQZBq6zkHW7GZ
6QbrGNA6yj0MD71lfPD1qDb5MjF/WaqEu4nma5vP5fzgxVYZdotvHHUpWwK+iBxfjLr7LJhpRQZ6
zEhVjNrXQJFoTFqaWXV3o2j0ri8wpJlkOywb/uiCacBYUM7etEOgh168TvN2IXWd2aJjp7zjSL2w
RPgLzPyi6002HohYZhmoFzxY5gtSBVIxhyVPN3Su1iQcJUmwXomTZeMwGXouMNOKHbPZeYlWb8zr
HamxojmPIEZoybaNxXNL8wPbWJEYHxHGqJMvMGfhbKI5QNxEPj6uS9pn58aT2VNKUgT0jcCg2buC
DCUPq8uG77lXrXuSDOTnwlrloz8Hjbnz6tIgkTWXuERcuE90QjoCZiBASAv3GgOwR4WctginIIPU
VfhB+3FwbIIWDbGsmFAn4Rznqxb6tNLqf86ctX7tCBfdG3nd3c2DfcWEup16QFyOjceC73nfTjTi
7NGpwLHrT66ZtYjUgWDDoww+G42d7toFkWtme/ZJ+Vb1kqtcExDhz90O9yHCytosaaToI1dh3SoY
AbCBrspMF0HDk9bjHEFWW59pX7onv7O8e3uRtBjyCYZYglVEofa0/Xe6Bqj3ktrCPSR6RgdknxgO
NvSpP9BDvmZaJs38mvmSDYIW6nLRleNth/Qha71hiJJaBs+FjuubBEu8U8i+iCzchJfYYic4QN5s
CbVacZP5ZAo2YbrMgyKEHlPJhq4zoq7WtudNOy1lEAEtwyykbTq10dj4dRHZdgOSZlms+9IJ9IO9
WOtHGufTgyGHegHVUe4z7Lh7rVr7g10U853dEnmUESErdg1kskjht7mDJL9Ql0++/KzbIv2UzbI8
a2aY971hFR0tSDN1zh0J3IJbgBxhk0JhB9nHKSvUnjG+LhiFaP9zuN6l7pxj/MnmuznoIfN4ThHU
YcGFeGjynmDDpCULIDZTbwgzxzSfkphGL7NLQVZK5oFlNmIK6ECuLtupckNCjCik5sp2b/vGVI9d
0ohHa7Lru8Vwiatb8DB8WrGm3so1J7VzJIfjIpSBhSGrVV4fMt2ZHyRRDucM6T2szy4TDFIH+p9Y
gCvvlC9G/DUrqvWtDXh5tlPKgY1Eq+7qPiOVPJILkbr7tR/LjzxtCDfrMmMnoOs53ylhx18nA3Fm
avESuSb/kkeW39E29XoB8uad0jQGC9VV6szazgakAvGunKFPo6Bh50PtaXyQRtY+zLL3TjMMgRtn
0iPS0HT4rgYn20se244Z/1W+3Ol5/ibzuIr6coioIco8JHCkPoCW8k7IH6po9JryycFXdCLX096s
pCG913lnt+GK/WXflqI+5I4319GckDpktri9t4Dtm0dKJLrfba0+FKPtPxAnW35dW897Wq2ev/Ss
QyoZO5KwGEP3BGYy7sg8ZZw0SJrtwDV8qielv7IDVRjnQb0+G6tpx2Fd9Va2bVR6P1SeemxQhzE9
YG2pN87gODA+tb6vbK88tyY/ZMYNioJVevdyJkByI5Zq+IxgEbeMMEfr4g/QNGOPqgTExFQ+Qh0o
gEcGudU+xXGzPmDH4I5wuMHVnckHhlv1EcFL+qgw54ZWMbv4kjtKDafpt31vpps1neK7alzkiR9L
IOF0xpcZX1/IH1/TeCy2ZtZgIyFQ63YgGfR+mav3znSjqhiSsEsbfL95sFykXqqnbLKnfd94TZin
wdOCy25byJK0RUnr8qjJVsxhlaISzy0hn+3pmnInPV6e5erpK3mvNz1Ax91I+cqEZqDDYWRVfCTz
WX/20kbex0Igw3fsuX90ONBTCZQuEXY+4I8Nkuv2lI2uDcEnSBSulrm/Ybr6tUH3Wmxardy7NLG8
yyQb52GmnfG5JgsBKD2OTYKZBsY36cDTNIlrEMwc3zdZ7YeJoKdQ9IP1vQWoCfMOnSkyykbBM6Xt
3l9hbtNSgY61kvNgePVHG+I8h86AI0tKh7MwLQKeHaYtyJvN9oV5qj5WXN9t2oHuJ0jJj5D52Vt/
IQtyL2zXYTdNZoZWWlefpR2rC7PDYVvKxf8+qhpitVGU9IJN/5MgkaXfLEPpGyFuqOAqq+Mg6+XM
rex1oIKxzHQ6K0vRyqk6ZO1Mc2j3tu5b6zq1E6ZATI4orngi6ZFkmPHR0uJ1Y5ELvK6dSYtKn9ya
mQ8IhumZJEvnvZmW+QsMaP2MQ34g56uYr+t/XA83MsjJs1zBO3zuCuaX5DZT9NAi5WiyVtR4sEBZ
jMfB95jDFNpmoyl0epkMIb6UNkgxzB8IORm+sHEtdSCPMf5HYJU2Ikr2YLDBLWjqxdUJO1edNMde
ua2DXN6C5pvH5fIRuKfF3CYNdpbVsufXXaq3eFebOGxiy4gj7WXrZchQLnNERfTmBVKdklkRuOoW
i/cVJ3hGL08w8cNw2bBbWVmL2t8MFrCN1dXbRKMNNXqesovBwSL1aSPlYHc3wTzzMSCdkkOsAF0R
V+SYH8qxZ45i1QX4D29uNjo2jCNN9sqL3F5d/4eJl24Tk8X5gZktSdkTA1EvrGrXfe+AwxL4Zjto
ElEjryXb5SZ22dqPWlRmEXnWOr/SbwZ2BaP1GV8BsBpfw+VNglmHDvPB7ZSJIpqzUqB0G633wmmu
m1iJoysuYBE45jDGOxcVQRjQHD6vlTBPqN/n20Uw8bbNa5O8Ssmb7HprC+/d5M0aoaPl04Nj0BlN
1UR1TVonh/DTEtclfunawAdpqmhauvGb2br5ZeA4cQv9jfVrBRXokQp+A4zcCuORv8Nch9YH3oV4
FUaXgdZNCRHuJ2vbaEE6I4FOBDDb7n+xdybLkRtZFv2Vtt5DBjjgDmDRm0DMZHCeMjcwJgfMk2PG
1/cJqbpKotQp616XFmVS0TLBABDuz9+799zuJe7r5VYPQ3lZYYthjI7+yyF69pBbrvlGnBhW2NrT
l0WPOgtUXKqDOhmTNQCY5Q0vX7yP4Csd9FLhRu3BMIxVH8nfhH7/1gY9/Dwkx0a5gqDlf9cGPX+0
3X+sPsroNf+DMui3P/ebMsg3fzGRGBGS47oWlK1/peR4krwb30YV41vozBAI/VMZJNxfUGG4pg/z
3xesLPzofwBcFqkCSI3QQbq/pqb8n5RBf9Rwuo6iwvfJTSBCiQwDpb6oKt0zUD9nPL/TcZ/hI09B
HEfQk2UCXLcr58Pvbs/Nbwq6P1jnzrLYfwnrfr0eRaFwXJc7gpHuizIZM34ITdKnN4pzdheJLD33
G5vbwSqJlZ/peRXhwhyMtrnZMtQYGL8Ak+/pNoV5wFpiU9nAxPkbMeav+sOvv5fwMPPh6yMxzv2i
UzqfcLG+F96O7vr3ruT3QJnuEQAj96BWjz4IBejFNiCoJJ/W8XySujePP785PNM/3RubDBzQDQqN
1letFMdSFU5p7+1quvM7Jj3h0aNmefj5Vf7iiRMShBPdtbHQ2f7557/TS7vcZBb71IMCjH8oG589
tE37kaiEVTNiMPv51f7iM0mbHgtPnMwKXqQ/Xk0LbZlT6vk7vwRtPHlnV0iPTf3nV/mqMuMtBqTh
+T49fN5h8eWtEmFmNaMM3Z2MCz5GRtMD5P8dJLO3n1/oL26eDywPvxGfB6nflwtJY+GOnl/fkOyF
VWGkn8hzmNLB8yGn4Or/cTGi1nG0giKS5peLTb1TVW7rEPdjQ07OPYuh7sD2VSwItqZU7X9+uV9z
or58BxAuorhyWBFYp748q8TynEW7EWhdw8lWeoABNbqheZeDtj5gBM/WNQ3TbUylsV+q9AyGLsIf
dOsAsJXMk2j/6p1dFsPaRoZvYYdCUahsj3wjSb3dgQ6p115con3q05L9r2BvXwHoi4dVNTZjUHcL
UxKZKvCoqbrVRaFvf/4Z/+p7jqxX4Q+lafvn93GEPjMCRHZ3URmLQyoN7zAPErP4IB+NuQRpELaQ
QKNP145rduJMPIxMgP7mVv/V++q7jnB8dnHJDPnLtyKdnVKGub8jj4v2ioO6xFTQ2kwajD//wH++
ko/umvOqZ3uYpb4+07imnGEcASOQVIVg6j36alXxvY2ZZv78SmT4/vnbwWTCtMwzMBLuza8//93S
0hSWbbiiBbBFZbbJBiPZa1b8G85I050yeBFE0z1wmimw/naMOzrPBJ9CjgQermoa96AW8x3Ow/NU
qJfqvucQ9CrpCOwZPXR5YAOZuMc361zSA6ouMsyhu1LDGFvVpC9O29zzJSNXUHJm4fYHE2Levo4d
RfeeATAhtc1a60ZsbKl9Jm+9SZi4jCoZ7sZOQGEqLNCPcSqvS2lNSJniVoFCnwQnci+5Ds0ifUVW
UBwcVA6bc8T3Hko9HP2hcQ+EpLkvCUk216Pggy8tmiIjZPwNy1vRzxPhyQJM7HNS2ORhXdDWT3Bt
ANlAKtLXD47Q9Yvoy/rVIyKe1LgGwkM8N5y9q7HduOUwn/HuwBzMLr03zLq59syC3MeJ2fkafxFj
w2m0m5d6GsITCqnwKfaXZDcUjfemxnNtHpr2t8xIn8tc+GgFjEpdpB3AWYiuV24Rr+nl7m3HKPbl
YMH00UMk7tD2krJgx8q7MB27vV4G+kdR16hd22gCQWkFB97AaSjMG1quC+Sx41AlE90BJnWXPh1s
1HYZQxsUISEBQD0F8S5vxuGDkol7QifoMiamAOx/byFxCkNumY29u6mclryWcngiCimljSXrluGL
Nv0nyra5O09rOjRdhUP+DHqMsUGNqZV0LptBFZuqMUMcwxEqXlJo2fqZF9CmX6WEV/TrbCCAWES+
3pYez1u0A7dvMFr5CrJvBMjjoxuBtZtsnFrKb3Et5gsIA843FIjE3HhmFl8PUQM/3cMqAIuuN1s0
LWE7sXI6s2aUXYz+EyOHLn/CblzSjzLTt0amfAY3lLzxPlq1+5zeKyLBeKw3MSXOsSBICRmX+7lE
zMTItiOoeG0Cgkl3nqgxcaU4ii9FVjTHRXWqWuPon/kKRTT1GPLuxEKBs2I9KH4oWw4+tg6kUL6j
m4P24YHYUdbvh9CcTopk3mSVOpG/qxgz6cDMimLtleFV1k8RLhv4QiuaN/y+8Yh0gKYh0uigQBTn
rwwjWS7FqAHqWc0RndAZ31EW93Y50iZI5u2EWOtBmP60YaTcbVt+t/1oVNHWbwBpepLwmqaaIB+p
ifcjZ7Dnr+K8V1uXtI4nelfuhT03HyhRmk3S64T6tGm++6HPEAEse3MwLMTFykhFkAlQyitrYSxk
oJ9dY/bi7qPgoctEkHk8zYzQSk07yyGVBJ9S8QpbPL1KS2vce7YO3zN7kSEkk3GEhWUi0+IREwNv
m/s0MfLNiLd/Z0zswpSi+m1gcHkr/Hbe+6NR7HRLpGIjImvrmaDnCgEmfaBAnBbLuYBpnW6mM/dR
96mzGupjJBOPIarXdLhfRywEBAUD0AsfER7RpNVWdG3AkbxAN+u/0pi2SVKQ3YYhvi1XOtTktZY6
3AtTVnjjO1gskr629Ayo3BmpVqqmOKbFHF9E9fDiecD9vcqkvy+ZbGJI7kEKLuWpy1HjBrUzLuuq
TByglRr6qmvQjHT6lAF8QeFty+WqtZt4M6Tuci8atz2B6kp+TAkrroksJ2CbTzCxZ9NNO1TjIaUn
8VLTZwKMtviPqnEQ9OvZWJezi+TQT1965atd1RbTGRsE5opGWF7cIYUC5hYXpAP2NkrjLCVfBNMA
aZXGtrLV+AFvo6OFUdOh5LtmWC9Mp+2Tk7enMQSK49UpeQajOQfCma1LyElOhLomzrc6dznw59W4
rfBZIggnxCVFfbyi4TUAMqvLZKsdtwVBT48kLY3PiSimYnTlA0XSsuuJJziPHZ5GhdbKwodIjm5l
nZyyIz1MX9opnXoXJkSwsIITeVG+WhWSN7Tbk63xAkZRBR63A3EFey9OFmcziZFGRD/aV83Yh3el
SSqDG0boxjzn5FRoAfwz8g9S5ATirW++hz6pXS4gx0DNyw2TNW+bjgigVwrJz0vpMhOz8mjeonuA
NOiZDKQDpwQ0RLJiWT9Sl023okzsfU4LbqcTMpgsFpsrmvZwZhvDv4/5vN80eULYzadcczdUQapF
S8MBpUPeE/eD7jQ0N9Dos2GjCEvy4TMv7k0OchzJOovX8xDr9gfARhyYjevr/hAxJPEIcSGtumuX
zxnlNTFWZ7mF278yV64O/HXLqvMmwiMd7QSYaEgYn/M71v61yeJD+oHZ7JYUrSiZstk3qCXNEZ00
zfseqzlBTTQP8ygmaQsVo6WwtGWjvtBLOF0jKH4a8E2tSZ94tCECBzab/I1Cd7FtkUdkzHctBJWh
GnlzszYPFtdp7oUy790ELH5V44Xz0Tjuu5YB7DS3uAJJbDz0gORY5fsSVbrkpRiIAdiRj6F2LCkG
EQKQ6EbwtZdzV4ib/szZL824/FZ5TrtpHLkJUQdflJrVYoJx/cmGRCOZNvgeO+DwGBGaXALSlOMH
sc1grCqzLNapbskTAu1IzSjnrWF4FTC4isy6pP2shCCXivSRe9vyQZKY802iQbXPi5RgA2zabMRT
DE8Y6aNPuWR6E/Nsrhv6tAdXNiERnb6+WwA0bdsifCekvb8ihi3a5glKReWlSNqztM/20wAICuY1
UhOod0i5zFvIyR6ghVhsSVQiVimUDq1/JyqPqeRN8CZhbi2771ZIOZdtNSXZBVRNRkYwV5IxYJYM
c1timRGTyC9gMmTdtuy4I75K811Y+tbBoTm/IujiInP6l1lP1Wmqpqspr9p3WdT9ZVPb9focm8CU
Vlz1EBw2fti2r3arJDLOZjgUct5llfGEuQadfg86boPQtjxW4G03cT3hh+lV8Ti1U3eFE4HeNZvg
fqrB9syFfnTqGDYasvp14w/6vSnHhZ2booB2apXALY7GdS1Ym7NKRVegnaNbayjLgMmlWnmFgDlp
mzBDaWQMN7TJn+u57EDa9JexGAiCn8dNFbNuoyCoN3k/rXXFQGw1VMsO9RVSU0azLXOck1gYGogk
SW4p7CXwxTRczwsmmFVpe6Axp/KpTQ3CQNxyM2TmW6mSfT9a3YH5NLM8JnGoCVwEw0hD2PsmvLvk
myKnOMe9Iu2vpLslrhYUXl0b3tGvcB4JO0GDkD8ME54AsOUItUcJUSuqd5Ty2caLUFCrOAWvx7x6
Z3P9lS7kW9fI8MUtSM2oyZg0x1mhGcRTXzePc9d6K3Bkx87on7xUDDcxQBpu7Te/A+hux8YboMon
YWcnEi7vo4EdKimsa6b0H1H2oUdv2CFu7FdmEj0Q0RCviqZGd+BeJtI6GWIh8Mbt28tcG5eaNwiN
qp8BwLYZoUxuuo2Q+bNLITith52tmuJ5sd9pxeVbTzRWYI1pEeRwO1a9nKHJFm3y0FcJsOC2fCQR
4UmRD6Ka5jWrw+9TJS9j0GOOkN1Fiwwq6HPNWLeIH2Ph74HlPgC4AI7dHBje5gHRule2IhfaFDgz
VD0wd2N2vupS+GPCANriSPoXcSMwLo3NdlT5Xcq36sC44wdth4MCTm14jVwhbWXMPRDhlcbhXlli
uC6JQb+ea7f96PLcp2kmD0hniqOfSLUdQnLOijH8gZqfgznH/YeuQZl7PuTzlTWkeosXq94WrROQ
aya32jfz45zheRUhxApKKdWgiUDaEudejz+kTNeehZrAL8uTcJhotOVErVKTTHHO7YH9wRGhHWGy
9NKghuEDpwJTzkTczspznBLDHM+bc2u1Gg33HsrCtWOPSaCE/j4Uy7btqPNLRfVZZEjdSIdZWXVE
QW/7d/Fin+w0fO7m8oroTAemEM+dwCKTwWWuD3G81Gz65aPZOVOgAVbio6tfUtCBaxwGNQD7H67h
PKucNKhFs2fPdctD09lTLez+Zs6H4mmiGQqRQubASSJrD28cdn8IrLBuIKImQ9/tYifGx0hD5OiW
5wmWC2GzKUZqW1d/LxlH7Egb5pOaSICLdLiWFlFASKDQ98Lo+XTn2L5mMkl1p+x8O6MM2RpMO9Zz
Zp5KzizblPPPcSxDiiNMg1LoG3iPaiVrr3mJa0Puyjjsd7RY7kHxV1jisNUM0RXWte66bQwklKwd
G5jK6lT5AmMj4TLJLkFUf7UIbH8a1/LWRCZJ9a+f7QzJRY8xeivgGJzxvKggRzU9CKPk6FLizhw1
+gMYz9XbxIc6utrN12rikQqrr/ciNvod+615VTcxBhvsaTAB9uW8pBsIO+JkkqK1iRjgnzJQbk+t
Vaknb5If4WQJXBvlsItz23zG4tbtSSow7ut60D9G3u2bTiMOwCIDl8m2jR2O6mE3FVNMgBuCM9m3
xcahjbNGQAw0vAH+hLQTyyF1X+s+EhYWGH3U2VvTArpJRSa9ILdbNO19XPeHtsBvjmL929xQKqJf
zd7IJysJ1LLmINaUQt1Z7uQjHqNXnVIrpSZuhqaUzO+UOta6m78RmrPmwKQ2OV/fLbrq/hA6qb0Z
U4Q6uoimm4TpMdViBizOBROG9+o2phEVDAVPHOCLvyfawdpO9FIy4PU9HLAWutyk9QG+/Qbk8rT1
+aJzlkLuiTllQAQOGQf2VHHygWVRxuakTGbWiP4hjA/1Mmh0dELtiryTF1znDPrNiJqSgjTCbPSO
EDhDei4Vs9aEap4D2P3YChv4NaJuNXUEQdrji5WRgOUu+amZ4vA5T5Z3juP6zh8bkmUibSAJMXri
vzI9XBhm+yiEfOay7REg8yFWpO60MeVwCxQ30CEtN4HngnjYRsdXwjToDZXozjdFb9ILKgziIYoE
tKVHPiyCzXor4yqMthz6nOc+Yl7NK1g/DynbdMgMd+UB8yUMAApwMKeqvKVXUT7WxugD24rr1zSL
7btkSMwb0TT2Jp45GiJ1S/RNJvwfTV74d/Tjzu57PECFU4PXDhfEGQSX0GDqXeBwpb5EGJptlD8h
nZvQ8NRNqHBHVMXOQDsbIDovV7ZrJcc5RlVDwkPlrjyA7kFaLt/H1jH3EZG1L3EF5y5PU02HQ/1g
kppSHPgzgT5WtGF8W5+hdkC3hzm5ZDyZEudppwdev1vfUTUcpjJq9hPzv0uY5tiHqyohAmUAgmqg
SV0uANNDxXfgFd/Oqem8D/CexdFASkJOImazwFaL+4KR2sw2zuhOcqP7OPnE0aDdwK7ntL6Mo25+
WArMgkFuGjrckNXUORCLdf4yKtlv0BZy0lu65QECDLKUIWd3nDOHDEl5n6qeNdPX0FPDJt6i8z+H
ABGZYpaqDYiGlo9hBsmhG648ALXH3EW/UGXsHXxX8+VU6gLH0Rlus3LIpEQbx/B7xaC3euJC+pEY
sOqF5Gb72qqKK3Ios21a1u6ljH1ri80qZpnzupLEkto+drIQm8XB2rgmBDjcQ9oeHsdmXu6zcGge
SGBwTiasPyBSQOTM0pgBmKR02du8zvfQoCfNpZOesJBwUcRxWKyJZ3/QCkuvVyAyxIUduefsPUSS
zsqJjZTIPRzvjRvRS5+bLFxnGZsBxo8exrFq2pyB9Vi/IliHA8czyR5c1p+rvvD6D11Ko1iFHCZ3
Pbfau2T/jrNtIvRdKInKsbI75fnFzh/iKZD0L1c18dKnUfY3ToSkhU4OYWjhANN2IIP5LDtKwhEA
bMjCyxxhi4aWyX+Gr9YF+1onaR30ZHMgKcQ+OWWyXg1+k50kWiayFNontyGuiawv4HZtUatXxVFq
7w9IKzQJBZvRR77nLl1/x5Ey5PtfgL7Gsgwotua36uKXcWb3E7KfNoaVmTtaH+9Li4WvnIZlVS0j
nLF434wdqptyRifqheZNe2aN2eSkr8qeBLE8QSdadmVOqkTWHG0vwTpU9hvkmcfQwV0d8LYAhKQr
TK5s2J/cNhU/pgrsyLpIi8KiBp/dHSxbEjVC4NsXjqv7neuC42fxMr13xA/+Dodv/Uz7o74tvba7
i0avewG/k15z5zkX07rbWoN2r6nlxrPx2dsWfPvW5iA+ujjSe3+xpmtJEnC4whsX/qAHS4VPv7y+
KO0IM7TDmkeQYeu67hYn2TlDJ2oADWSEiXWf0N6saYM3diFjbJwYOxayRK7Q2rX/yF7akwYCihsp
5ExkIQeOUC8HkutqXL6FyUjV6zCDkb9w6qAbPmZqCDdW7DWXbaTGdWieJy5hYnyf6/qcP0uwMVxE
Vv6xvZPkKO7AE5jXtEVc/urWp33R0tGTLlKtrU8t66NdaER+XWcs08QMr5j0wCzQ5RrpynAd5vm6
a1MiUu10wwkIJL6uP/tFP5bd5D8CZCzZdiPc8ei+2mLtWgtEuOl5aYE4O7Cmtzgo1kab4QivQeZV
c5Ico4qeEAOdQ5QnxlM7GsnaT+hd0nbH2hWThUYyK4a32AE0wKmrgRy/90yfw+zgGDReYm0fqGAJ
f0h0oZat2bErQmPz6pbWzoi+UXtdunLwGSOcNpBOrZiqGFckSc/V1jQK+jh0NOJ7BKvygqKvOohU
VRvk9vW9GuaiIshTWe2qLlqm1DQ8FGF4vehuWhtjKwuYrR7MqG72Oos4RGpOK9XaDh19xOREht1s
ztM281oQjRFtTXN01Qufa9miRQOV0PQSgP8yIIfixJKjHYsw1FhLY7/PoqHoxbhCaqFfwsmgs1g/
evN5sUQCSAs5s0P701EZErMRm+IuZYbA9ka/5BmFlPvSzbF7qdO5OuH/de8YfLoHJWz70ZQgANZK
GnFKVe2MaGrz1v8GoKY6W3yK8oBCuIO25ZjgbxZF066XBd+tdMBYsTaAdH+gy7IfURmbT6GZ1p+Z
W+Im6Py2uMaRj+xZY4gnwsV3sncchuYhnJDVQiFN7hNiryIYeUbLvlOp77PruNcIy/MfObC8c+RI
dN1PlYNOx0Zt2/ZR8ZpKfznWxN+hvh192hC5wYEJ7Snkeh+X172P06vG4O1Yry0yq/2ou4G0ei9W
N5kJ3JEU0Ta6MRaH3m5sbEVM4IrZ+t1nVYrqiSFS+ExEbvXN4Lu/MVrufMrtzLAYuQRrlsnyHM5V
/FJiM45WQNq7b0Ib6pUusPM9J6wkIGYMCcFZM+20lPCLjb6n5BU51objsKVU6aZAAP8pFo8UPvo2
QQk1b9Wi0S6CuSntJwPx0sGezPmkx9H/lqJnCky3rZBYeslR0WZWzDG6eltXOnxdaLLwBajy5ptH
QvRxodamqF5yUt4pAJHEFS3ZYoN8YPMqP4ayr27w5pg7hg0GGjIJjJUyLyXy2vie0O5BiI+Mgt6N
ibYWuMZuiLL0Ch0HQjeW/WZjIzK7YVzWccqL6HfJJKcoKUVR388teRXk3ub4nmZJE9IhVeIkujE/
OOPsHc7cjWOCcus9pUgjDgo2QROklotPRHhJ/tD6o2muMcFXJxYMD8RywpMj/lNXO47JkwgG0XCK
xsGfEjuU5GhK0aCKNyvV4y0N6/HGNMPmXiKw/ZBNn5/Az2ewC0L16TvSgyFcox93XMMIhDXYnxJL
wgeSy5EI2qHqv5VIT15SrVsX3JOr1dpLzhLKeXQcot1Lon14Vf11zID0oZUNyTAecFMkk2Fr3oEv
c54ityjey0g/WT5d0bKlIhlmnKJ4/yIL44NsMriE4/xKsknsBpreaU89hXXfpfW+7NuOtp70h7bY
cgzgJvf1QIFhqHoxj2ncOAXoQQupIFbT5GqeOolhiKkra0RUels7irsL7ATaXUNb7rbj0vDqFERB
5IHw2GwElj8fPLxhnobGgRDBKyGuzN6lYed2HagF5UavPXgHaF26fQHDU6frwm3iw1Do6i7mQXlb
x2udR5JtCRQxi8Z9pzRyhpWfFPNbit6X5kpeu+m+dgkTCJgYE4jA25y2O/zM584gSkIVuH6pvmMk
UsT+UPJfRKE9PqruvLP5atxFkPvblYEN9Bi58w+tM2KvyNybVhyt+Z5QI/EJGCZY5O0CekH7TmeN
OQ60lnzJ33U0hrQsOxnEakYqYlmXsqOFyV7gaLWzoT/FpIXPE6EGUjPwsPnBg9UNQ09YgwNsto5s
DEa95RKTQN4NrbPWSt/C1skPrpNIEeRRZ1prFwUz8WJh84YSdGbXdQhAHxjdzBdZZpDcMnbqZWmY
OjDE4PBGkEyR7XWe2e9p3pkXs3ZKDrjLbO3moSh3djaoIE8BtaBIrhjmeeVhhL7YbFyGaTcki00R
M8ie3aQN27clrYmwrYWhn3G/noH4VBNVXH/ag+VfSGJ9jylqq5txsQ0QKQ6nNexi+jTPvbFmVssZ
f862joKaYTDt23G2gUvGqbn+bLyBlAI/T4GVePI6Z+67E1ETPcRFYSeBaI1pnxZWPGyZ28fbsnVe
JRHMdwZEizcDJi4SfPMSa3P1DoozfbTdOIeHN1Y+zV+neYF8gKoyqqyrHPjbXWSIvxNinIUWf5S8
+KaDCoqNG9S845zlE79TLMSZ6dZ13HjnMz3DU07MN65CaZl3dcK+Tal6PVhG+mgOA1vpzwUTzl/J
JZCgMAUFyoXw5ou+B2w3lA9/8nYzcNFrX9V6P2hiLtkSz7CjibR0zmQMxs10eB8XthRNDOW2HjKL
CJn2LauxV3geKVR5beKFLxkwlUjqtyNlPPNmYd2U0WjTlimUC5WCBOS9Vk51HJ0UZXSLLhUv+mqU
9AZtlFo5AWAZJnq8tqSw5KQ5YFYTu2LKDNI3LG+tztynXvcOFYp8mHoOB3KcrZsmUW9pCVnKcIdu
T1o5Ii9I5tWKwxhSqQkkxs9vnfizjBAsmunDTbMF3UH3i4it4FXi9jlU62goOTeYN44zzRW+PnJ8
LSRLI2Efsw1pgBkRCO6k7eetn2+oAs4ag/GckxL5yJLjAT5pX6hN6qPFNjE4BNVkXExmz3k3zyiA
7RREcZq5fyPMOQtJv756vmSg5Xj8L/qcs3Lud69ewl5SD772d6au01+p0kseeMsUXyxGd2dNg1oP
bM6Ad9v4aJlm/8HEqz9o86zWo+EmrTLjKwaQ2ivRbfz8Bv9ZtkfAq0PsAlg6H2Xql/sb0cNTFrF/
2OZoVDGKjMjSIgHwby7zBQt5loPyj4Pika8AS7v15To1A2OnDWt/x/iTkMZBuMZ+hCC2nqZc/RAc
4FkjszoorbBcA1hRdwlF6LSmMQ6yrhP+NdanDNkMX5ZalsU1xnpIPFm4IKNOzIe6y9qnn98a6+u9
Yb02LSlNpJPAP1g4/vjgGnL6aEjw7g2tYFFYRCkD16Q5CJwDExvHkCc/u67MpAJUcEYiFMIM4gGm
8OzMcFEIonmXqT/9xkf9t0j7b0TauOFt1tDfPcT1a/f6Hx+k8nXz1Wvx8V//uatefy/P/uef+E2g
7Tq/CJ/cSkRDPuGpvvoXutH+RaHO49UUzlnUdpZu/wPdaKHdRgjqI+ATvAOoNP8p0LacX7yzpNs0
bcfir0Nz9yVc5GdhI+dvwB92KH4x6I8eYmnlIhP/Ak4VLsdWmY/jhgMP+CsS07Z4iERgWWzjRpFO
fyNC/tOy9Ov1uKBEnM39+EI+JaKHCjDHDLY4LS+3E30OS41Lb+Qg/btncPPbZ/i9FhxB+58/G/xh
ZFMs5NKV5nl3/t0S2CvJOTOOx42wUKhEhcTaBfjVQkci6lNGUOSpX+x0l4sOfFCj/XeVV8MNQ6bs
UPgOnpzGyKyjOWPBI5mgZaXK/Eg/OznOtRXiGXmlVGQde1O0P4A1SmJxLRc+VDp5+P9QIEwunYrq
wwh7aPdeZj0UHkfCre3S8r/oHG3eJLloo6BNFsw2qet8dCquNi25z0PgtYxv+smIPxgS0d8rydqo
wny58Rs2LWYFMzAVmB9B1nfDbYrg6qJB8T/sAcbhFM9iJjJ498PwGQYtO6sgNoZGXZS7WGpJZ+XQ
EUERATOoqdHzFPcoybjkDrSOFiQdu4P+LGDsH91WHdyI98EaepwsZF+Ws3oo0fDDs0xtjn0gfC4S
Icsb1lXI44KClYDa4IxJIAiJ7rIpblOsvbuSGSquHOAtPgy5poaJbvsGBAOY6IHZ46AJmRStyI/P
Y8gBNLuTTGKto2l4NOb2JfH7lDG0k61nkp5WykVEj1MIMnSabmkfYGZmObctxoTS8DdDiC6T8Nhb
gorBORh3GGzY2SjslTXFO9J+nDV9+QNT2SHIsEsFodbI4ixA+CQfr2Sf8i+M41xzrPZtzqwKBzqx
VXFL+8zh4kIVgLY8kxARGjQYOPnq4OfgxHoqSvJdwab8GENedavNvTWqmV0ymrdVptfe+Y5CHPTX
oRPfd6ThBuYk3mUfXlqZi3wtzZHqFTvcyR7gvQhbYmvDO4MKVxXWOzinrZ1xjC2YEdpm+onqP9tk
oX6R/AdV+5Vtp5+Zn1wWHbTFOsNYPoTAfuPmPuIAAnofoCBhZSGZbfDi45zgrdqHjezh26VpEjZN
dJnaDrT5lAPmddPJq8SoXkoGIsFoEz9gjzl8LtymPWc0PIRqmxU8PI0MH/4D6V6gbvwNFm6AhR5W
psTHfwvJ8krMcXRlh9OPOGyfp0iojRT0fzKbtFEVGg+hHZHzCVtvgReFjuEsz3ErJpZnRI2KOKpl
1U5p8UJkMR8gJKEv5HL5mPxAHoJMBjorWiRgHBSJDFqArZlcWqGchT7VDWuccGPAgwUTM4NPwqa3
MmA9rYizOIf7iuWhM8DMw2l5wKA+rUq3uBxKnoNj1j9AW1S/iZv/vbn+zeaK1IgK0GYT+N9NUKeP
KH7NX+c/7LH/+oP/cEGJX1jghY0gymIjYOf8Hz6y57OTSqjJxGmh5vr1J//YZIXCOsXVgVwgdHRJ
G/jnJivkL0jN5RlsrNhrXd/9v2yywv5CSPZMhR/Alux42F1896siv6f15MnCVeeRFY5HUmcUoEZ7
YfBj+QlsrSzPj53CmHuQturv6Xt4qF5GC01T5If2Y5OiCy87pRgJnpnHdFhBBgZy7PDyQOeyH/3W
tU+w3s3rwjBkd2OjnMPfOvkegboOYex7bJZw52jkNfWlaZAbNbc0iaSMYhQ7YRfRU0KqQXsv74K+
t0ADWgQNer3bv9QOzpoSo83GMgk7aErvzlwAKxJqdTXPcDV8hj3sOe2g36hga+aRzL2bgA8bXZop
PU5aBtbC+AwJ/nokRJSWau7tCEos9m6vQTmIROxD6U3rSC72fk5mBNRO4wdMyyZc+fmsbkfSzR88
gE270crGE/RFP8BVBb/Rt02GMphzcth3gcDnIAZH1E+AEMb+LqzQC69oRd1ZEEI8gMYoTDcVpgbz
UgiOasgfxuG2GTAOg3OonOgS9GQ67nCCoeuYiG5nQoDJM1q3VjghBoNIgum2StnMI2smFjUffMO6
XagB52sdeUyHoW6jPVnMhlhV3KY6PJA3ZC2H3uzgqIXD6LOdp6E1bHoqlWVrD3H+Ana3AetQ6E5s
rcXzvFUeC4eDGPBFwFxkX8AkVu2wczF6vpsVAVxBUXOQKnVvPclw9PUa5VG0rdL20/cnfNZjc0NI
hrisNGgxZlTG3pjIKHMVE+LYDG/GCd2FYjaGRmgq/JOtMcmxu95aSWZuFdHoSOdDzh+NNMdd65Tt
O6mm7r4SRozMgzRla51XJkJJtMEP8pxCiUilUvO6SDrvPreM+XIMoQw7UyLXSdvl9102N2uaQjmZ
PWXMBm1XR9NFhWi0aL3MxDv2evY382ItD2GZWNuhqeRRwZ0EO8kOyhH8OkJfzAipvSewM8GEr9pr
I7LCLcENEWFsNl0EJ2dcvCJ3wKWSK/j/IQiO+SXuPHoNqa2JeMqLy/9m7zyW41a2dP0qHXeOEwkP
DO6gC6aKZNFJpERpghAlEd57PP39svbuPmJJh7xn0qPeETtCjgUUkLlymd90LX0YhGeM9IHVOl7V
QlczD4MRUFIr5qkXqKjOdEmi0S9HpHULNPsv4mnOb5kiTl8G3i0e4XWEq1Ss4RVMLrtIeoIyM8bo
kmpXlvYnlM/K+3aF5DdLkTdXbJ/A6qQ/TE2Zg86xm4+4wfd7Oxkznnu27i1s2r7Y7mBcFMo2XjfD
+rMeRwjWSPWVAZx7fIAUch6rs5X8CRCC9XFGYDfHtii3v+Iwqfb0Ri1ETFHnCpdlGf1Ua/TAUrQx
gPIyhqAigL6CRkSS22SEqOp5WCyZ8IwuLg7Iv1yKcrCIMCVgflOMT4hko6zcx8Vd7AKT7fFCumzX
xL0FLx99M+YpGv5qYvzvsfjOsWi7qqoalHz/+lT8z+rHt/Jb9R/fqh//cZN+r58xEbjoC37bv65F
//6kv49J/R8uRD9YDLoAJUKH67+OSVf7BzQp3UJpXLNsKaf/z1qUMhV2JeRHjgmbtt4/j0mLUxcB
fk5WySvlX6j/zjGpnp+SloCvxp2p3BkeKXzaq4KNjn5vwe3p9slc6rvMLJ8rBEsD3SZhT6IOuN1W
vMASAQzv5s+ovTDJrxUGmLQZ17TGL92pesQIZ9OL5pTgTzb7y0P+Q1F55nZCniBgMELBpFrmiZAa
vL5FhKwocPO42ztltOwY5WkBVCodvzr3OAHZRHHjxuoBL8YaCS1Azneq2n9xAwasah6VDZX49Q3Q
Q24c3HqhAsTcABnE5DVqoe/0NEImA4WAEVwHaFt8oxAzh4vAfbz9DM5K+NMjsDgaVVijFoYUZyV8
b4ATKcqi3XdjLFWE7IcxoTRoq/cceeQH/dKb+PtCmD7IHrr7V1L1S/1ubRH4zLVu91U91QeMpZEv
H5qnusVf1yU0e6sFhonJhr6bGFZ6JC/08xft3sQM9VhGjhLoih5964HGBR1A8Q8If02e3BfI+S8d
zr71uu/QxgoUEpwdYhR2YFoNc2O0lgPs0GiGjNpdqyQF648HubbWF4YeF6LrKebSNrqMK4pADOvW
PT4FyfUaPW6zwWott4caBbsQrRCg5H3+oupbHvRT8Yz0ueMX0CM2x/2JxeMHfbM/v/2GZGPj9YNj
S+DCLFQMZA06wK/XiL1VoojTttmbeuQE6Ol9yaLIZ+6EirSmQd5IMK2028kN376uJlf/6wsbpKeW
TaatncLI6wuXjWs3PWCWvYOrQwBUJLuwnW040G/RfFo/PSpV2+RRJZtX5cqGRoGpAVeDwK7LfBWw
SByODmW8abOnTmIaboS8Sd3O677IOGCkpy+AJwVD+XfuXfZVz+4dTLJsRwtIQvT1X9+7GF1jWpkQ
7aGCVz5wAfMKWQ2aCRO4vXlE2sYeiv0QDeUNFTm+2eqF9N0dQYZSN1oXfwUgYwkBbFuMynZOTzHp
Knxpe+XbQGROPTw+v79937+/awO4hEYvi4BkGi6nxq9NrkFLFQEbs9jPSqeT6BMUwKbkfz3ozmpA
1Iy0LYAUaO/tzz88MM2gtymouoRJifTqyqNWRoBBO0gUU994EzAMRrBD77/9/c7a4QQBAxNGijcp
6KATcF5fpSqaUlfaotjjDVDt7a7NL7soeX77Iugw/OHLGC7zCLqxhutoZ2+/LjvAsrgjAoYtXiI7
6oqd1dNTiCu9R6SMTe4qM2fLNAxBpW74v5nFixob2z3T9cCsxoRzh16CCnfXK7FHg28Zi0OBNGMI
8w8gm0AGiarhAXuQFTi0fUOy2F2kuH7TO6GrNSH5Fyr6PASIzyAdU5t7sRDfoAprXtq6SlCn/LM+
MdUjTc8KoYNC+G7EzxsthcK60UIF2OHsWlToDqd+bqOlbgi6DQVmtzFQ+ek/LYPT77QGN81oyJ7L
LX02M/2+bLboEjsaxMjpGnXaSLdrhIgp3IpywRXA94QbFnX60sW0W0agSzt8Y6n4JpcFp7K+qxgd
tqkpnoGE4Z+Tx4/t1mzhVLgPCYsDCxjEtmz9vkpdhjAoDQS6NgARZbfPMnozoOk/NwttKUNB6GlZ
KriXBhcr3Mz4poqVsKxBtpNdnj5eHF9vWw2GX9F6tB6/Vh0o1ngstQ8wBUke0o2DeLMUlBKzFxBq
TCzjwQHGxf3Gw/Ch0/KfyDHB68XOJJ6hzE3wp6AwNn2Qc4D4iH7CoeyUJ1v6bBhR53puoju+6aBX
NhrgWohlqHeb6bNu8DrMFvqq0nMCF+uAiYdRHs2i+Zip7kOLQiPbsBv8PHKSPckP1jvjZAAO59VU
fffBSjf0HprxlgRjH9nVM6rc3UU/NjRp7QK+0UJ3vgQ26wFpsjynkFLjxQu0KjTD2umqHSakiPIX
mpPuHlPZ3o8Nvmg/lyYd6GugDRqmG5Pja8K+ySM0jdSWMwBgKi3KsRV+1LDOa3lkrjX5Va5yqXXK
X2gRs2J5s6sNtUtF9oieownTC0BbBXJ6pxll7y9R/IIkK4sAKVRYM7PjK0l9XIBIIjrJSV1s5bNe
l8XtyGDDsybF+YjtbbjBObF0AdV0Fd2VFdkPYij4jqSnRyuj2Xx6MWQGNz22BAHTwglNadbuOrNs
BPLcYBCAmzVJ+uxE5IxmrN+jCOHuh7V4dsQEPo0Vrg5sjdPC7TbuO6qWEHUu1MVLC3l756FxSWQg
Xud/bYGSFaaq+n0PUMQHzMOKNBogw4ukMaUy21D4vLps9J2TsIIgxcEAEGyXZqyxqdam5DgLnFMx
q0m9xmHR1kP6fLpxbpcsBmu+MFM40/Cy667Arfafab274TgI4nWD43BhJw10Chd6MqrbsDPdPNiQ
AVCthXuC8rVLBzfzsmU61jOC8Rl2ReGClCQM4eJF6WXAsumco653z9LN/3rBpTDvtaJ9qhv2lbVk
L61kW0O1ez6FCxSrXwaIyJDOiQRVFnOBno7uIBvfjcU0slMHutwzD5FigHxoI58iS7Z3E26ujqll
x4Iek5+3RCUCFUj2rXkytfp4Op0AEQMkg/weYicWXWpW9rKKKLrTEPsoSZK81IK/2vUVUHxUEYin
P6qCYKJrrFzILz1ItRTgD/vYUPjciVibWzUPZDH3sESeB/IrGc7QrCbkFdbNKSiNJuElGfon5jIc
jKN1o9XYAbeFeU+9U0FVYavAQnxelZRZhc4EoJh4uadqAjXUybNSXQnksWPV9s3pG85r/iK3RJua
9/IosC3tfmi4sdM7aDQX9qsyg/WmoZbPRyfOTAYDctlgFoHXkUn/Se2eRGaAC+po1Ddxgc8LS6XD
I+KvSOcYBBMT++56NYmoDHgCosl82zvrgA4m+zdjZwIq3/gpx1AOhdT0GeTbQSUz9cytPm4xRiCo
AvBHzbZcniJxushEzIppxKW06jnjGadszoNdNC0kUFRJuRNnCXvZyHfg1rPqxyZM63ELlbzEpt1F
I80xUU/DohMhNMETO50res5N9TJ5zi2ToUsUgKVecSZDsDBfeZByhS0bwRhy471JpAlhkKDvUrPo
OpfAUzQsq1KOGByUzva6S0Ih326fdU9pxQ63E6I+VVC1b2M+sJ2oCk7xt5DRES4AQ6Zc1XeKW9eH
NkOwWJ5xncsFYjxLGOmwgewtP1pQ0ndaS7gBwYQ2nEyH8ecqgnHu8mslKtZHkbT1wS7Z3ToY351Y
8ufTWqmG8jlzkpdqWx4AnuIYYXZMViYetTxtIpe4mA9sgagb8usFNy/fUiyxM2jvAUMG7msiBgq2
rmpDe9pAa1rIvZ2U50xV5udgvbK2TQ7gkjjw1qG9IUq2SDMnA1hGRim9WVrAJhKcD9TNDfNxRqG1
diOkegcYvf1M8ypKTIEV+BY/J7YcuemqkYaT2kwwotN+j1UGqQb64yiRP0VILYYLldV3xc23jzhZ
NVdgF2nGNsNHlHjjPXVOirq6qj4JQ0X3uFwrMmLEqpNRjXxdh8ccF21obpRJUx3L1KCZ0Bw0E/tO
HctBIsw0z5jpDtL9qy8cWcDlCXlyu3U3OhKyoW0sTFvd+HlUEMHKbA1Aax7pnjZvfYhX33YFq1xg
t0Kwl2VebTe5n9Cm9Dne+9A05+TgKmV7k6LI7sMeTJGrK5gEGqXw+pEp51LEBjlKO1GgMSKtVp7Y
pHU/s42EbZjgJagtEigiaoZAsw2A7+1TIXUtXHT0dhNKAdcTwhXoGOv9vlG7zEuZjXH5jA8b+DAp
D7hLNukApqpj2I3mJSPlr3ERzz/zoUtgeDuRPwNF9Sigvje2HLyv30e69Cie0yxM4DUBssaiRGlR
pGE1dGhyVCkDS8FACjVCYFtaasHS1Q9KxmxVB6MTTLHhkzzfKdicAAQlTRRjGK+M9JyYdxon1wq8
9bQm/hrT/AiC87KzCgd1Vnrmrqv8bCy2tD1reaBBkwvyUflmDkTdrFX1i2Ez7sHhol+A4VSn6PjZ
IZiIiNLY+12qKoc2TQR8zZJdKyufLWekLzbCUjqmL+pSu2GSkD+peLyhB5Gsj/pgtPINbzDrOIGQ
fY9e5kypwcU6xaeqHY0rYxNPk0aoUNT+CW9AUqq87b7H6EQT3iBmAL0dYF2TBCdLu9H4JWMS1HCQ
2hSNwCXjuKHkRzkcxVYLW3UVpQuAtsC6mo6fkhW96ZLc2Trb1AFdzyGj3uuLg4B1leZeV7Jua7lE
KZj3xjw/uxP6aXk13QNIhIrvlh0QUSgmG0eBvE85CVbpPux7idePOK2h+GfPo5o852b9BO2bHNkU
9z3GQLsBrBVK+v1yeUJbpMIeMaGK76piPjar+pUCsg1hk3RXvdC6R0gqXzLOtHhAQktb3cu5I6ih
AJJfZzN3g9mLg2jCQHYtwynY7O06HznxJge89mw6D0xin5u1PJJgLHebvXRkgfp105HXKKp7VLPU
om7E92aQQqyobn50tRmrQ0Ahg1bwXdPOujHmLLkTndp8SQXPHlbsEMiBdWGwwhra/YcR8QASLJ5p
CU3TTwzb+VTrFRouSjo/lK0CwLtjuaHGOeE3uHpzjkknbl46E1fynLxNlhsF6sK4s1wZpEsyvmlq
yL17RJOzmRxT26ZmX6XZrq27+gC4eR+Jsb9QXQb2SvISc9ojwDEEfWXexDr3eTrRh4UiTKY7rVyr
AD7x0DZMqjxyAoprHHj0VQkUbnhnyDOzWmvGH7Jq2RYaRLZlQjWOu6e65OiZ5nG+jRu2lGYKXjbc
of0wrtHlSmcShkex3ObWkH9oxwldG4FXUAwmYrGRWy2o6IPTKYfndHVMJ5AHroHQZ4wQ3TFuuEyh
sYYX7Ju+luBWf0CidT26Fozn3dH0XDQBkDpiNblrFH0r5p5P6coXsaEOW0bofRaceqfVT70ZDHYG
z8XYXmhC8K0KKd+ObLSr3aMLS6kXcXJljfJTNqpMY2sPCKJO1yaEgN2ayzNQYhXGWoP1RQ5FUIib
+86tEBge3IbhC3Q0TSRIfhPGaEbmsAxARefmcKmMW0rEba4QH98Co+XyEqDvZQYJVqpot0UHRWI0
ANQoyaz6LiT/kNXOETfyiqbKuD+dve7CPk2M6OHtwt/8U3vBkiBZFf8sIc4FBKdsgqGWrfkeOVYK
cZ2GrTkMT21DUzATUMQ3kN58C97ysBVbmGjlSKhpPpntZ+aoD8JJVfYwha5MM0ZbKIFl2w/5FN8J
DStRvQRyqBVADpMZa9Jmnu6sEhYc2EMS4CF+PDUyTzUSMLEfcCCSF2tBk8EckKXGKQmjokFqyOIc
ZDVLeVwUlYRukkmpTQ00gCWiXso16muT3Avbw7+KsFHVnQ+j84PpVHdV9QxSjVhmgYmEzVDz+mbs
RPhpqsu/3yJnIqAzKAC3RldAQtd+7UhlsL7KmJ2CxRw1pWPP0WUPjOlgaSRdZW5+Sk+BV6o9ITYl
qySSxrdf6x+aYhBW6bIZKmLL9HNf3wI6da2Zavm4z+weeou2JYe+I09KkAxCmCxDP8eaBFieVH+n
XSXtls/biJTvrvRcJmDQS3p9aXa2CvfZHfdOu0w7k6Duo/Kkfkhnq/SNrWm+jiKLgkhswOSlw9FU
Th/dRtuv+qI+vf0Yfp+nQP0XtgrhFrafJc76wKM2YmhRz/nekEFANgyMgS1tI0OC8yteVjHR9e1L
yq931kWlP2oiPgiOVSXxfv319WoQlJvoBfSR7gRFi3NAG/Mrtagflr6bwB8pM/jaDqG5eCoPb1/9
D7uZOQE3gOzsaZT1+uolD1UfQP/sW/jmOOqikVdRULyzwv/wWOkyS2SIQ9/ztzEVpyniquQS+01N
DW9EVcWHvP8VfNpN78LuH4r0nSueg4JlFxQNXZeF6wJW1M/1Y1skI0lLymEfp1l/hey3G6bgBy8I
CbRyZuch4fjcNYLumUSclUsBEXtRG0hSLfh9Js1b8Q5Q+Qw5erol5oiMflnsNIHPFhcezl3qioY9
lmdf68Zcf/6V/OYZOV6xtO+olZ4D2rmeiaisDUMdJVY5iHz9bkew21ZU5f0eR4GbDpVdHweMKqgj
I/UEWTPoROsb0MzHBvG3QtiPXWopuymdr8FO/BicGd6qiZz5OytORrPXC95EQtkEx8vKU63TSOSX
IZXuLM0a28zuS0Qp8QUkebZaQs0oKo5MTbtA9OCY0CT7rA9NIyVwyGiTkpYuWDq1W2hMkceBKtAg
AmH6RJKh3yCpAyM8y75b/cEcxOJvBinIYF/oQAA1cpwxTjB1iccsUIY4SLAJ8+wtTjzsFv1CTh1z
rHt2mpB6a+WA1KQua2shcE6NqtITiLbwaGhlybHd6WDLNtFdvP1szmkUvDI5SQbor4NkRs72bFjq
qtMyUBgi5BNRLqxmG3v2EE8A9Ur6YrbUUUiwUF9wRdlBfBKnr0lr1TOKFrsdx6ZVG3HSbVmXXzZi
VAITiGQwybx5y8lK+zLermlJIJfl0AmNy3fj2bmi6+k7AE9FsNa0GEqLs9OMXgZxviPZJCnFKwjp
NJ+eGgLAdvc0aia6hVZ5RBe0C9TMxraqQO9tFs07YVVupterzDYBg1vweHQEV42zJ1lmm97gANju
ISNeaggq7CQYFJKH9c6FtN9DKKNDFeIBE15bs88jDVOQCAJ23iCNRVcwI+9RV1g7rT1UL8UG7NW2
6UqlsruMp0G9q5AG3Wkj2hJRCdd/bpJnjRIeETjtaJfUezkl4AmbWsuasaJ4p7997HRm83pBG06J
qF3eXnh/emkM8BiAmujfgvI+G01VVK6auiXNPkEAFUsduLpdtTReidPNDkEXeKTz+EPWSydMKSJ8
L4hzvxOxfg+QKLKbzBN1sP2/HxNYYfd2o6rNXhj1T91dUY3VMFJAvknz4KO+czXt9wmWbesgFZn7
6qqwnfOTFzorMEStYX45x2HeQP2UY0lkEGLPVWOTBi4JtTRJge1qxLfICjzVS51fW9KuwBBYpjnq
el0Y7XaYKLx3OdY8O6OksleifrrO9Pn27df0+znKHaOHTkJsEdHPgQSdudhlv7C1bGVNUW3E2wRz
0jwYBfUTrWyA1aJ4Z2j5h4Sfq7EiBB7ChO3znYQ0rTPXrYYBckZjs611g0J80Y5ZbSxS8ZJ+alyV
VLTo9dCeunJ1GpWyZ0i/XQlKrRZ+ilf3PmJQBFd4QhzS1NVLWitq2JLNNpj9kl1Sduvm8KRt5Fun
nkilUjhJNlQ42DKapSb9Wjl+MfAVvs+pqLwS6yokoGwD4TOYWSmwzwIs8k5VGOo1qA8ivIB7e4L5
rWcA9dubckIJ/+F+memTnGYbdYHCCDO377IStgDghcMimFBEX3XMqbymwTVm21iGb7/KP4YNC51w
lYdrYEhwng04G2YfaA7t43VI7hCnpSlA+RJqpjFAPm5qzkCKXGD/z7TN6WabvGhoVo4/jxqiQ1aH
0NNKj+gU60sNr1wQoGhtGUi5+MOgfTmNNo1GdcH8lN1lybj7Biu19+bNvyewUEbILkAzaRICfBbv
u9hgBNvZ/b6yOYyxw60k/ZgtYSTTVYzIrec6W/nFcCLbhyKRv3NmGr/HX0dD/B2kMgm7ioP86zTH
dZYcknGFRGDBFK3WuuVOzen3OwWdcB0pg09VY5Zeqif5xQi/1c8NTshFoY+NeRp1Y444wiiweYo3
lilnFxMlmwEQ1k5fhTpe5mv9BM4SWUE5f6C1gXIjneoFocIogT3QyGmASZM9oym5F6Xs8S2ynbs1
6X3XzgZGhqbfCPfYTdIGByeuEIY6XfvYfeF/hh6FIn5C7yn2lQPAJrcZN76z3H7PujBCdTCQht7H
qWzJp/hL1jUxq6uyOan3LUOK04CgNORIWGUiBLhXCbahmHdxvl2gQAQYMyVjQGyB4UFzcRrDbNKt
pelc3eO0vi9kfGutB4irKXPx5kvFRN+PV2YRtijX/dt3/3vcczSLjIJ9LyhTz2ukcVAagNcYeSqO
sVcj5osyVOQr7chTN6rAHvPtK/6WPNusKfJTijJ45RzsZ6sqUfHi6nIqQVrbzW5tBohAcnJ/msX0
p9c7MhSaiC8gOQCNoH3BnHNonZ2OfHjQIcYdmIBZdkA13gse5wfl6eZM8lr2m0QNyb//5WVi1pRl
Sl7l+zQBRzAA40YqL2EKwLiskE/l7Yfxh8vJLQ5SSVcpJn47dvLG7BlE5vvZlKsWaseqkFAZPWuH
2vG9itg5X6s2MY6IAqITIBuMgrO1mnQT08YuTfZJkphILU0GsRCFhMVwQ0ZNLgqJORkJStycGaSh
h9Sc0ZBSlerGqA3782yU7l02oQSnj7e95SxBizT3DsBtG8zsUZ/uSn+Ft2S1h1tt4d9VpcdKzyAW
ST5/ug1V2Kd8eDqhCcLs+j6lHX6RjZUqYeJIqeCh62eO0xyoYYzEU+p09g1UbjyhJxO6GXNIR7IN
urhFwAd/z0uwHAoTlfy2X4XhSS+Qva3hRGjAszparZL56N/Gt3jRIts64ZhdVI7jj8hWIV6hPKsS
bafO7XiPAYsWIl6QIalHpRYhtkTbEInxkZwbm2jm1H6Vl/olAFUTHFjuZr5VtlVYNUZ6OWbdhOih
gU7arET6XreR8sfTMj0qTRTT3/3YDMZtnKSar9AdvnIsdI9zHOe+jqDv94Odm+9sNP08UQc7ThKG
/wPlqiWo11+vZVfSCJWCUx4EhXM41T16AWqk6gWTbXKpTCvFbdO21T5qZsPTt9UItEa+wBppM+iB
6BdnMJF3dmdnyK8n3wst00MH6CHswxldRhZQsCoO2pgESChlXRUyRDA82ZUI4ZQoD2s9G0dXfnxW
D7dDoj2YNmiTGenpwDVHPYBwUR20rHfeaTidH17A/thQ7GDyGAKNOFvqRE646G3uhEm3IamOAyqT
2Ld373nwPF3CBmFousJSfyN1UoWZNAKkLBZqm3490X6d0CL2c2ks26PowrNR3quKzpMCLkrshG5L
h12GjbMIFSP8nllJZ4dtbbcBwy9ssmB2MHaDVufojPQU3ewv6k5EHjJT/TttLfU8t5ckJRJkpG/o
rEoa0etVtbZlMWVljaCX1SCRtmQ9b1vf/CyTF4xM96JxByx3VO2BtkO+Lwxrenz7uZ8QcL+WoKd7
oEWOkAW2Za4EiP8apdk2nS3lhsLMyhVUZdr+UBp6RyEukI7uptTFUF303xaxRTc8SOOmXkCdoqvu
fFRyG3fpycaQAnGIcCw350n0Go+y7cnuEkRh86T7MCNGcGF2Nl9nQDWqbQ3raDdz+0lD1BDqX4Ua
PFpwd7odN3jVKMU7ydfJAunVdySBpWUK3Vqncc3Z/Po7rumALghHaDiyq46z3i2haGLVc6d6ujx9
CXdMijsxx/YRqUnVY/AYee4mNr+AtuFtpGA+Qi6dpydRfHDjBO+2OlPY16K/WDasEcFiHJTJAkLm
oEmcxvp9rpV60HTpdLlhMX4oWqsDAbA5e2uxJ6bafaCYmPWaG+q4hTVsIHxqOWOvlLBstM3vInMX
Y1wc5l3b3yz8ZNhYExCLJP6AB6oCpXIu7tatQa8XoVCcuC7NGdrwZuAeErfJdK2l9vCk4Fj+9pI5
GbKcP06a8GAqbVrB0NVfP87GdeH9UDdhk97ROxmVDr/F6ZjG88eyNCJE6g013AYV9WVrheNJx8vL
0J095A7qkuh8wG1mvuwVLtssq6bkqs1j8a2V+m5ic7crPsU6TkgnMRE2qgONpBHmaWLtczFJZRr3
iipPeNLggoFKb4St1laA+rTOw5b801isY4ju9ENJQ9rPcZx/J1gZv0UrxHaoNmkbmegN0y59/QQy
NAQs2ikmmn4c3ohO6181XFTgMBssAawdtGCsnWE/zIsS6kqpAMRpkysVC/XDamBsjPTyCDm7Lh8R
FAHekbLt8q03851jZkiIzQ0L04oVvwMc54uONbIONYJaqZN5o3DUYEWEEI8KZKc14+M86U+GgoPi
6tofoyT9Qa2D3hDzqatyUOxDDGjjOq5S524gnwzQYW4Ddyoox6uk8UskofYWvYG9wcgvZDDJQp+4
5OIW+js9nN+yNFlLqqhy4ngl3bDOQu66pAkzStbOVJgvsA2cO7lXOqjG3qzC3H97qdq/nVwGr0gH
oUYnF8WFczBzOdKrEuNAhAVO5WO04j4BLEuumq1SPbGVS6iLKLtJrCG50pyOgNeRfqkzD32ZWjJ4
BzYm08TPkxsd59i6jjaUNFVQPot1ucZYXrQr+xpPzycGc3hRkRP6isu67DKOD21mN5O2v2Bovt1r
NWA+td2mn3g94C+uswcaisJj1gsrgC4XhwmQ+McZpdIPDPwjX9WSCb8IybLTwGnkhkqLy9raIIbH
fA2Yy71gIns/wI85uPlK5Njc8bq0KrT5YFdcz4Kw3Dd5HvbydpiYSpmscno0V9ZWP3HMKMnkYN6q
oW+OAi67cFAyVHVrYdBbE1/1SOqoTSrj7CSpldDtStrOU6yELQ9yl9iqFST0gshA2RDbOxvtD6uF
RUIvRuLR5Sn5ep/1llXkZQwq1oG/Twzh+XWNyeFU4wJvm2yIt9fL79djqgginRSLQt08r9KtHMNi
ZavNsED4k/k2uwHYnHsB5sg5JBtiWW9fT/09saRsQ0CEiheYOkJjZ/vBAd6GC0xshOCY9CBdQYbi
nWQdkV0a9tUmkqsFSUJ0ry2k+cbu0PWECytHiBhrNdWz54pRAFLsOCLwK3fkoBITr1rUSMovtjrs
Gwy2QGDW3QdcgkDGVPJwN6OOkyct7syq/rbKMBJjLQbimkVnqcU38Iv4v1ugQrM6VeCe6upD7XDY
bZZzXUxSVbbXX1oMqv1tNlFoLL5pCfeuiGEJVyfaruhraYE6LjRW6u6hh07qqdIn5nS0NjmpVodU
whOIMj1wSwD3KiBfMCLsJmwTnX3CEryqUfa6mgdj2NeWPE1LpPnihrwkTzlncIfadkLuVaSnMmA9
4/pcbcQ3pM6YCrUs8RzVvQPIYs6enLDbQ2f+hOmHEvLcMNTquKHGRoOAjgtOAkrCFGBt8U85/W3B
ek/RMwshY1LN1yBD/FGbWw+zbqR+5ambJVp/YaS5zWYhXKTqTD4wLBsPcekvkkE412rLAH8s+K07
xM6hx6bsukr4JyImg6gid/D7GvA3mO9h38V9d5PiIgbuLKo5F/iaiqlmN5OybX4zQf8c19raw1FC
3qJMeXZY8uyLzXq0MO5FRxM9iMLQLtid0xFODa7KM7smNldnP7UFKUtKGn3a7q7F4wNpyhUUToEG
UqyHmQ5DdFcfKNp5HafV/j/G+5QX+l4zCknRG0QN5+8LS+GeV78JTiI+9wgerx9+wjcf/ktIR/7L
/9+//FsK6B1Kp4rMDmUhu/Zfczqv063uvpW/8jf/+WP/TeA0mP4yCeVctM1f2Zuy8kQ8lbmNxib7
b/amZvzD0AmJ/EcAUW2TirSvxyH5v/9HU/+Bmjf6BoIwxs9a1r/F3pTZ3K/ZHkxQmEWIJSEkRGF2
KmJ+aeMsar+BvC2nQzUZaLPlVUOHpcXBKlNvdMLRRQpdOquRoTTj8acWWdF1bILo/eWR3f11vV9l
f7Dm/MN9aPAYUA0m5ySXf30W6G6s1GodTQcL053DYKuhAbW53jwLP5TkymgPLbZQwJjxhwGNZGKu
rsXRdZYsw67t9IexhW6ABWX/aUtvdFFd6RmjoxQpR1qD9KstGxN6LFFmcmzDHO4RgKOLh6msCYjS
F+Pj3GdHBEiDJaqCrOzvlny5nXPgPnoz7iigor78bJQYcWXwuTMzfxhTvQt6Pf5m2DlSz/Zo+aY1
LQ1Y+Q7bWi7kjw6Ngl2dPvV986BLOd9oheOj380uU1zDQGyVB9vrOp7P1pxDSN9EaMca5n9kyFWp
Im4fe6t2XSt1aLU6bJfPSr59iLPsIwzKSxg1B6YmlxUi87RuwLy1H5fF/AKHz96tS35DfYqORDyZ
CEzWzkE308/04W86Z7u0MFeokxRN5K9KLx5txBLAKF53ZvcBA6+9NtSBuij+rGntTrO5DYBn3jrm
gSRp1MX0I22RNh031LWr3HrR3C266E0tuSg3vTy0+dj6i71dDep8rTi0o0Gj4futap6+Wh/LIka0
7kNf2R79GIsR8vwRoYY7zu2QMW3G03Jz4JxrALhxsObLNtMfSwBCO6EYRLWPbbW8TCXysL34gu4a
zVGBV9zcPMVzGq4muvetbtJtiLEORpPZdh9ZXrvchMOlozGg0mkHrxWsYrqJsSeLUMefLP0DVSwV
qz0+qjqnhvqjLsubXkxX47RwEI+xXy/bvFMHvB46rfLyqPBx5fia6YOnGRR5YimebJZmm1iP1NUC
SfHqR912CMGisln3GUY9gM3KbPguhibhryN4kVjeWFVgq7NnTslnxDEfjPKz3XXbbUb39/O0lVd9
btxHC+5nzjq7u86K5wtDs3xGGVeQh3zsJg5Dkj9ZY/QTC8frdbtFS783MEZTkV6EOibuNamro8zb
RRNnn5EqnQ8jpif4/t5tkX2clhbfPTOcTP3WWO87p7lmGuf1XYICv7HWR8Mlpx1RDR2t5G5YpGh8
NhwoH0EBDAsaEZWZH5zkbopV7BBKD3OHvtJRKsFWjXBwhzNPBjBg+dxALd1y6xndyCCbq4Lentpd
t66KxnWcFyQzeoBGrd87sNwKJ0T8lnrNmxv1vsSMUK2NsECJQTjlYdIKrOqTGQ8s67OS0lVRij1L
w/YFkL8LvUZPYlLFiAG7dVOP6mWi2fQ3t8d00kxsi+wvKbxYvAlNKC8mZDadLgcmYVq/B8jpVRuO
g1M1B9Tb363JuFOjTG4n7dYVuPe1g3mbuvEFs5+vVd5epKP5o84RKqMYoMMKQUCryzAvqoNZiflY
0GENa5uBBxD0D/IM9LYISQywgEGl3nXW5ole8OQBgsRCuXCa9LpMqxmFTZ3So5tCLLJALlvmndlF
92h/tcgLNw+pU+0x9jQ87ABUuDbNc226PqqCn0p8oSz+wMdeB50t8KnrUpN1dY/21t0Cff0yrmVz
SNQxIU9yPm3z+vH/sXcey5EraZZ+l9njGrRYzCxCawaDQbmBJTNJOLSGw/H08yGrq+pWTXX39GZs
Fr28dpPJZBBw/8U53/GkjFZjgP+hO5ZRCJO2ueta8DBZ9Tv5gB8mjJO+DE+66t9rlb6mysu3XcXP
gW5HaeW6GdR68mLzpmztFvh8PDnFpu8Vh65H9NPjKFnUKOJpLppk5/lyL3Ufr7G1naDCW2m+LfqE
uFN2OlKF+6IS5rkOefMLLFZLo/a/mFy8jA5FFLPXNR7jDcE/6FnJ/VtDmAUlbxQ7fwp+gF9hV9wG
PH8dCWmuILIo0Z7N0jrNZrs1b9iF1IbXOihYbzIitHO4zXreEgri8WIQDiA6+U5veMVHcdekf9KH
bo7HAS2eeJjHsZyYZbSfIvuLctRZECGZrYy4PU18rFoYntNBbpqUtCC7lBM1Jd2VphGNJhpW+9CY
15aeHnn19p3RF+ve1q5NNSDfFRH4tEQ727pD6lsU/2rKattO2Q2nHQYuLXoEM7etPZ4HqP/CS9eN
6537wNqXk32QraT4PbiC2E2E4bsSspaOxNl13klSfA7zdh13wL4VyRMSNH7JIaSX4aYT4bYCYF2V
H4JAKlI+XofG2I9ZsOoy+yjbbieHClR5sTKYLyyZOO71eJxTMrtF6j3VoVzhZAEDdKnL7lXlLElk
tsMNhPfReKOUeyDlkEkIQbNesI07eNFOG+4mTcwNeXN3w+5Hk5IZJGzQcW7z6kPGcTIU5ZhDiwA2
e9afDO80TtYKq2aMjL951Ih8UiMnVzW6iyDhldcc7+qM4qtSxwiWeunpD2L8zofpwvh/kxCY2ujW
NxU47TbRWn1mHKnfkIbH37FZ/BKR/WC5HYFczS5OozsowbXewwZ0muDNTzC59N8dlTgYlesEi6l1
motTj7yE5RuvyEutnIOXfQw+yv+h+IjYn5AVeOr1/sGjE7AQk23NUJyZDb5ixXts2vLgARzosQaq
CqiSk3/kkZatlGZ/Bl59GXpzV47q7EVxDnDQWiaBscutlplK/6Of+jcsUusMkC/ri5/Mwz5zSx2F
hjkiJP/KZOhUOgsXa2KLqjLPYN4k/kLGT2Z+sDgUBHsjjuWeYW+XMwnv1yCFttI6Ewi/l+Q66EH8
NfjD2oJPgKeW+7NkojSizs9qnKL6GedQiOO3BpOePjaFi23IvfXEjQh0Y3HevYtzkZ3M9jlBOmHV
2qZqk0vFTJWGCmbhwI439sgum8x1IfixkiuT56L3thn5z2Xe/kK4dBQxUYOzj7YxT3ZOzIo7Zvug
nrvn7GiTScdQ86UZm0+CCsN1Z9s5hkCB5Ftr2a93E+nohPkBX3iUU0B+kSBuDl4nhQ05OdtysJbY
HQ8pAL+0g6RY2M6VeMF3msGfZBS/QoHYIhbNF57dvJCSsgMK9JJ4zRoH09I1h200UsxM94FI0p6D
F9Pw0nLyW10h3QvbrTKctTfAkI/Og3SwT4vxxKgVREW5DOR3JvIlkpKuxiHC5jDs4oekPWixWrmZ
txxv4yQ2ZYsWunioQ8yTGhoDkhAE90dMX97feq6ilWKoCgGLmNXIM18jqd/iXuc88LdxdAfuDzTQ
2fWxfZ1Y91RNfxr1/HEwriDX1xnGrSn+0HSxGGvgSiWpIir5lLLbweA7xVUTYW8aD2NA+oSsoeMX
L6TzAtSCxGVE2IzKXRjQSFQ1MtdTbEBVyvy7i67Jt7sfMY4N9Bv9igDIeOFTP/Sa95p2Vgmg46We
Ipyy2r43j4j1MGhxZNmUpGPoHurcfTLy++Cso1LZBEO2aY3/FXkSh3X+HOmetoRvGB8CtsK9x43M
3H46eOhOoY25OKlATrP/mcp9GFp4/vQm6N4cmZYvdUei8xQ7ParyTn0XXedfg4S2vkmt4dcgS4KQ
0kDfOg55UsRZhLAme39p+s64LsEB/3QJ1Xr0rdw96iSMAONO3XwXmFX6UrJtW4OCDG7TQEqv0jrx
kVMN7zL2o94ioe9fd/hQDqgTzX4pCI9eZxaONAJY9oanop3X2PoX39L/yZBu+tRyV9/ljuowzSTG
U+k21sbwgIT7AnmhXiT5Ude85ol+j/qYwmxcDE3RPgLRsu7AacelFrCpV4mQe7Ra1bEc7Gjfa8rc
eNisrwUoglWoDH8f1RohYzmCpG1fVvW5KJNozV0Dpp4wjb2G++psFl54YALdHoLeg+TDpglMQUPW
BhSx6tyxWl8WpjqXvomfO1J68sTI3HvRG139rMgCIWXcDTeRO5HuR6LNO5CN4JJYRf1Mo8P747dR
/uknbv+mZZYjF5TGyYM9dM7dCRJxgzqhHlsZVBdDNs5tsJPxoSkDcVT2yxA7i9Yn3iyYuhGOnGE/
k6ShCACJlfnu+JrcjHXFUTaN2WMzeD0uzgnEKRfmBzEj3i4ve59x/jh+Js1UXPtMdlcHE/UDaeTJ
Po+hGjACn7cWJNSI0u83hiqI2aGuX7hWxc53IBHKCk1jWdoJkUyCXMx8brCLFEbeQkQh495MMjSz
hPNqIQxejhxPH4mTmYBKemtnJ55xZCqkOFMKsLRZfC3Hj1GQLhILZzl0mXow8ZNFiypXwxO5Tktl
kLWu8m1ZGsWqr6efDnhYOt62R/kTDvdQc5/9Ynpw6/TdjbOd7ZA3j8rHnnpiN7p4p7njkUyndVxJ
4J6es9R0P1rZIFkdxf2re29Sq/dA7yFLGDbcXS4zM/lhozKBqrdkr7oh75uMjTlfj09oRNzuB+7F
j2x9W4QNsW/l3Szsfaz7l8zuMV5OS5FY/Iv77ZAylyYCw+iCdaW1b6zVxEJFMRVl7t4He3gONeOh
Usz+NE6iWKQwabU9TFw2NNGwr4zaXjmame1IrmCzPJkPCogiuq1sWSbFOqjFuY5li3qCoryNgdab
9mZoCJZtNXNVrdv+lcC/RVe2x0AAb0UOEGXFd1W0z//xsAMd9T8MO1iyO8hmkCW7qJCZRQf/pIrH
tU7F5Lhy52avtPnxcRr78WGUlYmlL1MH3S3qy1hG0yPnk7jJ2HXuBta2hyasSXhu3YIU73TIP73f
r0o6vzVqfn+c+U0S8zuVzm9XPb9nxu83bn73yilKnyRx7JTOvJr9/I7689uKhG86gKxrX8LfLzMZ
ci2MnFQ7RCHvuprfen9+/3FkR+s8n+pzHrTBFi/dnMwNXGQP51ytCszjVxZr5qaazxZjPmWgRch9
FHLy6B2pULUtrbvnKM4lo6U+j4TonvSkbJ/g7OdHNFjNoZqa7iGa6MaC+aQzQ4blqGJ1Pi7OQWLa
fMyxpfFlzqdko7oYSGO5CEiWXKe/D9N+Ple1OMKu9/uwBfcjdyr1xQdpcA6OCxXc7CQN1sIy0xfy
KmgYpOT41oV0j7WS4tEOSuNnGGjjOke4aVUJl/zvS4D4A2NL2jdcqPmOCOfbopzvDdDD6luf75Jm
vlWY55QvxnzTIHLh0uG3We4jyA3rer6T/Pl2aud7ihWM2I9jeSrnO0zMt5nBtRaHsUnw1NROvxgS
HmEgkalam0b7Isn0evNV36EJg0T9qhyPoVbem+pdghzhrbH8ZFNFDKBSns117xKxOuUUcCZKzoU1
FhevzYoLyqYYFYspLtXAk2dhBCfDBMuXJgLU/I0HHzB3gMqwGphobsrO2LSO7jWoan9/RxDUOflE
Psk3YwhhmoepEGIJsTS7lkXi/vBr0zzmCYfE1iXvtsYPbVMpsLQsJJYJO/209OpxsDK2HhXC33oj
Qou6hG5h2YPxZuCVI6BNOo+pmlON66Gub4Juc0cm33tTMMrpdeLZYvIIVhOPr8rgf0dqXAdaeE+S
+p51BL9pkljOSSvyC24+RJk07F80Ma+arztnqw+CdVvZz0NM6TlopgWCcSB2oBM+BJ8ou/nS1U5+
PKcaW7iNQz2N757eiQULlOQgXPceG8ndx059TOog3RUeZXaf64fIMuAOEccnNu44UPR0ONzxo3/E
hs6sxIi/lZoz7OpJUBWnPchzdWqoPxYy548T6CCWiTe8Ob1RHgrW1ZvCHW2266W5rVXWrBBOklQ1
2VtflBiGCqkBB63JAKV7WKR68yPr9UfqQnOhu2O9oPp4rsrxBeVY8SS1inbMz8TW7vvBx02bIvf1
KmJcUlSOMNwqIBWGQXazW218j2R13x7azWDyrpU+c82wLenAIkVs29h+yGLw9rAs47d4Kj4cI6OC
cKpmmxH7hM3Ggn03ZT2PFdmedZ4Tvmu08aKrXJLOwgmZPVyYZUesLbdjkFNaVDrt/NXBjAaEjIqJ
ZE64NH5YvpRhx29Y0bXiCnaXbTDc+TpnH1lOxrWLsP+5BeZ6LDsn3JtVoO8qrt1zGXq/DESc99TU
Jp4CDhQCy37RxXwnlks+jYs0xIg9Apcj+0JGZIKNnM8uC8QvpLcO0ZwtV3tNRB1VARRDFX8qZb7J
7J3w1jNCfp4IQBCq8K5kapmgr4tvt51uioAtSuEew3bWYYnXiNgA/BBHl7Yxh5WVcDgaOo0HuSNc
Vuz2ngbD1J9xlbV0r8bPsdSttVMnzx4OPAP14VpjHU1nXDULWPbkfXrWUXlSMEvm/QLqTd6VRjnA
QPoC/NCELUgG5S7ugDug5RO7SEbTW+LPTWZkqc004n0leB7N9BI87vQRxmm+sgJ0hV5P5ovtMPTy
uoS8VKGsfaS5+lHIINlnnd0+hKXXXQf8yFcn1MbPkPPnaJi1txvnimqYa6t6rrKsud6SvyuvuQYz
NbxRmiw1WOpzdcaJaz8DnhtvzVy89Xzivy/e/2cbqj8vqP7X9qucgyTa33uqv+2t/rKp+tt//n+1
xkLm8u+vse5NXPXNj3+xxuLL/obrtmDWzTv031bZP22yjD/YHSGSZevrIgCZBZR/xXXbfziAvFmC
Iy70gcL9aZNl/kHKg25jtfDNGXz4X8rEQJfzD1WV588kVBvMJ9sxbJ6BPv//P62yqiLVNDK4+h0j
CsWgkUacmd0uJ8dsASzoDX1ctBhGMcetw7eZyu5rNM1XNLRvuZfpt7BGN+PU8lenOARSZEkMQtx+
pWmGht2tLp7SSm+Ps/V8PgBJ72ZhyyI6eUTfh5gVgtSOWpKjNKouUE5QNsZKUBo7byXFycbt1a2k
pctJa6RfgBYQOVhdAaXB3tB+2ZF1IcTTJH1Sqz+QijBwYp+04yR2GeFYId81Gj5i1mOIGE4stwey
+iSck9yNrmwxAmDBuLL0msbbsJLiBMTKOnZEOJAkWLknUYQopivPzme1v3oJA2ZbcfpDYiBIGSxm
SMcVzjzkPWt6H7ItkCQsRc+YkHDl/gbJbJs2qX2qWH/vzdTpNxPRhoRwBBpZmAa6n4XXq5H9jWP0
30YfXFoVuWujsbxHG+HpMqjEWtRtulWgcJBt18XZS0ooc2MbflqMUHcuZcdBtGa1QhRFcKUMvH0K
tuIAG9P97Fz10YyBWFqUoLMtv12aASi5qrCqz94NtHOIQ3wfSFqwuJPJasoc+zylTb9x8vIrMYiS
pQn2Hho9QcYdIenqE8Pk8C19RqWevU4FFBgZ1A1Th9G8+VRfVQWVqUTs/cD0MX2zSvVm+xXha9wp
i3a+rfNWP9nz/V2VxMNN852ecqnEhZ/uvDL4COZ73yW1GbxHRuaZNLxuPVAglHOlwJ8CXlM14hh7
2Z2FxN2b6wp/rjBIBo/vbQjRLPWw3rQo6bA8UJPIuTphbZui5AzIEZ9rl44ixrOwqXvMos8Ecb3y
vAZf41zz6HP1Q059s8rnimioWtrBEAPyuHbLEVoGxVMyV1HDXE+xuJlxLfZ7Rhb0LunamzFXX+lc
h8Hgbjd5X3YvOinTPKL+bVDBHTTKtbBoN+l4aE+F7S7agbHSIhgAt45jOy9rLbNuiPmFj12E7IOo
1JrqartjtTYcTVuJJs0eAhBza2Dukj7bqDYuz+BD1LXE+UZ2jNQNfXImBMdZ0G6nrjrPxnzBfLmx
jqhdklub2P6WqpZwCKd9MaJ2fMqDnBEV6/ad0UXFsrNdWDqJSdrlkL9kCfkV/KqGtXTUwBw76cC/
9Fr4zsx9WIepWZ8AZEaHSUm3XoQD++uF4TTmqg+br7Ii5Tai7GUaSf/l5vb4yCCQ4FXiTlgC99ay
a90D8FXrQW9CfGehgywjkPGjNMhHV5XfP+jJhARSc6efnQq4pCcKZemVrGaTLl1Uk/EYph3QKDqa
uQoqNwDnAOO0ITNrNxKrtJM+ZImKUb8pnCIjWDAvmDjp7iqQWv+q2sB97qPe29W+IqJdR1Ck6UjC
nEFPtrHtiT0uWHWsPSd+hufFHLesXWsh4ELdssnQLiBzJoq4LHl1C/NVF3TNsOIXURsVu6odr1VH
0vFQGcNMTJArLW5R8SAyxLAyltPBFxoDfzZTdEfya7CIevUqSx4CRQ9M78T4IawYN3hZCkA/evXt
rLrAkzzieDZXHuHaEbtI0CUEyyqrXPpafRyHEPO1QRTbijA6+odBeEc7yxNCC8PqFBpd8iBIF1uW
en/q3XjY5nZXvxbk1SzYy7H6qRVjNwVTqI/xf+et4uNMpuR5CPhnzGFxt1BMjyMJYivThy0JWz7e
V0n/yD3EpLIMAWeRh/tJFzTtjEy7R2OtryergBdnFt1DmfoOcv8pXkEQ7VeFGZ+IGAItE9nlo5Po
6Elj1vONQceHLGLuzJB2QeejotaAWO+RAferTqsdgul8MmWatIEk0s0RT7UHvhZAzuBZnMKx8wWM
qFgFLo2THQSPeeP+jE0fe2/C5oTVLVttHZB8OtDHWn07rQfSLRZ5iHuhLMIXzK7civO/AdmrtY5i
2HtlF5iv/sDbnDmEveDpDs4gfwB2moODBye1IvmpAe9MFglK3LtZ+d8O2a257Dl9AQtKYax9038Y
0GyT95NaGn4VIW+mFAh4/VRbOFpy8wAesGp2k5cKN/q6NtFgBJN4yQt360D+X7ncCcXS1YJ3trx4
moPqVznyQLltdh9qMviSUQGnyPTLNEzMJWpF9LGbPAOCxMevacGymX/TfqrCjTVQz/s5R08XFL/Y
BH9SF38MnhnyoU4WE1ikDmuScwHKwO86gMi84m9qzr4e4UzDVRobrrVUjCCWZTGYK5QNKCmnogA9
5Fm7dkibO0rPbjW1+L7drst31lj+0DVOITAqq9AM127nfKqCZZbt/GLjCPa8M9jyWc5flNz/Xe7+
56otVsCzrv3fL3cvPyLiaWZt/F8y4fa//uf/MP6Sa8PX/Vu96/xhmhSuno0IDFaza/5NuWX9MVfC
MzwCqLyn/1m55VLUQnRmromlllYTzfJflVvOHwb2F57iOfKGv/K/Fk8T/LP6GYqJZfkucBE4y65n
/lO9O/ktm2hFwoyKLbUuvB+RR/pVHDf5RdgqPMUZg1/A5c9llaJNgg63rRGo/BhtxzsnPhz+kcUQ
GacA7CrJ7U3BYRf+c4R1DdZ5QLHYzxZMBedLpvbwODROvpAmGRyy6rOnVuAnS4KmQfZhs+qkGGvd
s2qnjnI1hm+R0N8P4WOPI5D4c+YqBF0tKFCeRxH6m2aWcXq5c2Jb6f7wYoPcaDrbtjRpsv1gOmf5
lC872bHHQ0e7GNgXAimTG9kO1cJM/M3EcJUdU59bqzoHXjca3gz60lZlIB9rYVNNBr+kSZxblZ+I
AVmr1rwhvT2WTRUtcXAvoWN9O0Y8HjQRzmvh1J+2pmieYj7bhzLOS0iXWrUdvfh5ZC/mavLUO3yY
QVdZp0TxI8dWerEL2DVaCMOJZYnl9Ky79TLfxmP3kzpkuoQvbQAxo61hqIL3P9iGyC4shF5cR62y
ul9nNslouV0vDb/47mwsJoGLlhxp1ei78MySe81WS1Rcho2HPgM010JnkrbSpmSnqf5RM52BPWg7
Pvfx5OwtL19XqB9WcVquVYXwZvTqiLVGJJ7QQN+ENZC5xTUTkUtMzojy8Zzl9oPzm6LqEMeucJwu
Favrrd8hUkWF6uyReKm7lZcA+Wsb5ZrFBD/JhXrSs3Bi9NB21RZ5efQwuucgd55B+EHbSdziKhvC
s2GFnCPdfhBs0NPUfY0ydYFYqZZdPxL/JZtT1LR7DbCmTgkgI8B0Y7xWjiI0uG8vTdN9p8WTDvuT
Wy+wdo5XZUtFU7LujLU9DksdBSyx8Za2DMcJ4qRZX9Sgn1JHDgsw5AuCeRDBq1kzhgbixcwquiGB
e2N05++d7GvijBtic5/hN8ZLctYcyFsLs92gr2Nx7ktjW4OyLBzjhx1qTO2N4DtLCN8hZdrWczaO
9dXqfMY4yapMzVszCeN9wF6mA4mJ1zaw9afAxQYZQjxdmIoNi4Ui/WESlnM15NRt4sAQ2wLHw8/K
rvsj0NG4W7bKca9ZbVUHK2zVMbEb/4fT1AI9eBEdNSjsxNs2/R7UfvaakMoKbq5v45Mwhb4XSdTs
FAu+e+uRgcSj2qKL0tU74G5oLbUsr8Il5dbziuyDK9J7mmwMCZmeplSUhXsUbhkcUQ+7G8OVctMZ
xrw0nMYz+6z8PnXxeAfC2B8Svcqf80a1m3owWdA0VdD86CiXV7UhBgCEgXOG1led0sGXj8hdrItj
TP2hg0r4biRZT9tSjuBMAybwmZvuGxE4D1NTii9i61B1tGQP/EIjTvfKpDw4T72Mz7iF5MmBJn3M
Qt+g2ANIc/X9Ub9Ja6gvsCuNU56W4pmyKkBk5jQnHhXvZGlSP+XoGAjYns1KYOu8rZGZ2SXgB0QI
0anHJBN68Z+YAq3fU4i/C26ZgYAoQE3CLUDUZIDF6h+nFClNVGm1U7T3oyi7VHZTDvukHdpLbRWs
7UK4QZUh5UKZRr8yyF5eSSwcawd08BptxjMmMW2TWWQxDV4yT1BbgzT3KNY37BZaZFBx9N6FPZgM
6BbO1S305Njp+YWISxxbdTBdad8pV0I/OysQpwuepGcnHEuyvgJnB9ojXzLXcBZCOXeikMSi72X+
4PYR5lWp+vBeSWlqZHEohoWtN9XFShT8xQvqOtoS1yNWo5hwQC1btMMjMAIQvoQ62uU7sNQ6XtVD
VK6dySieYST676BODoQ0Qik2Yd95GoDIrlgqVKFVoZxl3XnFCmglqvicoBArQl+UGx3/KutWjd1J
VM1TCHscc47eMd5xDtB8xuVEhwl6HDmYBc1w6clEkbKEkHKyh2PYlCcv5vWPY4VwqI2wBMSwE3qy
6XMmBYtautFPMTjyUAzS3mho+WEHER1aqoRRR2BkG0+kya2aXGLU+yi/9JP0tkGIGaOf6N+JEHP1
k6zm5Mw+aU+AQ4Jz7+jiWeiReYpit76kaLxvpeHqV5Fi0V1iMu+O/K7HE/izGHdPF5ypNnneKaXb
X16ERHtBaLn4wlpWLMcmHDfN/Kao+Z3x57fHnN+jfn6jstbvDyIcrUuqFeNjVcf1ydYL7mfRDpeK
EcQKfEeLLS9Hr0qMBrDe+Q0O5ndZn9/q0EuLO8aE8UziXrRHlyYpvjkHcJsERzWxKavskkVJXczP
Qe0/IfLLPpBvDvtpPlem+YSx57PGmU+dbj5/pvkkiucziUw3fZ+yBDkVkcuRNeJcekWY3O+TlHDP
qpPRMetQJg6d6/9IMlMdq1BjEOSm3lXkhFbMTI/+SAHi/qS/FtsRRwsqsNi98qe1h76O3KWBYmQd
xziE0S6rWd4XNvCx2ymgQkkDgx/bD9LMgAbqJXLjxSA1VggN3XxpRFajcMuKfLgUXuIvdad2MJ7Q
yE4rM0AKgXwpCJNDQa1fveJPa1D3OmnV4Xq00m5XRs0QncxMj2gI29huFn3nDz0yqgLQc1PHaI31
SENA6wuholWgxprt6uRM3NeOM+kE8c09Q1UkJWDCznqwtME8+9HoPI4aCvkssNp1g5nn1k6Nk2JL
D3N9Cx0+y9ZaY2BYC5muIZOsmK4Nbi1XfgBnbNF4k9DWfZ5RAdHxsv33ODbfpgyy4nIShcHZopIk
4BEzagPqU2fe0q7mcynqRy9UE7yXBE1cq6plZxa7lkDfTeJ1z91wchGK0ivqZ1hH1dkGMbww8bot
qVHFAl9ouEQpny+MUAHeD6JxlZeVXOBzYCY5JB9Yh+RGJfKnUVj10m8syKnKvIZ6LS/g+M2l2zaf
sfeJmDY4KFIAOW+UuRo6rgGrhBNJACmBbCX7W+OWoMFZjZmPbhc2gyDJkTzhRl/3te0dO3d0d1kZ
QmWJrQMZCrcy7bnzYsM6adz/a32qfmZtqc2/I9RNqgJ2LuSV6/x5Mqr427GlIOyBVa/MyumYMIVZ
jJK5mOHrapUYtfpmo8EzCIa0slBSd3qCKTYmyPe/1xq/PT7/d33ef7jWOP8o5r3Gv2jz/r7WsP9g
ZMcO3QdfZNg4fv/W5rGgoP0jNgwoKC6+eeHx17WG8wcbBrxBLKwRNCBp+HubZ/0BxxJ1h27N9DmL
RvSvDqV/c8L8R1HfYBL/j7UGMW7QKZwAQZmBI/kfCwanbotK09NglzRxvlMIxYhoDg7YDSyoIRGg
MCca7yk0862N7XYZiWl8zttOe8J5/9pEQX3Wah/TSJiPRw8B7q0dbHjXeQ0dyKCOl8xVTVaMzMgZ
WixEE77Ypp+fwYXs2yYEW9X7/TFL25uGVSgkKFt8OthQkGQlxHYO2TXxWaKwHsXAhzhFId2re25N
2lFcbSwx7oGixSD+MFygMa/OnFmjWLHaZZ4nSsQJuHS3cZV6O60IbGeHtmR8oq8Tb3FVfaWs7r1V
1Fk1nsc4+YhNVIlwoHaxbV+SwiWQWWTpUULaXLWWDQ/cRojBwHtl97OOxpHMorUwvyWw7s9B6uxU
T4qlzAlebGJ0cVODEmuoY1RsIn7D6kEYeFfRTGjFDGVvZb2QjoVorpkVnwHiNL2PNo3JZd/yiKQL
etTqpsvkl3RaG/BaiEteKASVhi5pBlv9IzdG5mSsSAeyS0j+AJYZPQ1yBAUstaeh97JHcky1bSad
sFhVBHE/OtLz0ZlFkoUV62bIt0Yz/52m5A7jKE0JPf5docZzsRqaeNG7Gm4kHtBmYFicuSZRBCLS
9g0n+7Easy7ZhJPJuNsGGR2izAlJQhW+FhyHEvVTZzYh8TUYi8SW3fZwwOBQo9MPptpdDQ6e+AWz
kCEkXqTKEAHnNvrH2hpfimIshoU/Z9kubK9mADfAYA9geqjg2nk0e4u8tiPA5YHncFyiv9WJH0ri
N2bjzXnqOpsNACLDeEkYKB0iLDdj1aE+wN2R0TxVDTiyoBgeHNtqjUeVdj6i2aQFgY7RN/PW0ibh
dRE0FM63BOGK2HkEltckXepWtARdHU0rShQTQLksvssqzo8eQXgRZqaqqbbcjWz2E9Z+h+63uFQa
zazqlcEjZui9n+qg++H7LCLCWTq9y6GzWzq1mEdNbl2wHL9lrXcdkxlZHusmlW+zEx1NstPo54w0
h0Vplbdhbrsr+6knq0MZtrrEcxubQ1yXfX1KIhIZ0nLvCuB+TDiKmf9Fmt2ya0p+ZaaEuZGrfB/p
qXWNlaV98TivSgiyrFiuZoeRl7DrR12viVyUZA1zRG2CnFUaP+q3NT3mZGi3Pl8D3vAt18zksdX1
feWKeCUbVi/4CGxGOIlL88o6Ms5SEMfEpLpae/VJhm0BfVAZN8wfHD/aITjPFr0l7rk1EAebegkX
oRXt6tlK5ro5KYNKI0I9L9ulmiad9VGp/bBt7C21twWWJpiVl3IxQM/fFb5ezFy/lWeTocFUCf9V
aBTlWY8T9yNQ0RMo+3gVI5XdypCEpqFPNqlNOrtheXPwcej9nOyJcshQa8MfWyKCEzJoUKYJ0mj2
g+M9cfSdowSVl1Ur85DGUPZyZ62SLNvYynS3dcByin3M1nb1Xxl0WCgA6itKwwdLyBJxNIgRu8UI
wt73S3Z++tlP0fefppD/wghp/maX/2N/iAgK6qqpW/BycIb+43FfVCPopdgIdloESE/kgAGCKWP9
EI2V8yBQpBBYNfVOxao6bc96OcZvkAqYMWAPcweWwexzqaZd3jq3DIFQmVUfrKMxbRTPZexTxhgp
cRjxkKqXsimMn4MKeZ+NRkJDYKji1QtGb/hAUJOzjh6xHh1SQ/RiKzD5NPvGcDgsiio8UiUOwE5+
nyaI9zlZ6t+nDE6V7DjmTOn3fac8k0JZDqz3moK+Tbe1DWuQ5NYlGiOorNa9fVOj/W7mpssMkReZ
XbRBe9+fsrDdyADhUx/H/DbBkOi2kEcHfyeeJnFkKZ6sgTONy9QMBDlhUbA0iwBcAd3hNLeJCcfZ
yS1CZ1vXJAQGCIhpCuKWpVG4peM2D1bvdV8G0rVnyvVyXVu40tdpW0PhalMs7tuE8IkeGW6M44dB
V7xy9aTh6YYzQH9TGUn6FKvWkEdVJ/n/Zu9MliNH0mv9LnePNMAxL+4m5mAEyeCQnDYwMpkJxww4
Bgfw9PrA6pKqU+q+6s01LbQsYzFJRgTc/+Gc76zzVNM7k4QEXwO3tdkYxSYMY7TyS+/tLV14Szue
VCo9TbHlXHqHRBoE8XH5yqHQIgfz551LPhQQGghkvKFNejvUUOHjzu0hjqV3Kq/ElWcm5aZCc2xd
MwvMsOsspWX3R5nZAbY/F6g1TpJW4Zb4ImPvs5VFdzgYe6z63SUykAVVfhz/iJqEp3VMmv5tcjm9
8HqI28hdtGPMaDeVZX04eWQdzLEtmM+6KBNEoS45s4ZV4op9XgAMpFO44rZTSACMgW4USKQ3KmBn
sgUgJDYJDQmWuelcd+6LjOdxyyv3nJNkQOxcEvGXhNPWCOSAWdF6LMKuAjQ/HpSzpBDlAFJH+zM2
Lb3zGuMHiQSsXEvH2teyu7JhbkmLFCthndoieo5iexM08oil/4N9Dbba8MYcBqaafe/uxrn/LORo
3YBZ+Mmima1WXzsbyzfVLhiN4ACT9d0N2vZKBgRltV4mP6cw1FeDF7R3BcrZY9uyxE3rJCAmOsN5
P7Q/KBbddenan4PDlNdgAbdmWU90nZUkJyc1Xmf4+vtiMq2bsgmv0ZVPa5tgkW1JVPqG2N9qZ3d1
tG56dnWDqzA+1z1LQ2xWIW92RoDHtgsYfYLLqOq2u55riyzseZr2vlMznRzFAyr+8Tq3rAR2gGBW
Yk2EzrUW4SOgIu7Ix2sBQsRbOxySo7FsXWNmDDkZGH5y5YWu0CjfcucnaWdIRXur/oUoDKJs5lU7
p5+rTdHCeLMLsQhJ3XiT2lm6b/SYcsMu4lMYX+hQvXESz/6XOnVQCFUTN+nwWTgm4vckTX/JL11r
ESF5T/sYJJ4rxrbeGwqH1RarbMHSlztaLbd19nVx11+XOFkKXOi2jwfpEHxd9MPXpT9/FQB1HFEM
jF+FgfNVJHhLvcBwqPvfbuuPFdh/q9taaFD/eKu2+fd0azKC/nPPtXzzH6s1n87KEizc0BLRKjmL
Ql7/bLv/+3988xuqJLQYkBd9Ltpl6/Vnz2V+4ysQEzxkZhaNEv/cn6s185sNM4BsZ9OFL8fa7V/p
uUKat79CERZWmo19Gioe7R3Rsr9t1mplQEwtLQcPZvKr970bX7n72gsf06jGKpla23xiOzagoEFk
Tpio98pca9+Hb1L3iM2M+IR04CnrvT3I4J1FqmB6hpF71Wmc+D7W6Wi4JlrkqcH2mi2X3ezu01kh
A1pXMtoifzhZau31wc7TfC+49zxVB6fJj5ln33nKvXE9e68b586JLICTqyU/AOn3bqpDoLPNQ2DU
DzP+0ohttSM5SgtzlXcfc/4wxaBfinnvjt7Od/S1XwdHBphn8I43pTM+1TZQwq68eK65rTld8oLK
mBBMhi2PMykwKFicx9ZDeK/T2yJyYBnLRYXsqsMcsWmhybrrYv9g4/HDkjy8dSokcEW9pA4vGQsg
guW8I+LuLf3aD6Njd8d2ziHC7S+fvP+ikvodJ/7Hm+gTqmrzYeJT81vfPAEMayW4APIssLaX9CDY
w2Ld3LrTdOsrqKhSItSa/a1BNg+evP8Hbeh3jBgOIGa8vmeyOWaFzCzg7ys5RuJBFQoSvjmZ5rpO
zkGvdqPJsHGYXBepmbh1oszb99F8wTP+NJSJfXZRQh0Lj3Whv/o52Z3azR53CeqJZOdbUbGNqvk8
5urQN8uGJqC9MxEJFUDeUenmxWZfakZraOZIcdH5VsMwJ0HNW1VV5OLPs0/NCG9fEru97VvxY9LR
tNLjfNebyX5uWYXw7D3bjTghFrwO0v5UNrK5qpo6Pv3rY6vr5Ieq2upX97uK9u+ktv/w/1qkEP/T
tLYcGXiKzH86lVpL+d51SRu/K/l3x+R/fPMf52QAB8Y0cXlzIDEwhUr35zkZmN8AyizjKYo7xkLL
V/48J51vlsnhSgwplGUfQe6/n5OWz6yLDVTgORbf6vv2v3JOMtr47aD0giU0Bjwu2cucvih4/05y
y9iGrL90GDlJKil20GTUGpCKQCITlqA97Xpu0y2UuzIgyTdii08QAUZjZ2Rcseq8Dr4pQopzqb8M
p1UNaT8qmjNSpPwhS7Tx6FqRPMZjNVy8opQnVfgmoxfXL/YtNo6tb3Mgt2UrPwc7mFmJckJJ2JQw
2aPRy58gUObYbyHZnmKrdGhC6MjIXommO2+sCoF25yHu7Wk9A3Yvij5YiYGmsE+UOskgZMvC9SB2
dELMhqMx7jrSQiZD70uhiSysJqq1Pp/Nh8hN8hd7HOOHSlQlLQJDKtR28fWUwwFFjDfMH9ShLhY+
x4eYgRZbw0sH8p8d3VSEZB0QrIBTzSIVKiXv4zK2bX5bz1m6LUmzWpViPMVAQ8i/lUQ52ErsLESx
DOcgX82VZ30E5IIWq7LqMRcSFpmdoZBkH9oLaS8y8ls/48qIvwsEnIutJMTHnfiGoLEUQ7npXBPd
lZ05K9Om1SJDQlylvAHoqCtn3XnpcBor9TQlLK83vhjJb5zbcqTdKc1qPY9NuZXOnNkbm5Ts697T
6XtSOsVPU0ToP9Uw1caqKQdkgWY4AUgIOZ9qtzUICCxmyI40ZvG49sq4W8WGXeXcaDrGU6FDDMdl
/SrbqCXZGfgjLosxqRqmL6SVKaOSL8gdoW0AqpYHu+XnWJNdDsDBdEDSbIxwG16QwkRZEXIE/gK+
5YHBWf+JdlPLnS2qEU+0Ee793mfhKGJvwhbVV1i97SCrtzkf6++dY4tLRnDkOfL69lGWsnqHmyZT
PB8U9CeuPLte+wTL/Ggw6b62oaysDWZSNpBhquo3q6dlXs3WkrGVpqV6IAAqvDgwGaPNXOvwnGZV
eylk0zSroJSAckIiDe/wsYxPrUNDgeDPNH6CUnRRFVpg4B0/Kz48UGD7YOS2Q3QY6se2LG0sUF3B
lkt1uDUOCGBQyw2GLNGCo98l4wMVdIcfKJZaP4Weru/drpqPNjsXntusObBNMwZaW49NjYmmaYO3
eWzWkSmyj5iHa/nWiHvMUXneHMyEnNetQ3vEmIXtW45ukU2Yk4/mc8wE7sXjIzehS6/mZUPKGxj0
Fb+1PQXuKrAbMm9akxHsym8YK82tbOHEeD+jXMyvOh63Fg55tqD2j2oIiTk0s1R9uP5YoBq1nPF1
ZAq9aXo5go5u9SOa2/osifs+ZEz1r0rSDFEpxx1f9pN820xj+zy3PkLtuO2gOBMswUS7A8FgzniR
0CLV63Kqy13GCpoRUBAdIOjhP5xm2hOA/YMGqVDbEodKA3t0Fn70FAo6/7Jj7Q+9L/TWhsXdupo6
VTdrHRfNhnRRIiucOTGtdaHHotoKtJfFWrAQ/5n2tfw++1KezMzK4i2rPsA2BiO/F4MHhYgKNFf9
Kmua/rWwU6l4RDqGo1ky82jPhdtc6okWntD4lG65mOtxY2HvWnXwmPG59l5/0zTZBNWurKpjV7Tt
S7uIgNmof2YkGtJnKs7pIc+ZF4TZotvsDXq9OWy+m51IYVGSibEKyc1+dqJYne1IylcLAUKOGqaY
t71AbM0HljXamjLLZBDUzP6PFj/TIabMM5vEIWa0HKorrhJWlXGaN5+OEbP2o/NDSFB2Wl8nPR0h
0dTx5G5aKwWYbEBblWua34pem7B2/8DoXgbwV2LL3mRm2P6cnLYiqHb0V9Vcc8s4BJSpQjVXkZeU
twWv1DJBBocICTXPur0g4E4eKkJDdk7idXjq5xLhBFiuOCEH0XPZi/Q2YAOm1CwT+Gg2v0aiX9iK
4+my2rbFVTyPHE5hXj6UBo8b/MMEHIZumtfEhxnOZjMI7rpaiafJryIeuiYTZxOz9fdQDc0LdOHg
KkjzGI2130HsC+rYvq0Bfd567JG/NxO7d44Nj4+PD3jCpq63MGS1yXA9+R2kIGd04qfQ6k04VjjE
fpkN8UAnfkNp4zTARY5TbgpeuxElGheUaK95bt3iEDnCXcKrXO+Rs0mdhyJMbzTR8js7QBIwRgJz
+Wgo3H65kRiSDPjc2hlNlSB3i/znKTX1KscxcJulobnORQNdR1fJhfq7XMvZsihlvYoRm2yeekbV
3+vQrjcWtKDa9O3HDmPwJSMfYNNnqX1o3MJ8bMzK+EmaOCAZEQvSVO3KPiKPRhYtISQ+FmbsX/wq
eawq07hE1URIHB47sptlml2MFOlE7NQYIPVUuhjwQ6zj28QsSQLpeNkIKfVTYCBRjiyIT0Ju1+8w
kyKkRn2M+sPPUKrMlYaDhNmkiykdhlzPP3KJgc7A3qPWZV/J28rL23NRA5TBHp+8QdB5LRjP78c+
HPdRgrbA94rkPeonNNWBzu4D4Dp71NvzAXZBuWswIzGPCYTxR4TK1EvwWKJthbr23aJ4y+XARD2w
xBhszTxDY1Iq0znmcc3h0rK+PPYy6R6bWVeH0lCSVZaptt2iWy/IEktWGXN7bAGOTXSg1a+xeQ6P
LlfLHVgs1iCthmcHrwWVdcWk7n22Un0dtMxQt5wI8jhUkbyJzUE8mE5fX/DvpKROx0hYcHp4D7Yr
SUPKncX+3NpinwZjcDPNZtyRVLkwPUJT5tdeCiy0nsLotZ+y7L7z0cipJrd9bmVKCdrbGoG51Szb
cmtSRs32si/zSzISCLBykaZxfxes61XbJaDFnGp6FjOMTSyc9SWryXog9MFvkhWbIPvdGyiaYeLE
8slzWqmYFgeVwc4PO40Tp2x9WNsw6JU+oJ406Sd9DMnuqHBVpd7zQIjCd/z3wz0pXc2+ywrrVgsp
mnXntiwre4PjAdxuvPeKvHuNp6y6U6giw42Ie5IMGuK9PZnxrM7MYc/+ZOPfRWcxrA1UR3cUsKwO
m3CQL9Lq0MTlesBcAvbPfjTTsXnGGF1fwjbFKeKp+SbovXgAUuc4I8tRxTuqVDIXq6nwPyvHgTtI
KsB0YwxReRXWpblXc4juUenOQLPuez/mOegssOXO9N5hk2beX5TG1pnq4SMVOYpZBCNLEKpkmYxg
6W7I4E798Vc2Dv5tRIfDazj4j3aKeU7Dfn3m4cQL1CRlfQkWr5lsiu9ult/Dq0nQVsTtOSykwzNL
oh8EY4bLZeGG8dqYCIYqbcEbH0Ve+My0khuE9ISYrtWBbbqiZbefUi9qziHA5HuS37177N71Nc1L
fm7jKX8xcMuka69ogx9gw+Qemxx44JEsgxuEsQMYrrwb34JkMqerarSH6YCkZ8iuZCmgZXtxPB0A
3rg/ojzGflyaCI5LDKcA1Gt/WTOoIGQaG+Pe4Ob6SRS09zOOI9VvhzRDhNPPzC02Hol9JOYMdiL2
ogqT70PYip1R5enLbBjzvRkWmNYHRFjcbXJ4srJQ3iNKyW/KoZ8vc2J3P+2vy1dF6QJUn9kl6Ti6
n+TUfoxV0F77JRw3pYeT1cSxx9KHUERZJc3IYjOQCKcj4Ndr4eHEG2Zh3waZrzfw7PH6y2Ri39rm
C47ELJ0sA9KXEqAD3ppDo6nYOjOcdV/M2GrQczcdE3ozUdDrTLP+4RgNTK9KYY6GUHyXFLp5hgWB
37lB3pSz7n+Cn4fgZ5zG+EiOdtvtLD2yjyzKLoYE48zGkewi8yD8ZDxlyp6slTstHJUFvIETuevP
ibSLep95Qccw2QKzSUuQHDylxaEezSYjNQx+leVK6tBpwNQo+7KuN3a9mPxS/FKwvH0M7Wz626ui
SCPWOyiy8yXYvrq0cCsOPYJIqhtoXnvXbNND4JasHlkgi3u8485BW175EVRz8bZ02R0/wS7yTe/Y
xoPZq/4CFEs9Y/GbjpllF5SqXPhrLJfzukYKyVcGkxLDEBWh3lN9rsIY7xaKpipaV3mVvhdVruSB
HWx8i7eIPyHL8FnyPKTpXR8Wv1TH+JLHBawWvs2LoZLFypX31VrNrnuKWUcQsIhjCyN7FN6PIiV2
OZiFswZ272VwBQYKEhhVMD8TNxAbb3acxX/l1Ye2awjFdcvEoDWVsFlykRTuQXUtbw1lvFmE0wkp
I9NHbqT3JEP4tC6TqI1W2F8hH5eWjwAdyWvE7sWF8DzrLiU6qvVYxigABPRsmbfFDyhPrcAzqcDb
fBaB5eEbHwlbp4ws6q3fSxWs0SMmxzCjLhvjrLqO1ZcNl0gVeB+++b1wl56iC9wcLxC3+BrYvbp1
ekRXhddFBxwN5WHI/PZY9pNs4HMXI2oUT5j7IvWqo9EMERPFIGnWmIHya+QijTjaSiEZ9/sRJMbg
63b635n/f2/m/7d5FGOdfzz0/94B5XvP5O9umv/43r/NsqxvJrohFNDw4r1lZPXnLMv3v7m+zcbb
Wrzjf1FZ2dY3h4E//hbHtuzQc/hF/pz4B9/4whJp4ts4vpfv+hdUVp7/+yTLIjwEADJGs2VAxsTt
7ydZMkII4tqe2KMQKPK9n3saHidWbFpW331vp0jcWRPFdFNn5pqMMmYfZjZ5FM4Oh6J2fX0G6ks6
9kCFDCe0Wcv6e08UeDkM6I9JLdoQZJ0ffUrgD5n03dFME3tRGsVkD4ZEDmJxCVzwWoRaZuvAT3Ck
5xbMj66ZbwXjdFblTndIy57fgtWAXAHHGjHVaFRTtfoZM2RZo7YBnxgWCQ6e0ApuzK5PzjEj3e0k
UspZv292hcDo5nRFsm27NDiltoW3Us5q3YCc3MNjCj9TWBjFyqV53xFC5uyrqTcffLqc26z2mj3v
jL8p7BEwutPp+QrUhNjQi7U7MfsliF/WuslKCgAkpB1BgYzzdF8EqJNW8TBlei2dAe+m2wd3Ok9j
8LV1dRkCp/4wCY24cTL81LP31oXm9Vwl7H+d/MDugdAQ/zS70500SEJxnf7iA9Gh0lCb0fG7na0Y
YXuxOsKaGXGoGl7OjtMoajBwo+42Mou8x46JKXrcfIjMjeUkxDakJ5WNZDUGhbOJ6CCYvyxIL1lM
7DW6UIH7LHtRvVPTTaCSVPQWpqN7TOegvsytxSE+C8N7zFGuXKl0asFeGOb1KCXOdLOzofIFHXF2
iPyyo1eM/mFoYWPkcT98H9gaWKsaWVFBqhvbU9uwzqYfGMdKsOZu7Q4OfuaS68knrV31pfafNcKu
UykA0CKsR68LuXbaRtAwPxNPq63Jp/LA8AnDS+XKcm9Wbvk24OC89eH4rHKczx+qrl67YPJfw3D2
95TG2X1B7XahlfCeyBHLVzXC3TOqfv+MojzGwuHJjWrHc1SN8Xkwx3KnGts4hCbpdBizxR0XNC3A
iGUKzVrGJ9rNYCVaUX/DMCu7zkeHSWmeQdWFvWydJ4wd08olffep86m4gbigpq2aZHoYk3g8Frq1
LhRxvbON3Xp4t91AX7EscRA5tylGsbl700WkzxG9+4HUUPuxNQNDsvOoNDrpVL3llJZqnaVz26yJ
i3Gbm9DM8nEVaVIoQY9x8yFNM7aZreE+RJokNRLSRrwLBj+mBM91GZAxPTmVQbnUGrwVTTZiD21j
wd1eDnZ1ouxv1jZG9ys/xdlpADa75bhA0p0lIrlJJY1LMDv5RXdzdx6QlF646RnNCRBYD+FcWVdO
1rWLYNKqfkDYiG/NbgKULaxUACdrILWOCBNWtuUbJ+y65IJrS1cWP7RMbwVm4+tomLNLqzS0imgs
t11uwaANyEX1fe3T1Bi6vgtqHd0GCAXOsmCeMtQAnFctpvRdAIpLrTAOJ2eRRqAAq8k7W7IdTyZk
5b1pi+5cmrW+lkxZ39yazph6jUpkLabvNaaOcO1S/D9aqhAflpiJaNUAs7KpUQ8uYqZN4jBdTgha
2mPx49madJHdRHGu74LeGu/YhGn8gpXq1jURGnT2ACP87mA0pgKeMEj8W5FJ/Ik7XHW+0VwsLywu
CXS6p8bwNBhos/qpbRrx1TxW4hDNgfGA/EDcDq1wn6yoMRD8kBFx6jTVN+SqFPkQqMymtO1fJZRO
9C26fnIr09oY9aieEtljDUCb0a1ywItbGxnFLkVPvl8kRzuzlRotWNyCMlM0yAb+lQfHL6KdlEFn
LJky07HKSvscF8m8nwrP3QfkfLFLVvMmtlIA0aoPX+jgSSZrRX+P7mwhDKtoMT34L4m2in0RK7lD
W9/cCK/tb5DhLIxi5JrIkYs3rItQJYKiuPTekOzZpdCLzSwOMiwQ22JQNoMGwxdHKjUSR8AtkfeX
Z5IY0by/YgTTbHQfqKMzW8WlbsZqDQThh1BjwAS+vaql4oznVoOd/lbbczNinvDv4wZ9ZjFOx4Do
8scmzYefZWvCp1b2uO/UgvL2e9FYW2+a6RTNXEI4Vw6mMWOyvRgdo12fa9/o1rOD+V316GDzgCBq
5sowsglhwRDvrhz7RQG0dBnJX1vVcChiJI5+El8zllIHjuqtNdHMF2nRHHCrMAFR7MqtMS/rrVId
eEWLOLj8KrO7FgFdgH9Upn0JtVP2EPi7ND9K4BiL1jQut2rEX4My7Y11GidzT1TcOtD2yKjedPWD
aueJPkHMW9Fod1eGxXBvG/hgt6j6wwPedRxDuHOp5sdwpbGzzwwocvJXLwxi6o+6tzO2rqJelkHF
1Vjz8uBqchlqEaIwj7VzLYm3RmoXMSVry+lkabEnf30+wH6ZWeaK/IXu9JOqnX82epej3x50gYQg
KI0DsEJGJPG6cavoGFpOBeffsO9BfeMyTSvzAa4SmFtlQMeURON2pEi7vb1ypels2CxYkDwSgRfR
NH6NkfKuLBAhTzwfzRnxcX+w52W3HPfVZ9GRERGIGoWsqGf2moRZmbK8RBncdvy58zYeiuiBN6Dg
NUU+vmoyfIqBIAXXaRt5Y8U4a/gfbebuI7otc64u8E7NM5rE4kXDHdkOYDLJ/TIGINOaoMOD8DpG
diEqkV+FYdvrCDc/44vMwcNiE4uZxIFOtphmPWfvlYk8lk5pMMvJYuzHowOLdhx7kyFy6QHvDcvq
nvoiKa/zmEyUjVEAEllxDKzl0WytmaTnpkn1bTiO6kqHKr+LOjv5WXDigOx0PL3OR6JVW9tLvtv0
oduUcheugGXhrRzw0Ypy7vhv3z4UpHTt7FQAcqgSE8XVMhEPRHIwi4TwMJ+VC9O4W4MdU4mvhB/Y
HhW53pseTsIqMEeaYkoLGvgsXqtWj586Gcdfuhaf9H/qzc+Hd68eTCZmTlzdhkbsHQBBA9b3k2Rd
VrY++7bCDVubw2l2hNpUEWNCv4UyrHOup9bs7Su7CR7FrDHFCZ2h+DJIFIYYu5Gtb63yuo0hjLnl
TrZ9ckrLUt92VmTsowrFOqOybq9dy0OYjKnMYzj8ySrH3vGMxvtSzjZvQ188Jm7lXSd2EF9MNHcg
zIduZ0BWB7+cew+xv+wSSq7OdSrmdOM6XY61ewjjK9Jdh13rM2RQeJc/LJbMW0Qt0aVImM+YuvLX
iiMKY1Xq3vRVkq2NPIJc0RjxJsptnE06KImEYDDvbuccU5KbMe5bi0T7ZCabcpd2PnGjfabRW4SV
c/IDNcAqGp1DMXrWQ9SFcqtqCIE9QsmDOznZPpu09cQgr8Jc3NqHzBv0Mcmj6uLrnMFH77HJXNj9
yYubqO7Q6AxbAOkem1EwGXCS0idWfHaeuOjouD0V0B0kntg6OsiuEqsIDn4EfruP6/JXUGbBtde6
+feB3CpQEqW5RSpLxEkG6i5sJmfnE5N3LIfa2jhZFHLVTHAoqAZs/JLleG7N7o5pyI46FRe0P6co
g9SzQfAQ6iZ5M0zGK+5GubLjCrN2iUbECxRwx4qmpfb8Ja3SHK9qV3ZbFWEbX41OohGNsG2hiTeq
FR8MJmoFoc33ZsZGwXRmF55cF/EXsI4BdxNd/aWz/C9EPeI/iWp+79N+E9UQqj6n2kzkgT0fO7KF
X24Moc+SOEjILSeyDRiJ8b0JxfgYWFb4MgVDfSvkHJ+CSTSvEfEx7Cop8GGsiHgv+6l+HO1w3pmu
0YBZytgTkQZ7KQclJA9tAgrZ4R2AXuVQShiRSF4cUFMGRU0JDlp05Z6lgLNlfn0KyF/6EXtVvCG4
vSIrJm8PSEGf+qYF59LV7jbCPPoi+h4DmuXiFGzI2MIszENLgu6NkxPmBoFFuZsCzw4eaN9/o1KP
964Ao8zA/r0a3Evf9Q/E48DeJoAZdbGYNu4sp7uhL8+Q++Yz2m6fChy6I/tbxTg2G6T0dvmoZo7t
WLmfomsYQRnOshidCorC7WBY1fMsihwYbhJkHLHSG86R709HyeaejOdYeHdE2w23bT4TYzhyHGAn
zcRPpMLJZx3NA84VAzcGY+r7as7QIRmyWc2I0MxtNQ3eyel640CIfLRp07lqAGnDK4CQZo4/h3Z8
aeXcsMR0k52jihxheZPvoAqz8WdpsLLVnFxH2g0GcA+q81e9y5qqr4Z2C0g4uZ2zkhua2e9VRP96
SeAtoRkHvHnPgx4ex3DUR1E5uFNZVEAOmtpfqIcpBQutx0dZaFI3e+oFvQ4a4PPrwDIqoPXU2cNX
yZ1/ld9iqcS5hSnK01q3W15IsTPp5fOVqeGx20slj/2TsylY6nvrq9KHN8b0dan/tRF053DpCbKl
O8iXPqHPBwFGJjaC2zbVFllwYftYLA2G+uo1PCozDqOlBbG/upF+aUyYpelL8dWtREvjopXksobV
voYITlqbDUJ1G0uEbuFXyxN8tT+Wr8r60DX+iL3Ss65G5eLUcWrorCrjgxtmcC9jMqne2TDgPcBX
thLl0F0cdGP7KYDvwSFGvzU380ONQ3WTG/W9IZLkUBu8YLZRV/fANpx1lVApG1OL0qeiFL7yR2jE
g6RJc1SE8LdPe2I7AsowDLBdSFiAaT2LxnXXPeCTSxho/6nhPSCQeGkZs6V5zL76SBQA2bXMOiYF
NJlOSQKp/uo8va8uNFwa0tqys32zNKn90q72lhefGzrYemllQaPwti/tLb/k0ujS8qql+c2XNhil
Edu7pTV2jTh4LZ3mdWRJ8+EtDXS/tNKECJZv5dJeQ16l056Xplsu7Xe4NOLTV0+eL+15sTTqiLbF
qVua93Fp47uvjh5bbQQinTZ/Xhr+lEO6iHCOd2AsCow1y2QgW4YE/TIucJfBgej6cPPPT1Tnd62r
5QhEtpbHCHXxnXzZD/9CTWxDRD9gdY391AXOVcn0thNRAPEb7LcQ1Okov9yL6SyCAyvEgeuSc7Mf
hG+9tviWy7XCQ/A5Db2+KnJnOhmBhV2Iad4LhUH1ZAf1uU9Kgu3McK4pnvS9KjoATIVRZ7ynqb3A
OabsAO6upRXoUtbQXmz4V20Ql0Q3TfxWdigGKqtoLt8VduWGO8cjj2NeDrLs60yDhcj5Nn+ddc7X
uSeXIzBcDsN//oJ9ARr+w6DjO3/cQBTTYhlz+e5vutJQsZpyQKbs0Qc9zC/2S/NuvDT3+qa9g/FS
3hr5zT//ic5vDtDlJ1omAZKW44Qclf5vP1EzYGE4nkR7JDbRR46XvMMank432ZjMgqDTqj6pqemw
u8eZ/LDcudtiIcx+zZY7QvyfkmhXphr1nfCpqLdzZHOHi6rGK01WpPEMucV7xAjLVeeVFWbIzPED
nG7ZpIjcqJozmBLyWPCpHKlkOJ8Yp6w8H1zDOGN/oPxk2FCku9yxmt2EX/IUVO78hgiMTDDsWseh
cYM9wWHG9yLR6owUKrtjyxWfRN5bRG9RED/I0JvfHZ2kgDH1qDfpmKgnoJjL+VWI/PnrRf3/Bsf6
Hyw95ePzj6f1V5IEnX80q+c7/zar97+FOI0RPKAVXcbrDN7/0OcH9jcm5Q4eCvtvYYZ/qk6hZQU4
1sj9RYoAC4PK7M9ZPZGFPCuo8wkyRKDv/UvqfDJmf1edIukGJBtgqcGz7S2kr7+CXs3CxCtpTBAJ
LYexNZDrquRsshhrk3XQEwviRt4zj6mZb1rlJTwNbQYhEdxkbG0QXCBaj+pmeNCmDu2V73bursuN
4joY+2W/Kbv7Ci0Ji7FKr1kHzKgPpjw5yL4qT/xCBeFD6EV0iMwROH6gx7NXmeoEdb5Mbl1ETGAv
PRunWJ6nPqJV328FYaJVfg9/x52QbE0T+0V/tnGJNWYZ7iuflmlVobhETxoz+1gFKbGmZli6BCYN
UXo/9G5zaGiLso01li+wLsdw3UcWMkZsausswLbDytvuH/3Ww7xK1mserXRhRXvt1j7BU5AZq5UG
xLVzHW9ARWs3frVLZk3abjtGyU3S4VfGA82cfhP79WxeUaktgH8SpLMV+7rIP6QQbcyDM9MPbiPl
JJyxnvbGdSJL4w3paQhvIp+ScxWxFm2YLpyhlDnmSlWVn5xGgcpuQywuhJcliNpDpanAx1dDFBDd
V/Wvucg0CX99V/0Us2H/ko4PO4rSGaQjDrzrUYNrWXVu2DarvsVXToDjmB0sQ+iLMRvDXWqr4odd
SIMY8lTG+RbGkfHSNs4EZxozYLV3MPteIGYxcREOEQ+ruf036s6rN3KrzdZ/xfguztXQYNwkcfAN
MJVLsVTKuiFKiTlzM/3681Ddslt22+OxGgeevrI7sKhd5A7vu9azqOfNKWomV7mRtOw38PgS5z6K
Iqe17mivolDdqZWgJffQXQxvJRVYQmTQjPjWgUVQQihoDECfiOFBSA9LtYZ1faUVCFH1qp4Eekqx
C1oqWEaTA7GPHPWs7MHCzEBOpt0isSxnGVtpcVDrpseuFhkSPNMAA7ew4yOlavQlwPwCkV2BKC3k
VDMbh2xYN2aZr3JLG1aEhvU4r7zhVPUzFypHXN/0RR7emm5E98gYAYI46kQ79prxUsv7fgd6hTjM
BhFJrLndeaQx6yexhd24KONTqWFlk1yLdlgP+F5DzwTly6EglqmTfFJfdmOl4/MOwQZTEJsUtt4R
ER75Rk8Dd5UZIqMhH6Q3lYb+L3eMa+IX0ZQKkh+mYLayPWYnwZNPx2pAloZqym2x2pPuUcw7qTo4
fsP6uPSgdBKJRMXZz0AMSdkfGU02qefGdl6qgo6vIMQCIq7J+Mc62EYNutSFobfOYsiofvGsG+tC
j+xiEbB5e3U6s7mQXqGT5mVpl6PfjTeIbEGC2M5AkSkq7ZbDQ5HdJJwobnEhFjdx3shXutzRja1Z
WxINQE3HXDtSOVXOayI3doOelvelntYXWWpqB/gwVj4vddu91EMqUVmAPXwepRxxyKsYYOT3kREt
O2OgNEz38dCNUTPMCqU2r3W9pGbQgg6uujbF3RPZ5wBRxEPEln4ZpJaHEVvU1CMdG41qEWpb9sDJ
s1171KvyUtUJM1Gs4TyyM3RlRGkUr3pYajfTg3BljPb4GthdVyycTk2uR2oLF0PaT0I7pYV71qTV
nE5Gx89J032R6I52bxgcJ9bS7DNr4SaJd2YYtjwamCP2Hm2blzSI4UhRuBxuYzdLmlnN1LwxREyS
RWR4xivRBehqoOHBP6tjXVxJN0PpLDkFzmE1++wN/ewgMH2+6Bxmi1nuAMtWQ+LraQ9kpN1pTn/C
ub1B8zeG46ovGrIOYQLNTNA9qHk5ltERQ7fAhmjFOQCxBzjw6ohqbglUOuHIQ0yJHDcJ6uOSWmwg
p91q0k2YHCTpwiKk0Gn0eu/rSbkOQY3mszaU9SVxEuFSCKOkcQtvyRCJt/cT07ynZhYfkTDtPShd
fakWAJwiX8JdJWckugBPFKeEhcXhDPW7jg7R8OWWXSuEYo3wpa2GXP1ExE5zmpTwJ2aUG4Pz2Ord
M0CTnMCiUZEMREKIdidqv9voAB8ukdAkV0Hrk8gYKd2ybX37mFarekE5rTsK2Uhih6UvFcYyRY1F
ss0yjnv3PM2GYdPmYLI4RCm4NSQBNLNE7UIFKWEj8GaHZWjNsQ2UMHwG/VoEdX7hlxGbtaYVR0j7
0kNfl+4BUSEZhKj+iKowjOpZaxobUWWoX7Va6CxHM7OX2HAd2HpV8eR7fndwi4gCBDkNUPJihW7W
bGy7aiMGAr/ozUzWcy17JViiiqlU2w7AxwZtFae4YaFbtbWlxZWfRF1sQPKbRnQwSGCyOwsmMlbY
bcCu/wKAuYIzQHXSYkVqB+utU7h0/1C7T5hyKyXXsWs7+rkJBYIg1T0yRQYQCa2VynMtlhyjc8eM
IVWkNv210IwoSoTDRQVskJW9qquLLLdT0lE5p6NWjOAmxBRJTxB8lSxerYjP6rr3YYSl+VFg1aDV
TarBzzbCxnqmcCRU555hhMdA1Dp3peutei3sJLxhzcZED6ofW67t5i1nTMU6ThIH/7Ow3Gs3wAvG
CR6xqQMvgwRaXSrHSeiN6jZs6+yKJCADSAMA8eOxVFTzOMgG4zYvVOL6EEVuw1qIYmbVWX7UTvv0
Jrf1fa86+pHpEvvu1SrpM44P5iofu92Y1QyIy6Q7U+ymubXcMn8NnHa8VbtKrBOsFdt6dNDyjE62
d73SPLErInXoVtfittGrANBuB5EQAb5JFgc+CKrBxM6cJV4Z3+auJoCiMWZrj4oLUsnaTU7cQTr3
7ogJpQ/FnYoXcj2IuF/oisnj7JvAMavCvFKwH28DdJlwPxBH0JBFAnlN/4sgzQLM0poORXKf+Wp3
ozN1FrNIrwqSnTRSf5qRaF4SovqN3ifBkQhzuR0GxZmKOWLteQTDA7YoZ0oUgX4Pu/Zh0DH3z8LY
FHO0rPG9M0wsA2RkzqbyVOfMQM2r0yZX2xfPqsncIS+4YmO0VIsQXLhRT5wiZwP6JJ5Jzv/HWuNc
AWmt1p3bXmp2W9xWZlKtW7NqCMdsHWasqLXUda/UMDLyxE8uQx6T27JXwdbR891gzmnTpWZo4V4f
3bY/QrJPgmQugQItUV6ad27dDI+FTd+BkL6QvlSXuMzqUerVEp9FATedGFoYBX5CtZeveSTHR1o1
03aR3Iel6BhEF5nloLN8rr1JaT0GMt5Fb/Jrd1Ji54Oi7ATibDBn9s6f9Nrhm3Qb4ImxlWYHxPBN
2l1MKu9i0ns3k/I7mjTgEYi0la8GyNzC1rjqzK3HkMN19WYFZvPTOlUpiqiduezSijaJq3LmzoJ0
m2oqcms0ibvaaYqFIrQzG1z8mWCrPCsrtbvwJsl6PInXESOgY2801thZ96Zvt8vOXrST6F1O8neN
9suJX6b0QJR6EsmnmIZOq5HNIkGhlrix3gT145u4Xh8yBUAlG0Tk7ZVwFsakxC+Z61jBBmtf2HSu
FhNTgnS+Mkvamac4LqjrSddPB9g967CT7Hx7kv1jdCBYrR16EOmTL6AWmrh2EjGcEPqIbcDMWnFT
i9y6YLKja5OWanDPC6yujKHL2EK/mQ8mG4I9GRKK2MImwn3qC2otzpHOD/7qihYuUtD5NtVt9pvb
rEsxOiRvpgdUMzXpOJMXwqgnW0SaFEbGrDloykLWdN5nPhp/xHa0b7CB+T52YlmTWIx2wNJRL5rK
gUTb+jKDDw7rnj37okAOeD7aibwn32AoFmU7ZKfSsWmYOwKcaaSwxRnMVj13apHc11QxGsxjUZSe
11mgGqhUy8RaWIGJk4IgJw83S9vDJlEJBzU2fUGfkzfCxc3Q6u6tR0INOcW2h1onRndLzY1yO/lf
iUkqBwxJFf/FqN3WNdXudSNU59gdqPjScvLD61xx0gGqQzXIFR1T87Wu6KitCyrMw8pTG5Aa6HEA
etMzrIPzxjA5ciQJsX4ULbWRRY9sMdaqYc87Q0ohCVFAnYKRvQaz/3ETtJtKptlxj+P8lmnJ2ouc
5SCMPPc4a4fmsgfESg0/GW+70bcVTDZhDz4yj6jxBGqC2qIUhAn+/61+fOu7/d+UhDNV71SdfjEE
bv5DZ3/6Z8WSk8MzwsZvHbrfvcDXmgkMAgSJBu8oJRCqI5TpvjIN9J8tKnhTcdXkP/RfMXKG/bNq
21hIDfRGXwlzX4smhk6hxaYGQ4OQCqtFJ+x/IHB0LCo23zAN8HGCU8AN/9ZQ+6a+ayYNmeRxE2yS
zk6nMjh0HBoXgHKcIi0542DUPbaVzFlLo6oxOVn2UY6QHam5aPAGFZOgIXMGK13YfYI4QEHTVbvO
cIMtxUUohZemIOQ6BSAVIv3ZQ+KuL+xYNfu5HaVUzA0bEV+Jys1nv1m0mresDRXgfh2Vuv8IbEYp
8J7k5imCHeMIt2V3aL0heyyC2ALoZEbFOk+zKp2NVkgrK2lrkru6QYiHaiCqbGbkbj+sBw7tiOyS
pC23UBs9ZV4OTCoLCWamPIocEV70hW35czgL5ZUFhPKSOanHrydBmvVDJe71IU53fa8Nyrxv9Rhn
RQTIaMXSHxArhmbivowGsGsuChAkm3Fj7/ssJFzPoor9FFlKf+RGqXmkQRbbs3HLllP78JKupLyF
2WbtUiVI93aK519pTHfD1mZcT2K6JdGctnfSUutCCcKxxPDZr+mcvJxVKyvCQfBFBU8udZhgoyQ1
IYKJLlqK6HE3HheKMF47ULuXZNCOL2GXpqw6flHeg2Qyz105AKwI6sir5qkZ+de2mbQ0o2Ta7ALC
0c5AfZLZQ12BkD/pD+06TpDgAXJou2uKc8oN1FcaZkSSqNdotghgcQXR78uQZgtgsEB/jLSuxIzi
ADDXm5ggMdXHypoJesRYulN7mRZMd2zYmhO4PYQhlkaVbWwOVPXWTNE/4QvImocU4SB53ywwL37q
9VdWmwNCrs0GtDrSKmduE757SuQKqTmU2pJk0bgmMS5lVLvnGCCSknZBhDCXTQvstUFJ8vC0G+0e
iNJQ5uYyarHrragR2C8Z51FE70lpefMiyopxKUqd9AzFTaOc+hKOXXp0wR2naE60adhjJbR66HW8
NWDQcNGm3cbKbEkP16t6OQ9p/DB+LSqKOaCqDOUbRoi9BfK4YvSFf5ditXoNo8IejqpE915QozYb
Jyql9lQkLVsbNvdauzZSb+SR6vHkEsyLx2DXAjY6kS75TZjYEohmXVc/SRH0UF4LmS3UMOX/a71W
TjQlJJmylaBIzHwcox0LkJAzs/cQrHZDel02vvk84Ia8R5/vIQ1C3lygQsBNSwqStYpUJTYx1mbd
tggAqaKdEja2OYWq7gI9WgIHN485fiPSkKvBxQ4xC8bBeXHbSuiLuHYxj9qJhZi5b+wLVXr1FixZ
jb0hlf2lkrj1o1tZ9W0UBeoZyb+wrmTdABcKeoEIt3Lbi2lDcdtVljWrrA6R5UhXoU2Qbi97J5qi
nVqvXaa62xA/mAd4eIssYSzA25OwFLGVhmkcH2dabAVLEYnamEUIFbc4VnDuap4BuZKnEh8jMhLc
JmzvCBewxZLiYPsEbA1rtBZJHDfNMHIqx664x1QYQI/38sIjaX3o14RVWWutSNStXcQUbXW+xvvK
jcfnRql9wUlCpQ6XNsqptAP/1KUah8wqN+19lxbhZdsq+CCSVmhbtRPjxiTkaR86Hb11uuzItLpM
IVdIZnd5HtjLdsSoXsOVvGokUw52aH9cRTGqk5nlFuESnxpHQvIQogd6mfl5lFTWsi45eNF37rck
FY3PcjBIuRoCfOnrOM4xZol24LuXcRHAbez84p7Mw/je1nydaB5DI2jH6u1qxhzeXPPt9O1MhVh2
jheboEwOf8ORYvVdPeswEVLCdhBfeKECKEGlzVfwrEb5I2IGcdWYkoewVCXxoxBYogctN4s7otY6
d1aW1eT2lyZFeBMBTUDWVoSjrrFp9xPkpBY3dQRjba87eHb5SgwmHV9FwmgoNKiPg2hAg9gy/CMZ
1c2UNVEMxKbpSWeY20odapy1ZVGdUi/yqFRk7hAvbF93z6rSTh77wA9eA6XKF0Wthlc+xVpqZQlF
5BlpRMRjlF6EC9bP7SXZ2IQi+NCyNtQ/aSArOXHoZlv2aGhA6B3JrsWaa7VJCsUtb/IzQqYIYSWD
ikqd4/W7riiNcaEQELZu00DdaoDawbjLxJz3Kb26VWkY0YlRaQhN9Lwx4AEZwbol2ZpGm0/SdI26
uqJafTJERQHBOc3IZS1NkLClSKNHu4wzrKPGcdeHHaltCYDCGYqH8qLI7frWSBBR08dVDVohjTWV
4Kgzz3L0NOBV7fyI18bKb1PEu3jVm3pjC7p2iD3EbKDyjVYTzoGYeEBx6ZLTmbnJUWB09O/Rtpbx
Iqw9S8WFPWbMQ5ayrjRqk/2FrgGhdlQ8QwmrAQs1JtYkSyByjPkkPvGcuZnVzT7zZPtqsvisCdBB
neaSCgITcDFi+d6MlBHof9f1tdFbxsaJLZtXN2Er3Tia+QJMmwRsVP3uTmqYJgjXloBdETEeaR6S
RCpMEh2mRrSWQcGeBJMw6k9Go0Td7OcqXEAPkbrFRL6MugxTs9b7+TA30YBQwhCaF88DBDLrOhrc
iMT4Mt6OYZ3v9chMjnoetRPHaai5uKF5LAPplBiNZX3n8pxhQc2cJ4GBJKO7apbnZpo4ewRFNFOa
JiOwqfBwPveK/kyNVl94tZZdlBFY2TIZQ3PJadTcqFZTXKsZjB4KdiMGtBLsRRDbUx5LPKJrFr46
0+zIPsvgDzyRxQe+qcKZPRdVU0wMJms+NiXuYQzHT72vFTsBAfs0w7DgkO4S+We1VdtLg0YU/SKQ
DjOFo2DDnku3H9LRAJ+fy6S/FmYIyNziDPniBWUAAUohCUUWNuTDlLdw1hWNxgIKMOW+NQd7abeQ
4RXTICO+VD3/3iboHn5E2PYPigiUh1iaQA6jJgI9heN9HTiFfe6qwjhCrxO/cr/VDhbn8OiOMgQV
XAw127OQnA7i7Z0GtHAHyTiqO4tjtw8gdCYAPF04fuWswHl0N2A7IV2VWXpwdcFWg3ZZRwep9tCd
e1WTVXO9NPw1X1V3ovl+w+wQetVFSKm9ZPsiYBo3Y8JMBSekSchVCaoQub8i87VsaPpsYcypPmh1
eDOrRAu0s7oozFvd7ohU1WuUISty5lrSdioHw3+I6/Q49O0xJRu+r5tFi9SUALtR5fyMfFq4c2/o
qvuuCatoUYUBeJVwTLzTUOhAUS2UD1ueEHfE3x02Bz+wWdQQRWn7uLUZf7j/JlFVaSQpbqXJjWkG
5b4okzqeVZyH9tFguotWaykK66p9HNaWc66hkn0JtdJJZjwFmb5k3aUqbOuSI23sVNYluvEQU/3A
lmDWVXWQkRE2FiGYCY4wO8dKW2/VtZa5sRM9z8l3MQuA0OTZGgvaak17qofUmyDApL4/793cXgsq
YPsk0YtyMbqdM85yNzFfo1RxCS1yFe3atZQBo76iPjtOIiUl9JGVnH5hI9ms0n+clbLsCwg0EYyW
uglwFSX+q471aN+MiJgGt9DCFXtMLNSmEy5HO68upIPAtUIDdaJlhASvBnZt0cLsSYAj9d1hnpKx
A7629g5uV+p7NWOLsWTX6yrzKnWtZNkXAnkuDgblFUT1yB5NVlvEQjAXxpZenOJl/bKyDV4Tk3UZ
c3pP9FAZqfnBcMtC30UtXUmvRdDN//W7XE1wamdF3hHTXFTEsvFU6XMwSMGOcrC5NWKHPHc1RYFJ
XZXMdtRiJWFF+Fbauc0l/esoNLknDYH9TdHZTr0oXS95zRGX7cEKDTFbHVKLKLqSZhop4wKrJF9y
1aMgN6pmKTwMFOBd2AHOBp9em581zVKOhO55RRhbM0v1i0OQKNVx3I80c3oNgbrS4O0fTAIB1uT0
2f0ptDzlCnotV3ECivU+IhKOZJw5J0m79I4g+FdPQ+KyaR6JL9qzcheAe4glPybXOcP/oMYFaujc
WKuQP2ByE1IIhKdf+pVeLoVOf2mWRfa4NSPIOwpRAks3p10lh1qectPmEZge9Y59QLnEhArEhYBA
hZcmyekSeCPWONRV0I98DBNRLPe5KdGXpAaiGsKkURbhZQ4vaFInS61w0RhZjmsdq6nOdsqKvaUu
vEf2qe5a5Z1c5rJBe+i6/oNepc3joGI8mCmh5i38QY8f/Dq3L/xRQ9fE6SA66nIlWY9KmpKs1PRX
RKzusEqTfoNV4gLFMO+l3qMm84TVHzll223MIvGPKfjFjLsIyVEkixqAYGit81jVb8tqpGOSh7mY
dug09gNVRdVpf2EF+BG72ThUHy2mmE3ItpTEiz6qT3FqkBbekpwoq5akSF0Jo4b+45hsc5gY4QyV
en5FWJSzYgsndoLU8UtzpJ5ri1rZ5TUEhw4zNgbkSLRXpVL43YyZV98K33GWdt8GV7x63n0gdJhc
jidpMro+CslatgBpkgwALoyd4AiOjNi1pi6ItnccAlINocanlmLITYBt/CzUR5x5HgK/8yopfWSu
KnlNsJvsrZf6Az1pGTWXeO3Da5nIdocSyXri3dV2WlC5LyUsoVXlRl46E/oABUnpTCSGTc6uXouj
LUCZ6NRWVaAMakstI22Yr4DQ6GCKnZR060wGC5ml6dpzSqqLrtJv9UIUKMzN/lhJ+GFjm4tQ482g
TDV+LpYWXbHbiqUu4NPQr6oqoJpQbZJLT0+cqyaQhOUOskAHWASdWJVxhArS0PvTnMhuhBzsXKw5
mZzZlZZq0UqYbbTLTf3V5jDIqgz0uV709MVOUKHZMCbNatnGMf0XPHbdjWBR5rscy9xZyTZvnmO0
avP/4HCeFF5mJBtjsNjRJFXfL1QR5dSLh4CcJZYUiWU0UusvGMQfLbT6XxSnbb+RHeGw6KZmEf4A
yPTPioiLw3N1+Al39E9T6GD10+bQviThT//Fb/whL/W7H/GlzGgbpBLaOn4z07IoPWsIOr+WGSd0
KjnceKm/eKIpAb6Ls0CnYqGmxzBVPU0KoL+Ks1Rs2aQvw2MFl8Ul/0cp3JoxGaW/lUd+YafyUGtg
PCyk6x/FWRyXusgXo4mj8loO+al7pa38FUpYdnmkvzgTFHSl1nvjmpxUuNojSZ1luArTW69vFiF1
O6c1sVanD+zoF3FAbgvGV2WFPWPdsqnw6nQbOI9DT/WmIIlbhreye2ArtFSo4ZEdd2kUCrviAWp7
tTKUI2JJKzh1G7y/rX7mP8ODB1p1MiBpyrrTvJJzT7xSrJrHFdQk2tCagMiHa8yF1cz0uBig4CXB
sE6nraCg1NPTEOZ4w+tTrciU9qed8VkfPLApY4ffPaLauq4b9SItR6TGrIK0BYZiWSPCMrOnJjkX
TssMA32FgxPCHGbPhD0xTPHO1ndwry79BBybUa3UQd9MbU8CCBI4KCdGr0VztpfntaRDXvrVQsKW
FZG6w/UJqT1iUTTyFwuBzjwrzXsVQzdf07LNYSu7iDC8bmXW8WogIL0iUjgS1YJgj1MjbHaNMMhL
M55iW+z6nHulUWXNCk2/6RHe5Mq40lM48iadj4iy9SwQnD7g7/jA4MKdnxac8LGAT1uts7JGONef
fvPafMf8wTntt88W+36V+djWAAfb1NM/PltY62vQfwiT+zG9rhrsPKZZ7/rW2jCTLi1dLReJLY6a
OFsnxTmS6bWlmcew8OQChjRs/JrEas9ztyJMNrGi0ubtVlUEFUl6xs5oc7IQrUvDtND2R2yi6NCX
2bEqzXVVZMdIrDR6xCxc2KPHCysJNgA1SBxwzxq+QhBsr2Zl7a34XmGYaaTOieJc+VG88rVgzr4V
3w3bYdLAHNdekLiy8Ctlg8xuV1nVqjXM3aC6J8L0T3tAL26PCzRoriKg4DyS69E9MrUHQQWSxKYj
ekJnak7dScn9cmbblCBcnkqIGquihTRLsHqJ5Y2gECt1HtNm2CSJuvG7KetLARUby/Fk7Jul43iH
obBWObHnKRcEzz8d/bQBJyBnGN0nYOVKr6rTCopKrXVXWf8wRlZ/XOgDrlHQIfelZ+ClCaD1RMYy
KLS1iHhEOmGuNOFuqPQ+qz332KbDuU98HKT7HPUQ+8HjsqMrIMaHP39M9EkO/WEGmk6HYH+Rsukq
2nZaPN/KQ8dcdWA/ZgTt5vGLT/61x/B5lfZQcs4a2wpLRrUvvfhslO25X1cURvuzENiUBvV/hTMC
y7EbLUg5ITnFPQ/0lLmr2deOS9JdQ/c7aF8LK/tvnm5aRL+5b0DY1DBVJnAWGA3j8sf7rjmk0R0h
v720Kxu5AqlUwMtGBGS9RMBVJQgOYd+t4bSQCyI2Cp5M9CzyoCO7obBSBpQDbYUqflUCryiIdDym
lrfknLixJTkSuiB2NGwvmVjXRtLvwkheFpy0RhgF0JKffYuUYpONsOE0izyoOB+HdHUq0eRUXh2m
xlZ/VSlvzPymURCFc4KORjiDSdHtg7bdoYg7LoTnU47ITgNUqysh3AfyDLQZJoMroSXnLTomPBTF
K4CeYGkZxVXXKK9uYCRzJxSvGDguaxHdEV+wrtoaD5D2WlARCnqf/G/uwC+3FWKPEbQnQLsb9K1r
HNfuzK4eO+ImBkzEedotCbdF+UEkaDDn/HKbFZyRMY2ZaMRSqznForerG1aPQkWF4BC2oUEfC6S8
jarmGuncVKm5G+Py2g/7c4mxc9FOhxal2RhROS99dWOV2aUVdBsV1QQxQU+eWlwmhBFIHQIfVcwq
shYicnZ+pm6JONt1Jv7SxLlMNZ3zSioWGCKWLuiNEAidH6grvvoTVYPY3HasMuEtZegNtcFlY8NI
o5acnzTeuCQMdAV4cJ7YKMXqu2i8nBDfhJksAnnsFvE2yrzbiiFcDxxy6E1Aj8Q+6MTjMpjO9JVB
jGrAIaIRO4kJGMzYfZkS2QuGLNvoeqLORwN/LVX/5jZK7YucGDx2nSWISJoxbtFivo+eysTE+q6/
hk6KZsO9Namaekr+DI96BeAX9kTunWS8hhy48l1Txht9pLmQF5dpJ/axHx2bOqndWMNmJfwKzJsa
/75ZuLlcYYFaeH6dsTLdRXpHgHa/SWUA1Jo2BQ6R9NoIsju/tk76yrhJyAKaWeLOGsurPpXNkqd6
W3r266gbx54MxLKrpZglmn88QA5DfTMMi8p3kqVljicYbGbwCs9x21Vru1IPJtklS8C8+9wYDnEZ
wEGSzR01VYKy8LPMQ3fYVWZz3Y7OUWtjcDdUyu/xNgY2AHUmQ2jSz/UgugImdid1eaz2/WPaIyFX
MrgMibFROqRYqrpLiY6EbXCTQsJzKqKoTHcvpHLqx/dYq1CgybkLkK9uwwsDxCa79Btaoa9jCFiU
Eet7F+2AgWEqXOcNVkGt3HvKYxs7r+6oPvR08Hy9X2nSfYpM4jdSGwG8Ze099yXl0Gi7S1M5q5yz
QjuzjPNM7qM23FWElUgDvYSxbwcowpFznfY14mB0RXibM4FaBaaDHr3EISmfHeef+s52rzqKyRD8
ZkbySq9woen30r+0fWyrTjVzzAuUtcCqun0udR4X5TRSYVyFU+foREW2bg+Q/lijQkHF3l5ZZrqM
37i5gvXhXOueXKuAcWjcNQCaxcB7Het3jrtL+w7m1YU6AdqYK29LT4/nMrQWfvjYQaNJ5Wsf5fO0
cB97w0hWbls/kg2/CSt/g6Dmue1QWdBY42iXu0Qw07q03G5Bw3fWuLmzjaiwzrCX1gvHT2/CgQjW
Xh/MZ6XS6Uhil6aL4qw60v/gC18Ffmkvxki7cmPlPh+G2zwer8Y+2o1eY8PcoGdsZPQkKDEmS+rf
2dIWHLraLnvK5bh2RntD72hqNiLJwn3PvoqGmUnaSqUWyw4xTIr/s0GVJLUKWa5H1miDel3Yj2nb
HgFQeXEGeQUtuZiXkb6JIkIlcxSjMySb8dKzJzMXtOGopf5OE6zQqIuP5gnphK+xSlVEW/uNODKx
A2h5dRp3BbMvfILSOhuGZo29W1+YqFdXlTng4essZUG/P1zQLFXmtek2SMeVYfYfwchJlxQYd1lY
7i7WI5UWkkQWlt6B6cpmaY7A0q+9vRFoR4xNuESwPMW+QKLPbdKc7EwCsyMLhowxcfm2O/gBx9FP
OHq+fvri0ByWb8mFF/KlGvYvtUyaX8L+pj/d5WHWXOV/7y+9yz++f6GvQfZfUjx4YLJmugM/zLNv
9Stve+oP7qC3W3q73z+7QnJowkY+v/z7Xzq6FAudCw6+L7/YhBM363/9Y9t9S+LANGSob7++CGy+
GaE/GoM///G+DOaf/50PP8DhOSX/KKybKnxqvh0CUwNA9s2W8pfh/P0g/OYavw6C5v5scpxA4+Z+
+SmpAHw7CAICv+Oisfw6RhySGfR/0CBoKuULUik+OQ6687NgI8uGW3x3HOyfYarhFbS0LwPxZdz/
QeNgEx6mG5RQ/so78YePA++EoHnEoZQDx/TrN4+D9jNJ36pgLP6hw0AFXvutEu4PJoY/HASNHFVs
qrr5B4PAO4GFVLN4XN5+cfz5Z70Thi7ElxcVeaP/kv+tiQHIoSY0lbPnxxnBIcjDVnWOeP+0H5vb
xU3J1/LJl4BsEUdVcSFov/nR3Z85hTuEx3+dDfnjv/rF/4WZ4pf1FRh48vy2soYv9fcW4D/6C++L
yu///OuCsn3+97+mhfPDX5wW2i+f/fJLWPF/fng53ub7b/7wff5/+5yv//zrD/j7j/7wWe8/1ftv
bsKX6lA9BcPbHwxfb/PskLI+U1cOqDfvqsPzSx18u/Bp1hSz9esN/ftfH273m6//T69f14f0/TLT
yEzK0vf//7L7+DuXnYUYk98vM10WTz/T8mfvdnOohkN2eL/Q2zdpWA7r0KevHKaHp+CQfHekiXti
af3sRxwdSJz56f8c0uL//nR8gM0UfhghplKXl/azn3J8qDK2pvHHQfqyIHz62jynyW8ubE7C6M9e
+OQQ18HhuXt5Kd4v9vbdTiLq99/4+w/j6eE5GL7/Dk0i7c9/wPlzyO2/X+ftLaLm9wO+zJ18lk/B
S1UNHy4ujCke7bODvpNZdHh8v87bXUOs+QF3vT9EBwQahw9HlanJ9QOufRnGcfhhwqIwPK3Cnx2N
q0MaJvT0nuX7taYR+bqJ+OzF36DK35taDFp1P+AJv32pm59mL5l/SD7c/bRHff+Nz7w/TOZMWE31
4Rn/evL67NisZcTVP5zpftnGf/ra+Yc7nq4LGOfzI8Kq/Es25ln4lD/SCN7WCV3h+v3i09PD/ljT
fsRT/19YQP94eULIA/DnBzxGp+GYVx+3A1xatXX3B6ywV/hciUH7dny+XvwHvL3f78r/7rPopL//
3t9/Haa+//RVv19p+qa/HMAndMlnH9nTyToqP+4M3k73k7fp0xd/8dnjHIbffgsUD4wfsJlcvCRB
+H6Xvw7LVJf47J3/obbiy8i/ZdH+snH/e1vh+cTRCX8X4viltPIDnpu/EhP5yR/hbZ35c3j/Jz/h
vwUOffL6Vy+8Wv5v9/i/nmk/+xz9VQ/gJ3+M789Hf0cl9Kc38r3z5i+Fyd+fQt+rrt/7Zx+P2NPf
eEpeDtV//j8AAAD//w==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plotArea>
      <cx:plotAreaRegion>
        <cx:plotSurface>
          <cx:spPr>
            <a:noFill/>
            <a:ln>
              <a:noFill/>
            </a:ln>
          </cx:spPr>
        </cx:plotSurface>
        <cx:series layoutId="regionMap" uniqueId="{0A754FF3-821D-442A-9880-2C00D8F982FC}">
          <cx:tx>
            <cx:txData>
              <cx:f>_xlchart.v5.6</cx:f>
              <cx:v>SALES</cx:v>
            </cx:txData>
          </cx:tx>
          <cx:dataId val="0"/>
          <cx:layoutPr>
            <cx:geography cultureLanguage="en-US" cultureRegion="IN" attribution="Powered by Bing">
              <cx:geoCache provider="{E9337A44-BEBE-4D9F-B70C-5C5E7DAFC167}">
                <cx:binary>1Hzbctw4su2vOPx86AYBEAAnpidik1Wi7pZt+frCUMsyCYJ3AATBr99ZttstcSxrhmceZis62iFV
EUxmYiXyspJ/v53/dlvf3YzP5qZu9d9u59+fl8b0f/vtN31b3jU3+kUjb8dOd1/Mi9uu+a378kXe
3v32ebxxsi1+wyikv92WN6O5m5//4++wWnHXnXe3N0Z27St7N/rXd9rWRv/is59+9OzmcyPbndRm
lLcm/P357q4u5fNnd62Rxl/7/u735w++8vzZb+uF/ummz2qQy9jPcC0WLxglJEaMoa8/4fNnddcW
3z/m/EUYRpSLKIy//rA/b31508DlT0rzVZabz5/HO63hWb7+++OyB4LDX8+fP7vtbGsO2ipAcb8/
P2k/y5vnz6Tu0m8fpN1B6pPLr4/520M9/+Pvqz/Ag6/+cs8Uay099dE/WeLsZmxvzI0C+f5T1gjp
Cx4iiinFP7UGexEyHocRGOzrD/nz1t+s8S9J9HOL3Lt0ZZWz//k/ZZXMVuON+VMv/wGA4Bcsxizk
j5gkfBHFHDFAyU8BAuLcPCHPzw3y48KVObLT/2pz/By/9/Hx4Bv/rrfCL0iEBQu/7/9YPPRW8QvC
CBGIkm/w4X/ug2/4+O5NHpfm56b4ftkDwf+7XdPFDRxFN7o043/SOcUvaISRIFH8mHNCIiaYfgNC
HD1U/r8o089N8ODiFSIujv+rEfFAWjjAr28aWT+7vPls/9TP/7+TCsMXKGQhQmIFCPGCIo4wilZI
+NeE+Lkt7l/74OHg2eBc/j8Ek+u7+qYtbtr/JEj4C4EQi+JwZYn4BUKxoHH0HR7w8Tc/9M01/Uui
PGKPv55ibY7s/5Y5Xl7/D4SA993zgwf6Wcz3IGp7PNj7EQLvIGLbf42d713560+/ah3C+dWlv5Lz
2yOcfP79OcGMgSP8EZMfFnlo+H9yB/cuu7vR5vfnAsGpRwgXOI4E7CECe8fdHT7h7AUOEY4ZI0hE
MeFwq7YbTfn785C8oDE6eGoSM45FhJ8/0509fCReIB5huIpSzqND7P8jZbnqal907Q+FfP/9WWub
q062Rv/+PH7+rP/2rYOgnHJw+SKG/0VwN4xwCJ/f3ryGrAi+HP6/cSDCspmNe1n0V2HeTIkKhk8N
JUU6LiYJjDqlel6OrVZlck9TP7k1I4fF798csMYBbBh0QkJ4InBz928+ByGqHO/rfVgHy3FuWJEG
pvTpOOs5MZabZKkrfC71VGa2R/LcdCG6bX1c7ON+Lpt9aah2Sbws8+UUCZ3MyxydteMyJ2Mkyekw
xm0iRx1fEKnFzo5+6o5zthT+OEf9Lh97/mqKUaQu+kbIdGDsmpQkTnmBYUG+dH2yzC58SbuwRjvL
9EUhGyUTqUzaRWY5qhnpTRLVmlxyugTXIRq0T/qGLK9GX+BzLHRwzRc6p0x08UtHiiXhnNCLQqE2
k0Hg31ZyoPuB53USVvOSlDWzGfYoOovVFGeRlPPJQikl6TwGgUwwLwN1TPmAz3k0ML0bA2ndSTBE
HTkb8mDoM8pJnhUylskY5EylXenFJ5HTiqQK9/g1icOiT3UTmzIxAWhNE3/sp0qfm2IMjp0ayuZV
Q4rprsk9+thSrasERUHrU7S0cGmMnfvgiqJUSSBc86Yl+r0dgmg/5bhMYmzOREvP4rbtj4tq1MfT
KGRWDcEnZlF8gSyd2a6285DUVlucKFVZecYqMpvjpZnnS9sPCxhLqbNJzE1Wl0xlWBTCptUguvMW
c3xS1nNzTKbSXRekq7I4d8VOjnY50loE+8WCuXWo0E3dMrRnba/zNObNnKkgftn4wZ3HShZHqh/7
CxKorMM8apPIlT7hgRbHodHVPgbkRLvZ2PDcS1f2aRM1PB0rl/dHfVCD+cdmOYptT08KLuakDXB8
NFG87Jix+j0rQvGeK4Uu+qqHPV1EZyIcSKIP+9wUsk4HFNML4sf4emKdTMrGmp3Tnd4TNOtd1MR9
lBRDOSdgQX3N8VLHSRSN6o0odBzupohFYZf6ONDlTnVDaBOtpftUCUvCo54JjEDFqB12Sk8S0BK6
SB3RZWlYQhym01Ej5XIpWk7+aGluXiPSyjLhlakz3wr/xpGc3y0FHt9wp+O3xmg8JL60wadK4vlc
2oZeE8VQuJu7eeCXtFRxs2/nqRt3+RTl7igMgiFjcVRVqUOyKJJZDUV3YlTh/uj9LG0yVRifV2M4
hp+E0D5beOTTOArFALhm1R96Husr11RqNxS2vtYSR8dtN5zoVkbHonZfFhP0STPO7ki1hHwpOt5/
lrOujn0RyYtB2fJkGY3ahXm/tKBOMl2yuOzPUCR7APUcmrfM4fi2ykl+EnRs2QVRHaStdq5MC91E
xwoN1bCTodYXSziWe0/a8T3J62FfWxdeom6JbvJlao+s6+QXyEbDvWtd+7oNJvGmc3F40xQLuwrt
YrO8zEGFs9Bv86rssnrS6NzMRfOhrKLhXVcR8paLmJ6U2sVJ33uT7yI1KZdaq1zWa123iWrrWacy
l+F4W0vcFmclGQudNFUt6Fvcyc7tI7jyw7jkWV758kueE8aPqUd22Ydl1C3H2AULTYys/L5j3ZHw
JfFJHC2N2FV2nFFaoKEtkmj2LNFhEI+7uZrkDey02SdtXnpwSDyWaBdI8Ma+L8ciLVWXV0e8d77d
EWKbveUDj89N75vThfhQHw1UhUUiAixO8kGEn6Igiq/suEwnA+L5e03wmO+qYHLBrmqdDPZ5PgFs
JhnkNyXzNU9yE7uzwkfuna1aw09yPMp8N1RqeRUOVa3TkJTTPi/kfNNWc39pxlLj07IR8X4K/Efv
ghbvfAGKaac6eNNa0t8NuZ9O9NKVe8fxZPfI2lYkfvJm2DHftB9g8y/FvlmmuUidVzHJVG66KrHR
4FEyuIm5tOGD0ak1g1EJdX34ce4nsptMqcKjpkQtTZgdzMegdZruuerp+4b26MMgC5miYcG30hqc
ErrEu9gs4xGqC/3SzSz+rMnSXaJhjquMRAa1SciWfEnrJe8yX8xTlMLX5NlghqVLi56T69zPrEwc
BdAnHTXDsa9GEKBRiyqSplxcnriwMn1SqKoJEqVV34PPhBpKUi5e1lmnfGuSvIhsk2JGlvlIKNcH
WcM6EST4cO5Aotm9g6MnL3a+qrhNu3nq3yppljM1VvERmKxNXSXMEVX1fD70ORx4RdzGCRq4OZ26
SbdJXZLApE3XtFdDrm0aUYBDHyiehspHVzr3ZbmPG05eVtPELkNaj2kx4Pa88aMDb7qUZ008uKxU
Vo4JF6xqU8FoXCdxT8rXQRiHbOfQooOETg4dgB5AkGBGvC8g3v9c+Qb2rfUynpNOxfrL6JF4uSyK
dCkyc3CkUQGRUNyZ8kNDJ7oTqDOvAtVlxLD5qnRh/HpRrngXmqhKOux5mo/INklf4jyhbROlJY/H
c10W5UvNNcAWs4C+rbthup28VIAZOfIEo8LPSVgytKQCEZQQGo0XYinPPW339TjBgWwHnVHU9RBB
4PJ6mit3OS09XFzSQV3iLgivalmTSzqHbEocD+Tr2RiUeGrQWZn7/dI0TTJ19WsblFMSdEuYQkx2
JFHR7iCAvaVTEO0cG18qX6Ck8Xmf0KqH+8GF7GjKG35qOtdli2I4bfq+PKI9cToRVSuuXNnFVcJ0
SJqdwhR3Scf67qxTQnyAU86xpINNBXEQBEJfmqlcLr3u5/pEyGB5zXDFSGKJpFXiJhDoBJcNHROs
KEqktuOd9YswGRXS3FpRjv6oMdNUJtPY98d8wuhc1e2Ek0HUsk+rhvsIXGvU6iQOm9ydtJL1sHSx
QLSmGtu+odQPZ9qbxaZTTbWAkC+C87C30r43kcbv3YDqPS/E0sAROg8sMcxGTQIpPJX7akDsdukV
f0XH3L0LFwgp02GS6rQQpCepwRB97UeNurdD0eh5H7oJ8NT4OL4adL9cKjROx2PL6XUV5PExwrh6
SQomPsxajSidQ1t3OyXY3J/ks6QKhGYgyQQOvE+LuMYyGSI13sUKy/JoWnBD4ESv/JuIRFGZQMSO
adr6CkXHaO7GcxvEpd5D7tCdl1XTfzG8gNsUVThPB7tQ8Ku6HOs0ZBScmJxcpM/HwdXuZdtQVidj
Edg2rZtpWva0CHz+skCzaHdVEYLVe7+AgioVy3qnICCOjiJf4jfTmI/Bqc15gfbVhPF0GrNhEkdh
qCDo6Or41E68FhD2oBkiYJajJPRUnfZ5FWuI1rC47heH3/MSsfcA6mo6DelIzpqwnM8XcDoKXLri
b32fT+3ZzFQ5JEi6wSVqjiOyEzIeIWTt5/5saevgRgSDnHd5sPA24QjCqL3DrZYphsxhOjKI2TEF
m8Tjaenz/H1dT9W70deTPF9Kw8RJZFxxUnejPSrHIbhDYZWfqjxkXYLgVDnxswNX3Imy+kAcRSVk
CYF5D9buL2i4VHW6NMScRODMj3Nd47OFFiMEOrk5b7qqlmmUd51L4NH3HoSw6czofNlPUV3ueFnk
OqkgPLK7Ph6ia4Pw0BdP5GMhWqdjEY6hEMWhPxGJkFJIR++nYy22xtaSmn0eovqkM8UfrWzfDGH/
gcTNGxy1cLDyMt5BkPlJV9Py6tf5IP3J7aGNdaiyQBcFocPn91JRlWvcKBeY/ZjrIQmWvj0H5ddn
v77L14z2QdIJTxnjQ8aJ4D5Q/n94G6+XCbuF2v1UGMgJJ9sXKQ9III5puYgpVVPf4ATHbfm5heMJ
77Ab6iYJp9p9CGcfnfigteesb8xrJXl8cVBZyijCl4Hr/QeMIVGQihVtauFcNFcEsS4/+voQ3ysg
33Pnb2n8bdf7URbl9+bjj1//cd018N/XFtlffzz0Lv/67eLPpucvv5XddYcqll5/6SDNj7VAmO/S
HWogD375p4LMIyWXbz3URz58UI+5vd9G/LOkdKhXhCH0zB6vxjzoEPz4/rcyTMxf0DDk4P8IZdCG
Y1AJ+VaGYeJFCFsuFrAZEOREhzLF9zIM4VBsOZQoGGIxgdI57En9rQzDXnAGnYpYcMxpyGBL/Ttl
mId7P8AhhVJMFB2q7vf3vM7nvFMyZsdluIujl3qC/tGP5/9JjeWxdVdYirGcmK5nvjdRWZfJsnj/
vsRs/taZ/daY/TeWB6vcF7vigfJubvkePOE4vnZsQcV1MS/dl1+LD/3p/i+s/qUWqH7dXz9uFiWs
yhmk4JFeXvVhE0NoSqooTMBzADwpGcx3UP3bD7MqgWmwfeWKlu1nDV4jgfirGJPOM/Hp1w9zcCw/
e5iD273n13g8oL6KPdvbsKcXYeho88ahCrFzL0w7ZwFf2AjBwdC//vUNHzG+ONT87t2wF6if+OGG
Ux3z+bQrbW5Tqm0p97++wcPi4Q/zHNoW928g5OKQsSTaO6W5O2We5DjtlcbleaTKCl+EVlmVDnpo
PU9QTcPhCLXlNB7/+v6rE+svAVY+vOeNVpH20d4WxTSkAouMk/BLr8jgVDIUbmoS63lw3rkiVHuL
u060SVAI3EAJewPAxGHn3tNxXfhmqiMHKhA4SsnYfeGRk08832MGXHmFDpDqhDfR3nvNP6DOd0k+
2erlNtFXvqEWlWSajNFeESnvELBmzttAKptuW37lG7rARf1QRtG+Nnx6F7qBJnO+8G2eR6w8w1g7
SEnwEO1NFyzLHs3BNO4g0+j4RvFX3gDPULXzdQXeoKO2Sj1jM02GAaC026aflTvAFcQPnYZkuu08
Z1daQiP4XWNM8ITvfGTz8BX6tUAWuTkS2dKFDcT8NBiTWSo9PqGgwyb8iTvjK/DHkC7UFvs86wLI
jo7cGPbTvnY+lLtBljTeeJsVxAntcgElB54ZY7E5blnXov3ShvW876Vx8zao8RWOh24acjI3Iuux
Wq7V6MuXLWfx9a9t/ZiuVkB2ahahg7Ajw8Es97UeOTkvqO+G9yoSan5CVY9Z/PD3e76oFEWvBO9F
NtbUnwTNgl7GRTjWT+QHjy1PHi7f5dIjUA7LoJyH5wRVM/3IoDey/7WOHlt+hWjIATsugOCWTTVY
wNRFs6c24P1G6Vd4tpK0vvaVyKieFNjAizlINPJy2XiDFZ5VHERDPIP2odQwtCd9GLVuP1Z8cVeb
FHQIXO+bl2NPoAI7syzWpXzHhdZXsywG/4T8j8RabIXnJoZsv7IFz5paD/lr3jSDfUeGJUanJihj
/grKBoSdbHuWFaq5H6GhCXyHrCfUyGOzkDlOStU4tA3PbIXnWfqBGTzyTOkC+jK6wZNIKkvHp87m
g1p+4v4O7eH71vBFVaAG6poZVI37ESoghPOrJlgmdlqYvFH7ucC+/VA3gnyybeHaJzT3WMzDViiv
5yLnHZRus64WdX9aBhqS8WRRMYR1wriKmqQ11TKlsoTk9EjNS8F3jDrSvZkQVK82KnjlDXzOAi5U
kGcND+yOSMczwWvyxGYMD7D8mXrxQ/VGk5nlgIc4I2gZu/0S5pPZR/my1Mc9dND9S+jIdF/6gLrm
mC6ijS5nQnB7gbkQ1QehcBQ9IcojfomtHIdoq6jvnKRZz3NNUrbEd/08u2Gb02Yrt1GPhIV+rng2
Br3LCgO17aQgovi8CWjRymnYcGSiqgqaFf0sPkZwlF5qFDTbfHa08hkDKdoqCDj0p2vIZFIbimZJ
oATv9RO77BGUHQhQ91Gm5eAjPI8iM97l+ETQcUR/zH0IiCtxibqklbZvErywvrjtm0XjbWaJVv6D
uLaGTTSyjIm8sUk/YN0k3tJg43ERrfzHQhc1WDbyvR2icM/8VOwW1gW7bWZfOQmWx6ithnnJtC1M
trQcavJjXz3hgx6BRLTCPlDYymCGoyGrsITGkAmrXe47vHFTraAPWU8nQtktGYa8MUFl+L4t6FNR
62Oir9Acsr6lc10sWcG9ubC+RRALDGVYbdw3KziXlTU9Gf2SBXkTn+BpVrucCJptMitdoZlAGbg3
ClY3ORT2HeFA2mhCuU12ukKzaDHUPTmYNTC4TBWxU8IUp9v8KF1BuULBiFyul2wIZX2k47ZIp4gu
R7/WzAE2Pzkv6AqvbR6VyxIGLnNBdAdpp5qOqFF9mxnH2cYnWEGWTHxqK5W7jABwX8fQ+d2HtFPb
0nG6gqxpIRRyC3NZRyN2AowTu6t8u9Hd0BVkQ9PUuVgqmxW6pmeybvgFtN02ir5CLBzUuVIhMdnQ
VXmYjhHWKS9nVe5+bdxHQEtXoI3yQqtggTJP38r5VJnCnNs8rzeCagVZqI8GU2grczTawuk3xCFR
v4xGAa3zTeKTFWpVKKehmPAMIaFdUtVHH33s2yc2/iO6ObAK75+QURUoKkQ+7Ye6DBNyIFINcWw3
ir4CLekrivNKTKD54OOIIb5r4znfZlaywqzqF6CyafZddIoHnEQT2yr6Gq2RyKFFHE772EHRGB9W
19sVczDHvVxboanPaw2rz1VcplYomzBoX29U+wqtJY1EByxNWJ3iu0HS+qiQxcbKFlmhVcHsnJAF
LB4vFlh10OiEzIvN22KDr1zPe4qZDQEOo1fTPjK5S+YQuvFhn5ttRxRZYbUpe9x2BNl9OwGJy5Xy
zlZLuE3reIVTDfSwviud3TeqBJoOjT4Gk8YbF1/hFOXRSHwJXU0+oHanZ3mj7aI3Lr6C6aDjuYJI
2O4roLQlrJJ1YkfMN66+wiknVVDIIAbRYxteAHmFXEEzv97WosIrnM5AN2qBnmwz4NR1OllawaJd
cCCkbtszeAVVDIypBpq7U+Zp045JQPoo6x02t5u8O15hNZRAPevmBk5WaOefxpUOd1oBnW7b6vih
n7Fj3hOgudnMxORTWOFXmpJX25Zenaqz9lXjfWAyWQaX4B4/esw31grxCqexlA0PW26yypXQXC+j
607l3TaDhiuctkoHYyyszQJpZFpX/JzjAW3b7IcBkPuOHdrCrtczcIeBXPlZ+vA9jponqAePHNXh
CqVCuiKA89pnsKwGTjvWJUu8JsU21xuucAoMSVsqOpoMRrvQB2rADyRaLuG2SCNcAdUONUZ13tms
6cZl1838j1L2+Ua1r0CaCznwCYjbWeSBrNM0PYiunuq8Pqb4FUTjllHZB43JYOgivhC6CC/qIO/f
b8JRuIIoNtiMMPcN27HMy4Q07gMXcqNJVxhdKLDpcmA1ZmM0kSQU88d6EFfb5F5hlDo6O0lg7aDS
19T6C2BdXmxaGq0Q2rk8LwwpzB7lQZAGVX4uF7SxPoBWCA3DvudLgIM9QwcOP/8ogJ21zbWgFUSD
EuL0sQOd1GX7qiu6o7wpt3lyGNd54Fgo0KHJDAX8fbcA58/hMxptO0HRCpi9jwzresjtWFOci27O
2jHf1mZdc7FkbebSWhC6b94uEwxe8HfbdsgKknVcjf2iwIgwK/DHOMevxMK2+Sm0wqMdJjV7x0zm
dRVeL97grLJE77YJvkIkafO5rWRsMh0AlQC36jjO4w/b1l4hUtVSR/BmgWAfSYhuA8RuaAwk4C2L
w/ziw/0HG3sYagRHcinZnESaBrs45tMm4NDDSPf9YxOYk9zQaAr2A3szdjsBVextYq8QCYTpgQ6l
N5kVQOZwRPdJOLDrbYuvMOmg3+V9m2sYhuiPXQ29/YFUZtNOATbjQ5WM1iIV1LC4qKMrYvtbSf24
USuHk+5elhXTyKNBAEd0bMhVBGvPdtq69gqaoZPADIVxmGzBBJ1bUVSnw2FUa5vKV+gsNZ1qiGdh
o0QLSxZUva1ZuSnAovEKm3NsqVMxIH8m3lQpojnrdhgiILnJtcBk5kO1966hOfRqTFbQ/iZw03to
PrzdpJc1WWsiBI2MgF6sLaLdYGG8kAjMN8URUBB6KPhYThzq0TMIPs9XtkOn8zRsRKhYIRRY9ojy
kuhMKHJRA+FwLzjH2zS+5lfZYgTOpZ1Mhvr6FQ3qtBrLTUEKFWt8HiYZC9LoDOMIp64JxzSk1Zdt
5lwB1ENHQYvGaGAzsI+Fnk8lj95sW3qFz3k0uRI4GDMf1i6pOz4ctU21jYZB18SqLnJtPAFXKIMW
0rJrYeSIE5hl3Sb6CqC2xzA+HLox64BrUycw0RGcBRPyr7ctv4KnCwh4RWrBopP/rCGCm7X4Y9PS
azaVgYOn7FmnM2B0v577/gQ1zbZ9uCZSTblQrKrpmC3TUO4nV+BdULe32+RegVMuNNfjrHQGo46p
ov6yEU+FnQec/HPLha4pUy6AevDU8zErmymyychZdTGwfk5cha1Pt8m/Ammk2rlVXTRmtSSf6pK+
D3p1vW3pFURnYDzWjOcj4H+C4WQ9hkDup9tadTBr/dDjFriM5AhzjBmwXt83U9AmNOjfbZN8fYbO
Qw/jQaXOIiyp2y/Eepq0oi7VtkOar3BKywKmrEUNW3IOXskGX8thWy5O+QqjtYwGSJhh6dzHrwyS
L2EkdVMbiq4JUrXweTNMfsxI3uAsENi8CgsnNzF96ZofhfmEoknCTszR4hM/DhmhG9lpdP0GhGbO
AzPD6BVMo/YoQRM/GhxM8m7aLmsulBmptTALCXrx6Gzy+KyO5m0YWrOgYlfUthqKMeN5AdNUiz+L
Rxgd3yb3CqAx7BI0YzVmYTddkXA4H5HZKPcKnaOE7gRzMJOumXgP89OvajVsSuIoW4Ezn2mjir4a
MwaaSWIgoSeDb8Q2f7hmIxkC70+ouniAvk05pCNWr2Cmb1sIuqYiIQR5VhuhAV4aQRoYk4RCxd6i
gG1TzJqKVFUxsNIqD7iJfZPC60bY61qiZZtF11SkqYpYDly7IVviEaehppdwkm7rntM1DckGreii
uYPt0sUUKfC1XukyEfGkNtVwoMP/8LgALjCKi7kF3Rel42kLxbMsz+mwrY9A13Qjr6wVY5P3mQi0
GtLJ9c0XG3O3MWmMVlgNG4yoi4M+G0uvd03BKhgnL6NtWcCacMT5PAs0oT6zNcwcIwYkdgLZ7zY/
c3jHzv1k2tTAwNOk7TNNeWGScMHqBmaU4bUHm/xYtDpNZzmy0c2gm66sukSa5u1ch9vOvGh9nOLO
NQG3oPdW9MdeI33k6q483iT5mm80kYn4vnZ9VuXR8h51eQGvnBG92qaYNeGIgJ+M4B03fRa3+aCP
uBWEJjD/yoaNN1hFv9CMU13bT6B5ot3JOIq35VBvq83TNeWIqwZegGDGPuPUvJGFfuWUebNN76uo
t8i9I3VdDBlv409t50IY7qdPcWsPkPxJ3L4mGg1QMheBbfqMjJX4xKGpcGxVM23cMquT1aBg9gu8
EyIDpMYJA+pLEviA77cpZgXV0QfQo69h9WjyNonC/hRegvIElL6GoD9TzAqnMBUO9DqBu2xiqoDX
NjRtBc6Gy1mlRRMX6rjpvXtjG12fEE0ClpmyhCFsGHHjwxXU//T4Bt4txI4V9CW740q1lCW8llCM
L+ZBIJcstBrGt27AgU2RH1p105VlMKQMAsv/5ezcmiVFtS38i4xQUdRXNTNXrnvdVl1ejK7qahDB
K4Lw68/IfurydO+K8HX3jlwWCkwmY4wvrqMUvfZTNq7bWkvYjF2FmAq9XRGplItLnG08uTaDsK6K
QnQTvgRQ9rpzRMSS1STb8JtWInbjzCaY/OG2i/16VnG8+XoxivTftixJmled0ABpOlE6TZfcx4W5
zBv+vfWofXoSIeKzqj6Lo66iLmPrHYsGVjzSvIcv7BZP8gFZSLY0MZ2vY7vM/hIORe7OVkmkYpg5
YUh/ymyCFrbkJqmYHBV88aYoXJXPLclKNbRz9GB7mPuvkkQ6uXiMtq1S0pmr94F6nnsTJnUSImSg
FM3c+A8yEkN2rApJdgum2pKVdisZLjTlA7o+iDFhpDi23uyVXiRpHApJOV44VT+bpPvQZO2x597r
vAxuYjYZ47nTtbkshbxv0uhYc5DsVsnUQJkSoYN0gWF+K5ug6MpCRsPBMdlVNjOSU2iHS7sLi4W4
5T79RcV8rOgju3VSwN5q+iwcLqtbkfFjt/ZuIFodW8rIrqbhtA3XPqbLhc1d8pigfoXyf9VfDy1l
ZLdQzooZY0YzXLqcrW9zPnk08/tcHxz23Uo59a2GTaQYLgWaymUai0fu2TGnWbIXeYWYwmmSj8gd
GsZG1UNoxWWbwvbgKWcv84r6NvIBwRdJmUq3U7z0K+JugrSb6kODv5d6aTXZJuB6uOCi6i87Jvdp
sBxzdCRx/ms5Oa52NpPLhgsPC+jI9JJtsiKFiP869uy76WrSyROzxuNFToXPy2yYCO7Y8xhJQ8f+
wG7G2rGXUbgxFAjIyy/XzIpT27YHC4S93mvMbCM8wxaOOxoEn6wRrcbAhpdjz76bszaEVTpt+wGu
WinvKTGpLuk002P6/mSv9lpEzyBkGrAM92t2z3sSfsOZ1h1rBce7SZttavJqQb2KVtZ2bZJmvWSh
zg5+9Lv6JiZyLdrb7iRaxarFTqxcNbKgjo38bmNFcN+2bjgnXwLXk58cavOfXq3qmPIz2Yu+0pj0
gotuvKQ0M8G1K/qoChtr09/cHf6Hry7ZC7/gbW0aKvP+4mVE5o9j15qharI+Hm9ZjMFHGM6eg6CQ
okYV1xWIX8Jh9MyDNB2Ovf29PgymYBquAvWndRPPq0AJBFAo3o/y2DF6LxCjIfE4s9xWpkZHzYNq
GXxnbnI6PNad2kvEfLjOsNfG/YWQqO3KzQqbIBAqMQcLrGg3veni1dzH+ANujSFb9utnqPd/HPqA
bxEz/2wDSK2cLlbfX8a5X6qNEURKpkcffDez2eQRG9ll6oLa9izj7j6Ol9+cW27/9n85tvxtofyH
FkAFQcgsEkQuOjFL1QUJrhqsf39sUHazWnM5s1tq2aVZ5/y08hjBgWl7cKvc68RsBnxIjzd6aect
+K6EJT/mANvNoWffC8UWkfRD0kfqglrrOTP+QU7sN1ku/zHme50Y23DPSOehvyBhjd9Hcs5LoFDs
sU1sLxWzHW1z0xF1IV0+MAR+5dM9z9aeH5ume8FYUmwDoX2oLgi7FdVU5HddErlj+8BeMjaPPWNN
0faXIuH2cZlVUmVamHf/+53eKvt/+djD3SQtbOeMjbC/S59MKPnDhRUnGUbDcKI41fXHaqy9hix3
tMkpYcMlXAnyMXmqxW1qhcVwbC8Od3uxCtplMkWLbzONP6w6fM+i5uBnv5uySLLQeTjj2dFdSxGG
jFa+X6P+0OsFwePXVbLHxxh0UAWeomxu3hsXjB96nh5zMyFV69dfl20frWG8yNsanL9DgHZ60W2a
Hxp0so98G9FdCBvVS1yGoysxTPm7IGHtwYHZVc2r071DgqiEQgARThXMh9NXBDUP5uDv7866CKRp
mlHP8uLn7Dt6R08q45//96T699WM3NLN/rnzJSbEbTUcgjCtIrm3nJbV/LRkOha9QYrdnG1xfOt5
cxv2MW/QcFzyq6LpeuhzJ8hf++Xhh1ism5/x8A3jaDtF8VgiUuXYDoVI9F9/vaAeGaIL+m+R1ZGr
EYS49ZXoe2EONV+QevHrH8gNUsRR2coLUl9dnbMwfB3g53t/6M3uVWWOtuhw2SmoWcS24V6EUfgc
x2O6/ubp/+60/P/1mOyFZaCSxRulKz6dWy7qyxRF/XrXdmaazziIrfEZWXpICZ5SuQ2PCAzN/eOY
iUl9jSOSnFca+2uWBC5FyHezIl3BBV33ovp0Q7TsNLm28ow3/vvQuHY99yP23GpNxfaDqCR5MKPQ
967l5kya9Zb/jwwMXoaqTfxHHsHf8q675VR87Nt8XGoc2BKP/zrbiodQfj6LkQe+xv97aZ9I3Azm
x7FB3x3QoWtENDEMySfWROLZFF3xGLcxO7bBkr0kbgi6dEB3FFn4W/iTxtM75Pi/Hnvy3RqDs6ZT
AbXdhXjobGWcXONh+V2Qxm0h/LdPZbfKrGuA+PNl6y7TiKyO67x4aevCQfVQI6K6YFdaUMkPddeQ
1/frtIqmIqWJSbtLMAb0lHRWnv0o2adj47Rbc5ALu+KMSLqLGRJeB43/rEX8u3G6Dfa/jdNuyYlC
1q7dvHYXKtf2A1TVyUvO2fbHJqLgN53N//oTu0UnbAqgLcapOy0bcvtrrqd5apGijGb7tbVwtP3m
UP0fr3yvmoM8ga2GSnYCqbDrzmu6RVCHBfLUKp/HFRTdx7pKoKz8+r4ZR++kmSUGrY8DCN3oZyxE
BzewbDehAwSOoBHQd5cI13Ga2LMm0W8W6P94E3sRHRAdXe7hwa07hjj0ayGX9DzkBe79KTMyPKQu
+Bsw888NPsVv07bNAsR0IEgQXnf2pZiyY9ZWku0m9uKKqW3dLC5ZluozNNd52fDo2GGF7IV0iAHH
UXyN+KVN8uQ8GqfqvGgPneNItpvIIR0jKTPZ1JFp78OGlMlAD475bho7Espl0Php75NTU0yAbMSH
zodkr6FzSF1rl6Jr6q6NH7I0eJjosS4e2WvoICu8BeECpTAKO92LZdGXICUfDi2bewldk2bcOBLg
Y4/YchrHOSldIZPzsV/fzdKw6OYmDYP2krXL+ADV6+eJuWPhsGSvoWM0Y4GJ1/YiXSzPa6H7u3CS
x6SoZC+jC9yG+xQ1t5dWgDAy8vwxyObldGxcdtNzE+G0LmQoaq2SdjvHsf00AqpzrKkIcuOvKy/y
/vUkk76oezM9d3K4iHk4tonvpXSObyCiMBRSUq9t2a99WHmZ/mblvf3z/2Wb3SvpDNT5Hg4/TKLF
DCVUY9VIkSh8bMx3G6xHSM9i9NjCtaRcBVjSMJXN3BfHBGkIpP510Avl4Lno0gJGq8HHZS6b+WHY
OrCEDj3/Xk230r7ps4kUtbIed7bvoAL4zcj83ar9l3Hfa+kS6iOEUzF+iVxAzEPYqhQGI4bg0I9I
ShoubVp4UmaTUemJortmK6BUUoM4zpG687QW4XTyY8TiP1SWxubS5KTNDnXgyV6FtwVThNwNfTsu
zZpdW/Da1hNfuqWvj43rrQz4R6+2b1sQBCKe1dvMKRYoJ8BT4CmNyI9jf2A32QE4Wr1pxvW0Dnw8
qTyxIAUkhzrNZC/DQ8mWAmuh1lN0y/2yoN5UKskO6asBiP11aMbMJEuj8eNmRXazXJKpHGR8TONH
9hq8hK9ww6/9eopFNFaki0SJjsT3Y4O+m+03uAkAfo0+GfBKgDUCP2XakvDYvrYX4TFoTcMkIPo0
QFkDPM3MnmVG9NuhZ99r8IAoGklEJ30KCtx6JB0AR61Ljw3MPvOrnW004CJWn5BRGb/2auu+A22T
HSuD9gI8n3I76dUsp76nEqyFFYkwSXMs9QSgnV+/R1lo4kmeLqc22+Yz+BzIFw+6Y3fsZC/CA3aN
eNlpIN6s4lBc6Y+wV2+/WWP/Y2vbh32tdkJkVuZAEMkiX3ZhN1fgz3089sHs5mnarTQgE0bdK8S1
WO3+Cmd+zEtI9klfgH2oqZFkPYHZNteF5bzCenzs8p7stV8eNoimNSissjH+vijyQXGgrg4Ny176
xRVaysMInEgbzmG5jXEDaBlkdP/71//jmLhXf8mom+JuIPmZNjI1r3xVrTo7Gsv5nMwjdsH//Wf+
48PZK8EaQ5okEvhHAN8d1CZOWdVv6zElGNnnfY28ybSm+HXG+rYGpAvyj8H9eezRd9O1E1gOoGec
T+D8uKpVk6gX1Rzb+PZKsGJMQq1AXDyZbgUtkedxiQBjf2zn2yvBnMJxw892Pmnu5Tlauk8+EunB
V7qbrh4ALT+g13Mac55VSm6igiT1mOwft/q/LpJ95jKd5c14ClQwVwKsnpKM7lhyExzQv/56k4Dz
Fgk6nlo98cqnSlY5YvLrQ1/MXgO2Rg4t55nlZyF6/9EDEPUmwv53ufX/MZX2KrCGWButECuf0jmC
H+VWcIxx9Lse4X/9+u6sC8IN2tXAiJ2TAK1zE/wYZP/x2LDcenn/KFG7KI4a8DOyM3K+QKM1HupE
zbfly7Gf383TSA5k8OFcnNNR9RDgCiAKH2kk+/zYXN3HfY1LvqKKH4tzsUTAaMX3MjxYie3FXwji
mrSL8dMqwfZ300OAqXpsWHbTFDCItuHZVJz9Lfqos1FSJTy3xzanPd1ZhJJr74akRgrXXT+PryE9
liZI9klfYQpREVEqqSnkD6IPHpO+fXdoTP6f5AsxQnwmfVLHdFXRJRklfNfcqvXTsd/f9Yz78UYK
XYfsDK7zhgj1ZEnub1a93+UJ3ibjv5x093quNgDdM7cNPasxWO50Y4x6XrKQsRN8qllzZcpb/qTB
7/z94frvo+q//dHd9M1c3PRGTBLH1s32WxUBBhmPp67DrJNn3mydLKdBAVdT9mTC3r4JB9rddZAj
5eqMg7XowDr0nXFX0CIBXCXEQnbXh5C0diURzltbosgZp8eORvn4ZJbGRvS6BaBRd+XsJQOfGjzz
lrBy1tmIQmigeHVlWkwD+2OcwTeOyqTLWnUlvkPcc+1woM8AEJ2MnavOEbF9QIQcEJBl2gHxg5hv
B5QviKfFGtCkLByi4bu7aOwoou8VepYagNN2lisecMmG/tMYKxxkRCbyv9So8D/P65SYmkLuC8Ak
RqirjLFxe/FuBfUcNTJZ+j8GNG2ztdzmKIxsmeaU8a89sIvFD8VWgH5g5PTDrEqkfQn35SbSuxu9
ArGzR2jUUlnbgjVdZzBONiePK5v4FMQNWJ8NeM+iqICHdamqY+PT8CHKDQUdNV29gi9sGtwdKAF9
ldHR0CcRrm1ehy2xBOBQOqEKy0HkzRUCcMttYnTqod8UA2e1LnDezyp0SDY24Mmmfs7KPKYZfCOm
vTRJhrIRawlV6z3e1sCBA89R2YGIGUhVr6qPv01aAY/q/Jb9WFvvyHmch7R79nOc0zc+xVn2THRD
yKNveL6yWnp4VJJzYdcIiQieZqt8gkMjx/sa23bEw7HQF2w9h0g1RjWmgEbu7hwlm/0+5aodWDUY
NIOvGRxIxcdoyxBGWMk+AUmM5cEtBlKusrcBXCweoi0k6GQA9J0c3uUwXEEgLHx8pV2f87KjXXEG
87GvBrpZNaOb4oLF3CpLszyE4NWf7Iw16pkObBUfty1mgPrO6xCvZ0HSZasGxpMYKbHcyRrnGp5/
zTXph4di8zj48TRct7m0o0YzvyzyNItRQWlNCAG1kRDxLuryGVzUrOm2hz62EbraoUa2msc1szYM
3q3QLRTYT04RshbK9XssA3hmZpMl44csVVFe82ZJxXecfXKJSaOSwdSLSIfluVtDRj9CnjWps3AZ
bELFEA7pvU+DuHuMuO38n20vhxWOmTkYkucJk5af+pG7+DqqSEyfeaDyMMby1jGalplKivE51LqL
vieiaXIHvm+h2MVaY9L7cG6T4Yuw1KUVMu9DuNGZJVGBaOeUyh8N2JdgB3dTl39PCZ3Gz3CXe17h
dgl7F3weg3uCqg8g1Qkk2uTHIGbjryoenfvY+TCKqpFjJv0QCT7zO9bF/lkXITuDY5mLl3xeM3oK
83bk76eOb/7VwuABVK+MkRuQ17ckYnpdrO77vzrc3PAHQSfiLgPAmc1liotoflgnEEMrkZAk/prT
OCn+jGzXPMNCHtzjGsn/gLVFlcKmrGYICArqrfW5vQdDwvg7hAeRL7Jok6IeJZyO7zLHZf8cMTC2
r4B6r+4UTFxsd4WbQ3rJ6NaFn0PadM17PhVsrADqDpCJKMJigYlGUYD8jF/A8F1Cr8MrGekoPwHc
0QwvK5CU/BwClp3VGlBtrJ02zWd+hn46mp+mwtAf4Hvjw27QMrQvfAtnLCV82OyJpoOeWR3itso8
dAIBx+eGrUDbbkFm2EeeL0CHA807glfbBDP9znkB9jzrl06LMu+jJgToKCHbdZFq0bW2cRjUeunj
qOylt+NXogs8QZ2GLEKc4YanaAO2zKXYgqU/9bdInhKBdr57niyMaad0nO23OHQA/AY43iGXEygI
+oRyif0EIR3hxULyWFVU2XT47CbwGRFwpBQiz0rSed9erYZL9qMDn25uSj7pbMN670c7DCVA9CuY
qOh4m+WHXQ1J34DgmLEhdEirKd5L/MrtRY56nU+AOOKm89TbWKUlvJ89EMBFVAASaxiRrmSRzv2D
3RaGrsUGjBW4u41DjQgnG+fXBZS1oPRz2wYfKNi6cc0Tugb1EpqoqDPnPWiwoSfizmhvi8uqhgDg
cRs37pEAlvMaRotoP6BzFLuubKXUxRmp8UzfFx1OMM8OLbEcLOwW+51umnSCzjsByFaxUHTV4OdI
VwlwzgF8C/PStBbuOb9E73XYKZgx+kTr13YLs/huwJWxeB6QdNdOpXEJADrIFQeGfC6ia0SKRb+k
yxT0f8TtlstHKsmCb6znSvI/icw9vgSFyLblNLC8NWf8yzZxSlWXLJ9oZ3hzv7BWkCtMtFQ+rXMM
wNcJy5GkNbhMpPnpEZWMTPMFxPq7ZWgZg7YZDix8I4DKinsutBvvRqEINMMxNMThaRlBPSyNdn38
AX8zfzMR19s3idB4eNKLmA9JNSF+kVUB1qem2ppx+yBiqsldXozwuqR9D7GqMnMeVG5cNZBy82A3
GEhMFlW4UMj5Kx43TV8261h7B8h7gpujtumC9aNSfujvId3lHlVR77cf2DWWvkNGahhG7243NSSs
CJ8y/+TBqlYLVmLvmmsu8OoRNEtBN3u0WJCnF9Avlvkaal7ou03TIr3t3BtHJgDDMC5LqQvM8hB5
dcyvYEK31rl3pNhkUYKaltNzliisb2VHrJhfQh3l0x9+XkaAr6U2G+CyCQm35wRfP/8ilg0IGvwj
ydC8dGiH2fd5h0G897GYt7ona6rvsP8HQAEbHStzsj7LLEPxpAePlzkzcza2C9SnLHJavRqMmbmf
BGShAKq3vK0SwYflyzZmcfpVxZnLVYmEsLAfMVJEsj97ZKaGr0itT4o/BiSvdN8mOXUxzlcIRCSV
ErHI7lSmF4f6jYc5YMhTsDpshXLD9oFqD5GxNEhNVi8IaRgcNHpZ8B2p8i6pQmzq4urXqfuYrfi+
T11oJa1aANqnSmV98jmNoYuoiMsbUeEsmmQgIg7ZeollllJTki1U0/PIJw7LcYT4zvNYCDk8ETXa
QIJGnm1/iGHS2zmN2sS8RH04I38X96zFxyTvLdDZEqSc1ynm5Eu+gPJSL0mDVgCo5Jo+u35ssnM4
Cxu/4P6J9O9lly3+IRL9NGDBTDA3IIuHUC2/dAhRnZ8aJYtxq/IkYa8OypcAFOdWmfeLtxMM0fC9
xrZCjGHTVVkRteNLt6DHBAI2k9OJOPhq5RkWteiUN6Tv6zlsYryJlsvoKVnHG8mVLrfiJ4e0koNL
n5s0rkGGD6O17PzmPotcIjUJxHa4Fj+OMLeRN7bQ4XHuV1RcFWciqCKBVDhXYXU3ZWYp0Z/jFbEH
d4zaEft9toUo0wkMvIClO5IE+triEcJ369DrDLRsOtWd42t/6TZM9a9pOFtzjrNORiCTzIg8i5KW
5DWRkAeXC4n8ucBmZHU5p41YnldIp4q+UlRl8rFbGveSuxsA1c+ePCx53oWnHASbDdsoSo569gmW
fStNwK4d7VP9cZVNZN738xpVuCOZ4m9ONtZUjeXJHco1UDM7uGgGdNrLeRP8jusRwRoJfNXYbEnl
vS7GcgAMidZ6DuM7hnrgs1UZeWCIUlIlLcS0VDyKKUNm6xiDkJ4Iep9b5v5M4P4RT4CuQ8HtxeKL
pymI59fQIuIVRyCiH0Fxjz1qJ6DKX00wQrart6yisJE/4T4HZm3ASwnSyGFDfnJzHn8abMBOXSxo
Vyq16QfTyeKFWSTo1x0+4yrdVlvFvGnvkiQpHlfK3D2LNvnNMSM+FETOVRvSdzKd1adUFH1RsnBc
IDtZZddN5Ra2hV1KhmrXnR1Qde6Ompi90Wgb77VweVHjc6aV8qvfzv0s0nsH+WLyyQZ59oFJC9VC
Hes+C+4alRkrywZfbg6bvOPhn61unP6UppS60rRqyyHljIx1dXvLA7hKt3nEpuRz5EaQdadpAbl+
a8kgakZNFNybKIEbG7ZSG97PPGqK5yXYFn028PmHb57KmFaFS4x+WJMxZd9QuarplOo4iO/GdmyT
R7EZ0LlX1htZ2mic8zeyyjF8mchKxhNiGlyPSIKF8usQmEJ+DThYwqJKXZu2dbgIrss1bVGKFnrN
2mqWqFFs2ZCAEFm61K3tjy1PyfRotsH474BSWZRDXOcpvm6JuZWOpYBhSJyQotPElzmXrXi3RTj7
n4Y+IeqsM6w7NU40LLtON/kdYPcqJi8w1Yj0AfpZEtVRsaXFNYJtavurhRhbvayLzsewcgUz/H6Z
FmDESwSK5Lge9SKW7h2OxlmMUzAkm/5hWeSCdYH3mY2eRoUp+aHDYdV+7dKuuCbgbeOArGz2NVpI
F3xTuGDFMXkbUhAX0YTmFb4OFEtlsxqs7su8brVRbM4/U3j69VtusbZ/WZapiEWdZlOA/arp08B8
oNaLjZVBHGek1LqZVVU0RMbPi88391cCu7/8c27hZjvlAtjC907yrUDgQDrMr2A8p9126g3SXS9F
G8TDK8Usw4oYknnKsTzxLUOzkPewNd8JEnJ7RzrehapO/IwSoJSUUoYY+AHnD1R8YqqcGW+1CDAu
2r4Tep6ZvRQd6+Y3uQSDOQ8i0MV1WYo1xRvzhZ3rKZab+dYVKbxIlHfF8k3bbjLnkYUqqIpujR7a
iTW0mnARrh+dEAnDK8lamAEXdNmreTQTitKJIk7mbfVIyYVBemoeBxZPF9ts+fuJxE6jOki9H1+c
lLKcwQYtYQpjKwFfLBfD2dk8dRUDTnW9erLggMaLNSsXbYdgLPWq7fIui2zG/zJAm+Qn34Uhr6m9
7aslW8CYuGtQZj+2iObCV0ciRe4bAT7rw8jc8LnIMQg10TqJZBm2kDy8LdKLAFWqC4PL5vFdX1AH
RNm9xhYg/rCWtBccAaLi64CI84xXacHC9v1oUs4RCR0p2q4lPrKUVDlWVYfTXADjnM941D7nwoa+
mjHhP3VRqk6yaWmPqdas90OIDsYT+hUkfc37jXb31szFd3RivqD00DEFUoVCAj6AERO/72PWfEOe
hWhrprAotmLunrQOUZl5BIzYq8xyXo3eATgCW0d412YzkU+TJot8mpt1eVjHcRB/ABCtfwZTtyz1
tgZ4jcmWvXVrcrvc6XLs7Vti3yhqCV0zP6FWh65Jb6W0mTrDrFzQUoyWoTbAVaUB7C7f0K/FSrig
v6PFs4XLBATG/NbpgfF7futQjJVxCgX6Fa30YnkkUz4FrySDiA+ioKxn5mooY1ripawuXODobkR7
2kKSi+wkctq+YxPY8KcI7pXpr83EnakCjs7VN2Q1gIY7p/mSnHoeuxifZht/mFucRy6uF0sZCyyg
Y2nWGRQ7Fq/8R56qJX4jduWmcmqJcNrJEmm2UphcBl/bNmq+57fS5C7f4DL/5Oj4U3dSJyh3iylC
MauSbr0rwATJq4LO6ueQYsqWOZAdFbAgYXKSRZL/3fzriMcguPyEfMsmwVEGUPXzFmc2+zKyoID/
uC0adAaDQiEZaRkRUVCjKFH2PqXD8EPKjURY5xIu+jcktRWiimduyZ3QifsTR2fmH2YZNz8Vl75I
wf92Jn5U3CbTp6AJafozAjIj/RNHS47OiGDpYzHMHdaOkLsqZtFkX+eiyUb4OnC3lDDKwtc2oBTd
bJQe4UNqESh6LsxM43rTPiQnQ81iSqnW7QMykaPk8zgX5l0QJMvnvMmiT9B+aH8ZGpiA7oIBB+NN
qs2caJIj0NcLM37GmHcPfdRB1kYFANzIOEmG68CLYqrSsVe2HIOm+wKn7lZOKcxb45hY+jBvY/Ca
Ubs90cLz/Dw0iF44ydRtlwlYiUs0yvCagMmMNa8nyxsvWOpeRjbAPWwM8n7KdFob/cGuiHj9hgAR
HM4WZxP+Ba1hkpXUOIxDbIXAslCQiAyoODL4j/NQf+IbRZFI0EpgDFWGSAPEw2Y+qGfI4NNTmjP0
TSzw6uCUZLNvL/EYjm+IXxfd+zgfYALfQGB43+JBStKaaFwrLNtO23JGb4y8jB3PkoqMeJxPw9DY
4SymRvAqTrLRfr9pXa9DL5V62LLMS/yNLljed1Fi5QthmUXB5lpyzvMxGO4goczsO7Si+xOWib4/
z2kqljrmRkaQywEMexpsiEUE+Rj3eBdoRzRjOow4bluIlo1z+v0ScGGqPl0jeR8ERvkL4sf8n0EK
bFIpgYZ8YH7YMH2aHMPR2fDUFclaTZO292SIUHDytn9wI0/fQ708wSGAfEf0ORDUQJKs+RJ4yMnP
ORwy7hP6TJvBRrSE0Z86n1mcgYHTebQHFrmO/bXHDUX7jftpURXeFAzvecdRmWPFlEZVfGpG5Jcj
vKh4QkRanlWFpeN63YZkyi8ZGOBAozaG5m0ZpIg9PNuC3CZhIAxjoCtOODFh8elq4ZfCXjVMGUUZ
D5uWmMa47/q5Yu9sruOsQ1YbJGqHUGKqOInehgQVWm1sMfMqSwyF10dT1721FDE1dYi8+faLREMj
KVW/cv4p3DxWDxYENLqnWaTSShWxjOsB3TBTDb1Ba6uECWpjtYC5MHxJxmnO3wEI0prSIQV6PK2u
SYfSxT5BBVOMkf4RzKAqlCmsHsU7sGzM/1F3Zs1xG2ua/isdvm64E0timehzLgBUsbivIiXdICgu
2NdEYvv185SOp9visa3pE3MzYYclmmShgMrly3f7vJNs7WbvxeWm5idFgepeSGVWXuRUXmndVOks
CE3uOBRkuarruxUDf7m3CiXqNZSY7ScAzKzZUg7qI5ADg3qhKKRHe9LTWDtQyWXWinw7NR2xNJdB
B04bup09k5feZcObkHaeXVlb0qBLSkTZHLQ/GdYNvknPZU4N9jbD/zRrt6d/4zzsUbp1dQSrIvW3
Zq6VQYPEbfRPjQo45bOo6uMn5HLwic0h6ArMqBzA6isNflhG+CtGpUOyWEzrXLiW5HApR6M55Ogs
pm+ztQYqTlw3GU9m1us5HmTXlbvKtv0+tuhIM5ZhP9Rrtuc0WAXniUP8GuLL6tgejG5pbVxkebCc
JaPw/AifSBrImCQGwYTKkxo+Gyq0Tc/cabE3apaxcw6ABC1sfU9tF4LDmmWIYXQr4p5hUO2dRZv9
m5fLsjI4O5jOaNPvlhCT966sK/xcJQzZyGZaUyc6kVENwYlrdda6nJamb/uPZEbX48XM0X7puPHc
KRxqkMVur6WXV8uTwd0ERpiZo93q/THNmgPp5G+Tc6WPJ+jzxGjLheILvSwBU2uSptdrbSoOK4O2
XSa4U4JZeRFci+S0KlQdNC/5yukabd/q1eJtGCejpxjwJAemdsTbONGtph3OVNBq/1qyeKSUin6x
vZYZbMTXopjbcu+kTmPMPN3ObujF7A75rUO5z1y2As+R+47SqH/LOkfOfjiaAWnNs+do/8EEn8tp
/wL+P34LBkeXj52hW+OmTSF8bqfjQZXEgtWvrMibenKNsc11Q3Wa1fBeDBKns/eDx8HH3dFHUffn
OABTOUcbHFLLSTcfvNyLhXRH/3zuYJIuqK5994KyyFH3TVWUw5mX2nN7amgas3+1hUhE5B5rtr1u
a0OHlWfNxkUrSKe6NbTSOWscMfRRQGXc7FZd+8NVrkaMLrUU3vSwVUgaI18oSJ7crhoiZobUGF98
V3XJgz0rFv+G/gbFtJ0ZG+27KVnJNaxO5y61V+opWlxHpreM+rC2TWAfBlD2+aQq3U08gipKeZaX
MIFRJ2oEADv8xGLwY8bmBrZ1RNSMfT9Ylo5sty6MkDl36XZqdeAaJfEYe2Eire73uWHC97gNFM8a
VrRY88O1XzoZD5knncO46GA7dM5iiIZIN2vWAZheSq+0VgdmcSHNQalHqUhVf/NSR9cXFLa5t69k
poP7eYaaiavUL1LciQjSbvKmqdzzJK2a8n72eTDnq+WX6kxoWupcTrxXi47m6yZvCu3V6dlSDEH5
iYNenkyR0FTLfVy0fg1s7ZDRlotIM5k7IyL7w127GB7Q84N9iRzwGGHsfSHBUCgzCgICMOtdDRWk
9CkF2MCDHb2iG27YpxuAZ8Q4UGnUbsF6b/PYMVcFMiu3T7AnybKfmMn7YNu8Cw7RrnFuGUlAYecK
0uusI43nWyeicN3upCy8Xl5sVYvz2rTWdvwy5zogtKLURIfsx7Rb1iw0Z1d6cJwWoivRK3+KXIAN
9bWeiKy/aYldUNb+GPVqgmkskubu/rAFUxEF9TyX8VoPx45yo3Kv5JA4zamDk3c+9E2n7Tid1q65
sBQ5NUCkAr61XQdP73NAfDM0lGkaezjKMY8rPw04dna96qiQ7Dq3nxePLvLnyZYWyx2RDM4I9p4l
w/ZqN9JOv3VlK6pTYWN1PBWgvv0lqQHD+FARSU1t00hnuTAdQ63vay+L7mJdU0MB8C2WH20B5UgI
vqzhVnKlEPv1o3OpRa3maFxpHHo68BaKWG+WVUZo4104c8c5ymsnfx+gbL6qJjoDfxJzmarLYdzM
5syj7d12/LS9BK9DMK50hleeU3wD5jPsuJC+0SnCWjnPRKphtNc7KuuSDZKF9HjMn4duvg6MYbKj
1TDMgcni9wN2iU4en2DQAVdRSQwyuFbeVBnEDeRe/qqP++Orp4lPwEsu09O+DVYzFKx31b09DNbI
3Etl3Y9h5ytc1UBMNIryMpGL2LakgbzGTvvkysq8cd6zjJKFOFVNPr2NxdItF+3m1fJpWLTrcHjp
C322rt62PPle3U3XxwxH+6BqnYQ1YTd9SDWaHsHybpnYcyEwb/x1DbwzleE0uIIoqTG8UxtvQFt9
CWolaVzpyPEZ42rvhxiLrHm3uF0Jajf02R0yCZOKaKIp812BspF9kR4bZDcGk58Ej14nApTmjYDP
mk6aZOjbMczx+zlh66MjsCO470G/ASSlgLcANmJ8Bq3YciN0R8rXIpSssiMYYtXi9ggJqefcuV+w
h9IcqFkcN/uCw3rVQ6hnmtj0J/U0yryI5p78cOpQ4S7SjAc7Q8oR/7saRuJ5DemfwFTZYyRQBKnQ
8Mc+iQhKtj/Z/LZxPs1Z2p0G2RH7TTl+L91xzXSS69ZSww60YNOIrI3EOP33RC9iWZVTHQjqXpZY
uEWrw23N5DWEVaNjN8H8/a8pmD4mC7mr09Rto6qdCD4XzoM7/Wvi+o+BQrKyJ+gaXtfO73xAi1z+
ixaaj3FCLWmNQZJ73p5tUgAiBZO4VKzW6ice3j8JrIIy+FGoBxRmjSjSYCYM5l+ftfl4Xs9GSwai
GjoAJ2sqaAvgBb11syigWw5YhSGi1lj4nP5aQnVUFf2R2uiD/jOFollyY/D2Ld1MqzjH1HKJeLCP
qNegH+Hi/J8kDfyZmOqDFnToFUMNTfGeQIDeux/XNtFxl1LnxjM7E+mkxD9UVKXL2vzkCf+JyPJj
OlGBPozdxJJ716cnx0jszK4Ha/7JDf3Zq39Qn3V09FNeFkiUI/W3cjAfZ79LfiIX/7PX/iAPpUzv
6y5N5H6l7UeYDetpriv7X3zxDwqz0TTHptWu3INB7yBS8zAxQR7/ekD92Tv/IA9NlikfZZC7+1QY
ij19SkIzY/f/1179eNXfaVutsrNRB/FcrK0mm3cM6DK5tfd//eJ/MkI/RhO5g1nP3VIwXDIvsF4V
mNIcCXe16CvkW3UXdho19gGTk+z+pfZ89seYosxPZ4/MFrmnHap8cvpBXRUm8Opf39D3xfUPZvfH
kCKvWG1godTZ136QgUAHzTpDrvDP22qO7qND5c3/aRyzcU/yrngotvzBZKTJQ6JynXFWSbMd3Rlf
l8mmdXM4epRk/3h3//Gy/K/0rb35x/tQf/9Pvn5pOw77aTZ++PLvD23Nv/95/J3/+pkff+PvJ2/t
1XP9pj7+0A+/w+v+dt34eXz+4Ysddfm43uq3Yb17U7oav78+7/D4k/+33/y3t++v8rB2b3/75fm1
zpuYQ8+Qv4y//Pat09e//WK61lEr+h+/v8Jv3z7ewt9+OX8eGq5aPv/Bb709q/Fvv3j+r1Jari8C
N7DoE+azMM9v37/j/Ip2QQJDmEJItjTmQEPf04zr+r86EvOloIQ2Pc872hxUq79/y/wVYZsZBHzH
4S9Yt//Pu/vhE/rvT+zfGl3ftHkzqr/9cnSn/vd48hxXAnZAEGMv55VI6v9xGrpKGh2Tb9xxMAIu
WK9Bm99Nv9lP4FBGMt5ObfneO+PPXAr+9yiCH66MVAqVvekD/kruxfrxymkm7c3dKr1zk2AgodkT
IUdcB32fnMz01BJEdFOlOS4O1NzY7hbVLdVpNWXbVW6q7t2RwbqgUEU0GjbY/j63/tqeF5ZjIXjI
qbTjNJVBAWiw+jdO1cMGazFle1smVoSYuUUtOXlnRjqywsH5byhbE5JW1hTPkDtc00/FjV3bfilE
2sS6xJwAFhuNRgYJ1jd3a01e55iKnWtY4hwphAidZSju6NeHDmJhmqF0M0xgLrO88uiT7IV6KeYr
qISHNPC5XrIuiv54bn27ynZXdsVFQYL4ZdnxKJZgM7coWQSS1rwEFEDilZdR3fbTi+0azqfRU8hZ
lTbT69wLhgvZgOKZ+ZqEFhxQjcNhRRkACYpuoEgf89kM7lyUKbtky7qYQvbEnC19CynmxAnAyWdA
RTuNysEx0B+VYM72ZPjXM7X+e7JYpFE3LWtIlBZj8Dp2s7J2KMyMMB0C8WkRm+KvqP7cmC7Z2Z2C
a6tYjdaSw4SVFoDX5ToD3frZOa0M5/OZlm8XFhB5ZBvSvVry2rkGysuznVWu8qY3Shh6R4mLXC06
0t3S3CzpnOpjCNHYhFvvjSCXNdR61yXNSevo5WIq/JEU0IRUqKEI9gUJ7OfNMnWf+sb3gIQ7ZaQx
DFf7aCGdg0E3fAiXkrMX3vApaG9S0NKCfP+yBrtb9ZjEU9PXkaO6YAwnhJ0HV4i8i9pMbI8Qtrj5
YI3ScaTGMiGmOvoeXfNzcx9ac2O+ScOTYpfqqdlNcgxuMnfmgC/QTchIH4NwpYmUg7O244Iht8V0
kk4CZbcSln3ikKPSxS3JcY9ynbxttxVE4cXu1CRhsoy+fxSlEePdet16mtTKOyoKZHepdTZ+7RuL
gVT24nMq2uwtGb3uhSeT36myCa6xq6O16tdqbXa5o7PPVPSkNeU6T4FfGzo/uMKcblxLc5XNyswD
2SjBGK2V53wlolmduVvhLlFCA8kkzKcia+LMNtcdJZ+1L1S13lvtZt81pk9M9Gxa4xYX9RG0AxdY
Xvrac4lSTOfudkrM4Kvy2+xpyHl6O8cf2sugqkr4gSB1HyeSvkJPa3PhBJovz3U7qk9QfpUVWs3g
Pvd50Tdh5xllbJqDKyO3KgYR9WZvvhkqN+9RmtSPkyySW3exvc/AntYUZnaF2tSabfGQwoYD2ppT
CaTdyPqejhfOTq3ancO0T7s6TJCBqFjZurb3eeYj1XOHyjBjdyG1Jc2g6neZsPwTM4PZQ86zmSi/
fHHgADxNJ1mZDXeocXrEM6mozreyJHinXRNWETJI0zmsq9m4XnFq1ViT/PIR/wm1kBBtcYT1vPZF
CACz2JV2fdj6I0BgGoWHkGOiJaXm5DGFeDKADrvCL24MJIU31uhJaJ1AemW0NeZ8m7e+/chHKsOW
ZAXIXL9zdwmxmfdw3VnsQGvtpC3r28rMi93WKdcNO3fpP6MCaJFmsgx9mYXjfmUx5xP1EYtloUJE
ISPHr40g6ie8CqA/HRCD4dfI6Zjkox0htFlPjW4806m7NsgRiwC109SwLEwoLtu4NLbpClJwfqxQ
dW3R5lRQpckUWN1BWIH1JR/VJKNUS9nthGlgQYEILC5xE+kbjtDdJ39dJHBJMnn+Lpkb5/Ncb91r
n25DFdeZZknPRUBnhxFl2BZ1VbbJMPWHNT01EwOGhw6r5VXd1CK7aUlvzXZo6uyzFh44O1EV4tuz
FRQ1RRFgMruGts5RXfaF8Twnw5JEa5rgYm1IGdurRmEYmkF09o6NnyWGgMYIgG7McCIGzjDFPXg3
dEZr1AhMZ0GT26QF3UDirfgRU8osXAZfX6A/pC8T6tizAKIy6iw/uWQkDV8JXDYvjXLwHnUx1Gek
NpXnWwHMxz7nVgc3W9lBy0avT5hnWPTQds5XzgibvqtLVmr4LIRdyLH6PrSl4722jeveL0eMKXcE
2TVzJ8qOKecN76uesls6oXZZlDcFlnoRzFd+PZt7bnQCMWrrp6ZNh7OUbNSchtRsOykRU2XoNtt5
bZERYniQ/cgx7Z3NO39G6Hql5ywhyVzINdwov75xNqquiNdW8w5kFbqiJEQij0jG88QhSVc4olL7
ybNIV68PtUuex0XrrhW0mztlTwLFIR/0UeIT+cvio+YyubclydbP2KHcB5bfDuTUck9SMJIvtLs0
L1wrXZBFo2X/An0cgOerzXNRablbGk2FB1hrwY0EoVqRykcuuOHXWcvxxvGM6SpZEutGeEq+2Stq
MD/Jt0+SifQSuEbiRKNw8/3SVicWDGcX+e2YYPSoxuF1yyeE6bJXngTmhcI8fmjWbe70+r5tTX1K
4GZZXfTT5H2R8HTvW0nT88jM+gkYtiqReOkiQxAdjpgnnNNtcaYe00Tif17Nzn1md8lvXdPMFpYt
HAdLaGn0i3E7dsYoCJMsvWsE1m0fOdPmLMg00OdEhj04MfoiGS92pZgEiKUXZRTPqPiTq3Zqn6Z6
yGI6mS9xVphow2oFS0Vh0G+RHg1vOl8zx713N/uYELJKBKN14hT7LkMHG9c8CbNO1mGnATkROlv+
S2+N9nmTub4MF89MhyhpA3Xo4SMvtGOChCf9p3KxnW9+aQXVwRMMs11gKVQapkWREDraG9992qf0
Ya89/CgOpoQ7gPU02Ws6JR1FrWmi4mzRBbPT1gifEc/QV5KgM21ibChKNJt6MdpzPTmIDUnOMcPa
bBoKocph0xdse0MlEBH5Gz1XQjZ4830ok6Rlna7SzznNUbbI0M5yjeVCWbHAlrTL8jWtEUl5pn1R
LvV6lve58S3JB9iKXDokcZeDL6IOPfDXo3UfJkPnxtfUcFs3ortr8YxIl1UgsGpk9rReMO/pJuU4
h3RCMcNGtc2fZlhuNmOUpOp0xQsUhAyBOYnKoljTS5TT9p3AOuDvqxmyMszx7QyRtpv+dHQt77VO
OAYvThL5QVnFQ98FkT2a7l5OTvY0g36H0tio2AaSw8KyVi2aKLTE2Kc4/NMeaitgxIyX1Uy7L0JG
zYjiGhzyqECGpE1Hv947ubGGKOYxeG0dF+tS6xq1a8ryILO4ticBA76S97g0B2jMpQjXwndui84w
djOdN/YgnNXOCxKHLXdKbuCaIZs97W97Wqe9YDkynxiJ9jvYfLEbYOSYYa0X3Hh6GC6KbIHKWovK
u9vMNW93qGWye4PGKpeWnnl+TIpHpEUsV7CvpIz7qlifEsdXD0CzmYjzTS5rjKxT0YcUcfs7Eg39
4mRT44IYq6yOWjsRKqo53bzbvpqGaDOy7MHpVpS+rbKcy1lBjeUW4oWI/qMLWuB8brLY1Ov8nhve
EndbX9/PG4tK2DWkxMSQpR74DXE8FJXjuFgHjSsEnqxc1jOHgUjRW2F8m1d2WlFmWQvXvtoZ21jT
V1egY7qOS3Qt4lQO1bBLTTe/78reuGtXDHibhwxoq73Np3nQ4O1my5+jNihsOpL0ehZoKVzjrKwS
RJvLCl7CIHaDhzaZiACyk5VKkI2y6uN0mCrcqybENAp7N4M0JL5QxYaz8mg9p/1k0slg3yHGcHe6
7MQ5yuFs2mFpCVSUSlU9Ia4L1BlcZfZWeumQhVgwqYoaMoFrCHZIZ9S6VvsotF09zEr4r1adtgeE
+0t3qiHmPjecjFHY0TbruXDaVOw5xsrreS2hNWyjQdtvpcI8R6lJeRgAjQw8Zd+30UgkDouDYyLp
cdq2vx38GX3JWDMMwyHfKLA10ppIOYO4sby8N88rH5J5j4BePHjNYIfo2N+arVq8EL1ghkfM9BI3
nGqjSA/STVFUDAg92hGPIaJUZIFnOcqdMzKnGHDoW8rTsZDDjbJTurchE8Le6KAdCqelK05yyxGn
s5/KLjLa4tX1lBhC28vhyoNB3rpFg11xw83Qt3i58GwtWfkp29wa96Hp7hClnDTwACd5a4yxRTRT
OFvutWICXOdG4u9Wd+wir3IE5wbKj6HFZReu3lgi6Ng4WGx5EWe6wnk5zWIPwZKfNL3Z3M4OZoV6
Hdp4NKka7RoWK+Eyq1NdtI2Z7ww0mKG34s9bl8K9tgOp9uTNHDQbGx6weZeqcr5p3EE8CkQr5NuI
AgZ6UE9NMulozC33bnJ9f4ewYt3LZrn2MmOZY0tq94C+JThNPLpwUJ9Y6cQKFYg4SPr83DRLkniG
3N92YsAglvltcLZNw+xEbRIkaMv95s1X3gltv9R7t2blTTrhmBqn5iiinPwzL7Psz/SPS199NtDI
4wHpoYIiGh0temyUSSZ3vGJp3Gyu7XnRAnFFxZup7qFGi3Ow8ArCrEGpPdh1ZpxXSaPDCYrn4LnZ
9KmDQfqaaLGhGRer8T5pr1Ff7ZJjEAVADtHaJL7YToainH1WUmuJxxzVJEBxV70a5jhcrGZGZTll
ARtYsZiCaqBby3mPVhAHIDYCgmcdv9jjXdFEe84TZxzR2UGkc7NNOGZSKcTlcc/s/C6XBEPQRDP0
Z+zEMTWSOiMpnmVn5K19IRZkm9Bj5omIl8VgUEzC2uRB1hwT0OraOJmtVjklsnlt69BuTPfriMj5
rZO5lUB2ByXpycoPToMpWIID7gmVRnaTUUTTS8998zF/xTlIzrma1Xy1FsvmRQhnKUw1GRMvmC7H
NnRQWtLw2GkPo7btO2cUU40lVbAkEgg/xynE7wrzqbCo5jXR0Cd5nnA4L6pmstDQWeJCD113wMRD
9TT6QO97+JbxZVw3fzz5Dvr9v0Y+L/OXoVXt+/gR+vwBLf3/CB/1AmFbNtDdnyOkJ+iSh+cfUNX/
+q3fEFLnV1qWk3XuYtK1xHf67B8Iqev/agbEFgjgQQfQ45jN9BtCajm/eqYl7cD1LF+a0uVN/IaQ
WuJX0/Rsn5ZIlmWaDP3/CULKJX5ASMFt0WEIwNjAtDzzY8JnYOWTq1jtd6M8un22bV2fMstdfsIb
/EjbeY4IfNexPMsNPNfivj6QasqFs53TxkWfWk5fJ2H4exS6dJ0BiAUXgkf/x5BlJP0x8vu9i87v
AdjjFVFuOASiCZDLj+HVAVIE1P6Ju/PMJQA+qImmiDRmDGgEz25i7ED5va+9grwE/44SASkXLNz2
tVlt80T0QXGGh8M+M/vJ2tHhsDgL1mq+RG6xXZhL2f0kCPAD9fGPJ8RH7kgpA+GJj9m2BSDPOi/4
0un6VL/O01pGQBD8lwZEOGbY3cI5RZYb5n77OrRie9WLPz+uKc3LJBan91Tr8lODnhLn4da+/25Q
/was/x5It/55nPguWIHwTLhPxuQHPBtuV3RFsFLzoFW4zDezXKJctnbsqTk7Z5Hz0DOZXXtejfay
E4ZID2NqLTves384GumeLI4O1+uSsad1pyIzbpcUmT5giMZH4vZT+cWmF/rJlOBjqlqr/aaBlk9q
Whzc/fW9fM+x+zg0fFgH37Jtx+fPH7F5P984YWhb7jpdZRerHNiXjnb9eCG66GweSMWOalvIndGq
+bVx5zZBiN0EeFrrUR4WNzBu9bKMX1xnosAkif6iLg35eTHLvVLy0htwzzdePlGKGOk157PpdKQB
525Iiy+d7MEiE/k5kKN9NeLPauAlkBVPh25169NyqNwrs276C8QPWxeSS4nvx0Isv89qKvQCPoVq
xkengY7lcuhE9uq7gD+hif/oXLr9djnihU3BAUHuh1rMa1hYRjDGLb7bz3/9LL9P3A/P0hNAKTZH
PtNGp/Hjs8RbhrBZrXJnJnZ93SJDZROdxQVM0QkGiHejmJdrulWA5mPWgpWk+Jjf3b4avqG6HS/J
45zq0CL6Adt7VcWe0ePsbhpctkZidzctdtHDNKl0OQeuXF8DPZv3uktITagW47NJa9+LbsPVEFXU
5CH0xnLhl7rYj9oVPxk43zUa/3Sz3nFL8B1bMhU+3KwvOhpBMgnobD1dpbWF5odH65x2LOs3BtLh
PX0JLGjqarvFT5Se250E4UGf2B1MZIqf4KHWt2FOxctffw5/sL76x0XW4hNwcb1+YLOrlNN5JWe5
I24F/+rQvhOAfAoytmCLmP5HQdPflyrfCSwLAs/2MaIceenfkdst+8Psr0ff4zHkW+BjP87i4iex
Sse3/OFh/3CVD7O08osc0wKifxCz/E1QeFysusGY5ND/ZP/Xj+8jT8iT84OAPZodldbP1ofHx5As
us7q5Q5pnXVuG/X2urm9e+EMtrizFsWyS3PkoAX3Fc0NKMEQ//Ub+IPlNXA8J/Bw8UmHv354pMYs
uz6TkgBib3o05x7DebJ5P9mFrePL/P6ZSt+kcICQZAm3kOh/UNHQ2sX016pwIWyGu05ZKYkpK136
ptsF3jvIr5fGjghPeV1o/quzyrjeTDgQ9hM/LmyEy4HWCmO0094in51PjuxQKJc7ZXWof/Fn7ro8
xeyls1OkqtYa2sE2EO3bvxVp/hNpxcfxAbUrHYe90jGDY11l//jINmcre+1y1u/ZdqIEfxRA85TG
m9saP/l0/umxBcRUsfEB2EIkw2X/eKlsS/B/ayPYeZWbniVraQDabdN5OjTV3laJPvCog59clFLw
46x2BSgw/PVxZfUk5dmP150hOK3anJPdVM0PMi/bnQ22fxIky/wZDx5Uh7moO/xRp5gOv3hBU+y9
ebWei5R4jVFk59Q+HH99D4jDvVFdd9Q72j1N0OjpSWLOEcT6kljqSzuZJ7mY2xA3tAqJM7TCvuKU
4s3LqSwnJxw4qd8ECDkxZeHayVeQAUMirM/FKvaDmchLvwVBTQdx0VlGtfeWGZgvsbDhdPWt7rMg
bCCcmEB3K7wNi/5p6fj3qF719eY+O9322kCzXjdbLeNGyvSzag19bfSFtZ8LlcYAcyCYhPqEg/KK
kwpzn+DrqviyAiMeT3R0LQsWNb1aVTDALzqw4/VoO1+W3EKzKuqHrptuBv9Ec595kZovSY7mV2KR
CIkcqb96JIVs4YiveS/7stw1edAdlgr6xVqH+gpWpLwxFzfReN2IscWyzJ47aOtN0T3tsq49tc/N
1IyTvASuDMyJbKYZFjdO2KW+Eu0873JFVx+sABA17r3scvCGHgVv2BAYipQeQ+85MkrnFv6sj7x8
3S222AXtcmgxihBCYGO4fMAxCwrhxESeBO/0b78oZ/3QT/oNdYB8zC0MAMB+9Q6z/lOd9WeqXtRe
6XG6TCw8mH1R2LdTiZcvXLu25rUqBFC0tMGM1d/WAeBhqv3LqfRQnXcD1mOdkm1Q+osbQehO1wOI
14lJPvrNSLY5iQ18bBrY16EZQ/ruT2Nwkm6JOoje725V5Zufm76rnubcPoFnacd9Xiz+DXaA7tYo
Kz2ESyoyPDpWv5JFNGFUSrfxFlBOk65FmlWP9eYBP2h30tGS5sro+vRAYJJxV1JoXemCxMZCWCIm
ucjjym53lWyG3pXzInba8c1nIzGH0xbj9JWFXBGUvx8PW1GPt0BB3whHWr8VxzucBW6zIZluREqv
8PaBECGTcJn1uk/Wy8Tw1Ekhivm0Ncv2hcTV7AFbqRli+84pwH0o3b40zwyv2uJx7Md4C7YqxNIj
sYjN2VXZt1ssutWM0IA378A1y96YnPWs7ob6upH+Gy3evzQoceFliBVMwgG++ckjZezgpDOILx0M
qOkWUGeVbacAe7hbh/Rp6NRTR0IWuDUmgG9Va46PqV+6hzroa5oyr+0ODQGikHpWF0M94CgIBvdQ
DPj1BsNPoUZ5U6Zwm0dnaIzLnHcV04eEHy6bO1bY5dADcpxicyEyyW1SOsTPF4ma3myZnmNucVE8
B2jBGsiqqMgzfsBIs/tpwTI8LZMBzub714nCDoRkxL+39fpN+bK9q4bZvcYf0oXMwS12MOydVrW8
2Tph3+qs5jOxsCDFmZr1mYNxhkk1ZvssmOeIdAx06W134RXgH6Xt5mG6AkdLBCCfRhv4uLS77VwI
Qr1kS7zCSgfCPZkZKxtEj0fRzIpnRU73xZTK+QpotMIA1s6XaJPrnYELLc6q4gRO40uf1Wqfgk3G
jlH1rKtDXE5EFi30Tb1qS5Tpq7FYLwSsoFj2iYPtUTXHOaE5N5ZR4z1NONq5e7t2Hu2kl6yBKEZ2
GaoC0yuvoa70XZqs52Y9QWPg3S2Lh6QsG+64K29tsZhRtebWq9j+N3dnstw4smbpF2pPwzxswZkU
SYkaQooNTApFAI7ZMTmAp++Pd7Lq21aLMutaVG8y8960UEoU4MN/zvnOVBCFzjjpB3pxdlln+fDF
liqD8e5dkQCdNTSuZa8m+9mMp5VbOVY0DDGGHggm1QKrnRjDFynjU2q668LJv2DOEfKvRmenGw+U
gDCe67xZd+k0nit3jIHQ1IhQrtF07/1SmutG6Sr+mXA9YwYHnmE7Z3BeomZpT73ZJyurtAH15Mll
WEBz9ZY2V8RoF9JChKAioVrcLjKsmMp3lbP1QofQtY6PHDvqXZ1l+am2xfgoTEkgxqiqhxTUMRHd
rr45nnpKc/wSdRGKT+m0NRwbg6ac2JdvcRU4m57o54OM23tAlJbGjqz/pRrpyQunYNmlXpN+gqKj
AiAwhgjVtru11qx4L5pwPxK4WTV9xnWwmIN1h/h7wMKJUAvBYp23uXEudDNse8Xincn2qTX/ECW1
q8gTc/cS9D6cPMaYj5Yu5puHZHwiFjWf/MXPToZjzxtCfvGPagnndzAZDQyiwryR2FQ7khrshQQg
dk7by5+MLtHxHXgaowp80ssGo9I0pFLNTthu0xmkZp6uJ8I/j0x2+o3BT/sAxMA99WPnPsQ2nIE0
Ho0Xy0jlUyH7ewOWDh4cOHmY2rPkTOKNf+rC8aL87Jt0efaSuqWxuo9l8cKAixi6r6B00y393FAB
/Pa+usCsImFXNJz7UZPnAybpjS3aYzNcXUNuys6rrrpAwyRXE/QrFNt4I4bAP9vKq2/9It1v+lzL
d9/CV0GO+W0mA7jGbMT2p/pxx1y3DaMeEX1nOGEVCccrj32uPNYwB/q0T4aERHC38kWrngV6Hj4y
eg/Hrd+46UHZfrM1CKlEBSbh9eKUPPhx36LRTpXnHLIEPlwVGD8Cp/cfA/48hjUhnioAPudFqm+v
s1BO8xbcHoiT6hneywURcu93zh9SWdgAluQRuIW3nuYxX+OlyA4jWt9LQsZwBR0OpcN3zl3SbMYk
xprQxts2LnXDgABQHs6G8IpNbbj2fZe8csX07gg0aW6JJHlp5KOzXRw7jN/81jdvZdkbZ6vXzdFO
kuk8TVP3Td84CtKo0OI0udFHYTiI9JMR/gpkWh1zibvFSvlzZgxUu/Uq5umSQ982djMbpuRkz59W
2PkPJcoshjZaTDdt6Fe3pvKrQ6qy8XehJ2+IkM2aU4IbetfVjY1fwpQmOXfOJBm0imBdu+zXI+Of
Oio9CG8Orim2ykHFiITmwC+f+GrUaWB/MwC2gnOm8hqSA4Bq0JKLt9oNp/eWhDW4nQ7vQNSkaRxv
Muw6HtDQLLwQC4Txkwu9trkMEdeNhfuRKLYgOJ/FB+Ytfxe6AiE2J1qI+l2GOKtUwzdvkJ/iPJOR
oW+EgvCoxHKdSBlyZMJ5ckUl6c7ZmN1Kb/ly/OzHUDrDNoVjeGyTONkPw/JO8IkXeinBe6R5ux/s
pd7Au0Itv283huWDAw3bRd1HRGR9ShBFGLyGBwsRHvbpkG59MkaIgFAXgHvRsT6mehuXxKAgNm3Z
Xcmk2XdfE+Gw7CRAyr1V03Ia4m8ix7dAWy9tMH6aKj0Ec/LTzbv31EInLxNRPinS1/vOqIgaG6X/
UIxB3q+LWpbr2jBhxdTLEl5Ko2nXPhUn+7IQkIv8wuKcFLgkid22fxZdjqkM41QXOY01XPJKJk50
J5oh0VcB9hEU10cVu8lTEU7P8VTa6FRV9QGtYKmjVhv2ntGS/j1mZP1RXtVunmpoeE3j74FtJXed
PZ+/yTGODF/NOEocDwWOWNSONznAsdTWT0GS6f1omMlHVfdm1JpDsAGfiQaThEe7ypsnL2fgEkFF
U+uxk82BImH9BjuSTScIRltF8i4mevXCndXAV01+0JN/+DPVpgCq1qzVLDw2Vq9NHdSyDhFYB2RA
s6S7+gAYMUQxat20Vlg+4BAQbiQ9QL1Flvq7LDR6llyntrGeWnBLujB4FhO+zMhnaIgwOdcfXNiN
EyOKegdbKeTlHsKdSAQ2qHh5gq+zGsOyIm8vl+1k98Yn7zDeUlvHe3w/y6MYjWEz+SE0hWlo64Nd
BeJspDbtqMYEd6Qgdn/FTFltyECCHgVrvRviQK4lnQanMgleSW8fLXwMX/Df5I6cffrsjKJ+Xlwg
AEOD1VySK+ZSF3pPYWgZP1O3CG9DbllnyzfiiC+Z/LovhT9RodPnQZcKlR+O+KnNXAvfnQhfcdP3
L35OweR66OUvFpbiko56etXGjKQq/bzemhBpfpIPU/wMab5PExo4i14mF3NJ1NPY0gpaZ419aJKh
x+N878UVVvJDNkN8RfWseIGYvWj4ASd8wN2PEq7vAj81LHaceZpmo0ZHbHDfhXs1+micTBnklcng
+JY7TAYnMZfHOhy7MIIQ3T0ZXeozTlnaeV9xXjt5Re/91qay7jwj0NE2j+oT0em5SiOhLevg+tyP
4XsIc5+3DGWjSlLmqLKg2qeVzn50Xdl+qMwxzI1tIBzQ67sgMnM4z15xz4XE3Gdz48Cnh6xSllxs
gqQ0HlQ6phfhGdXGBP6wH+N2jIRtAnGa0/aRbTLbEtWHFsxGnKzSOZjfBEadVyEFFPoioOKlWVB6
VdVfcn968mNyhxh9QKM0/AiCUGNT/eF/Oh7yKgbRTT4H9LfgCkTrmJLAvYk0kWsQuJxCYisHfUhY
Gh+DycDUMDjf8a/Vr6KJp824jNbVxBHF9Z4DzyVuxfhJTDn7AL5UtZvYdPs7QsHR8manab8rlM1h
9+9Z75qEftQm840flBF6006CS1Vp79jU593ke+U+t4Vhv5Vx3P0Zrazgas3ksDpaTumB5RhmV5/C
Ga5DtMSmP6+LOW/1vbFQiKvh3kPj5uwVpCNd930opxIqcmDfisUO91JINUflWPeYej2V1bztbhNs
uGfqa6+0YilYwAlHcS7DdFtW2I97KqzZtJeg2cxdO1sPjPfucXPpIlQFdbZErlbiMCm3JmwWdq8S
r+1KC8hYWvnc00Qw/VmacCHobTn6uIi6/HLhKW07nJjuamaHRQTXo/1Q+uXyw6qc7g9JLO9sLK74
5kdXH0OsKT6l2aA/shWyDPzHIDu8k/nS1RhacXOB6hvd0XhgGpawno9Ya9ejXci7y7K5yjE0LsTi
M1ys96y7r1XwlYEuYrrOwv1DmRiiNoGtT1mPiwCGtKhUdEd4fHSKtvGiceJ3JCXeq7GQXPRk/VyN
cfAQt26Sb0VgfxUWA6h7YN7pHcQT5pm7e2o+z4HhYUTwOc8sIrnJ2S9epmHqt7bRJCfgh+YV7JZg
8NEOLTmBseq2c7X0h7lU1qYRsu03pVW3P+zMG/cZ29cbIL64Z4VPPWwX2uyO7ZLlnzXHpY3Wdb/n
VU1OKhjMR7AYAn953gNbngiDC1y5PSb5aZpxyMF+ZpecxuWcmSYXA27DX5arggPT1eRkjdPvzhx/
t514NbgCREUGftcm7b8OalqDHc0SWrvV8NY2SXIEDRo+gOKSv0e8zVB2ajmDQQ7ZGUoO1vQxWUC9
lWPeKQCyWy1TI37DOsGki7b2p7Nc3f26/yeqyPF0H96m1MF84VkjyLpllFztCdoYc2TYsxM1Jjlo
uMGYsuaYK/jy5rYtOPF8AVQjmgqweED0cYr9xxEMwblnDXb5seK17EmaRmFuD6cRF+MBtwiJYDV/
GHwVL4KZ5ay5mFBh2s8TfqgkmNbtvPwMBuZwyS4snQ8f49DVUL79TsKTn5xtOGK+2B/QuOoN0yX7
jd1p5YhUgbaIZ/cizEmvOMtkkcbKub5jDtKqVCfATaASe9V8z8XEuK0cQPo03HXFBCjYVrqPV3FF
mqMmWcZHaLqHjiNtEjVsVhorKFtyn1vTzmsXsauNDjts6+GKSAaruXSWqLaG04KV9/FERax05nMD
Q+EXowwcODoLJny62XRYzO5GcWv6SPA8KkPRFdwBB/scx9hzMp7D2ZvBhQcBgHR+4z3MCstBdA00
T2wanuoxfNfC9t+wI3nHfG6bVR4sJqPZclq77L3HIfPsczAO3r02VL2PppedSrcsVxwOmo2F5Wgl
YWZEThjq86SD3GGWIOZNaKeodRX3qyefCPTWGfV4av1Q/krahQ2Yyr2V7SKj5TKpXktYwS9JMiw3
IRL/Db0eILwPIgVA4qDsDcXeNQTZzLTXTtUHb4GQBTPYwnoG5Bpyn5VYI52+OZgLwf8GPsuKRphs
RVB9rFYOnIEodKZS7jRnSaytGPXJKRl6RRt0nK7D1Ek4bs3g62RIoh7UKmGUEPgliZ9FkvcgS7Ss
5k415baT/nDrTeICBcd7HH2MRzTXLksmMB20eJLFnF0UIKZjoMp+l9a42rV2vYfJqdRe5ybsIgXR
hQQrd6COyFIbZw1Y4voRiIX9ak5xVLXWT1l7n2GBx82FzQ5/yBvVxkuXki7u1lv1c3H2htgFvJka
t6YGH6cqOziWsy7OsstfqjSE5YZl548i1PXst47zMuR1fJAcQTZCjc+xRVUciB9906U29kMBtX5i
J8X0Vm26JBtusVgSTMJluet6KO1WyZSZga59xrQ/7Fyv6bdDV1cRYsjHELTGyUgKIHhxCWqg9XeD
w2MEG/JPz23le8aWbTdiWt1T96vJBewG2hOXZVMeDKsuNqqlJNhPMXQVEAFqnnAbE6S9pC8AM7YL
eqwNggI4M8B5wFe/nK5cTgke4WsAZgkvYO4AaxOspBXzp50TG8O2hhaKIay3go3lXhXImYhCRKzw
rduBsIfahdEIaZmkgipOAMQB24pNmFWXUYrhowzd7yEQyW4Qk3mYq/5uSyq8p8FoV4D1Hqyl34uG
+13dJ84JsMGV2W+NdnCvJcieauEaX2mzaJYmrsOWLifG+eN8YgD2CvSKsYLhrxAeVpaUDPvGoTng
3zslFVievp2Kb5oDJPb69ueyJA+mya0iSmRN5YVpYVpG27fYDgT0G5cr0OLKg2/NlI/XIRHmqK9Q
sjh6+CdXTPmqXbgge8XsR7XtQpI0waPF9+sEscbpZxWE3olsgrO2a49L+zBtE9bcteEn+biGIP9V
l5Xz7KmEHsAktTCfaWF5W2fO+n0xz43DrKVOj66QubezS9P9aEdTJJ8x/wevZ9vgALNDDHcOplny
NUzb8nnc5Ly3zYq79GYJgplSh7BhlNHK+SkWTvwM7gc84hDW4c4PrAOlAeskUNZRuZZEwBy1nvdE
reQnXkN2RT/jkWqx0GUvQi4ZkqNpp+FnImMWYtO1ca0pUlUnT3I/WSV0cOiPMMzypzDxXfuAnJ0V
q3lAH0GgzR6oCyPgkk/TSivyFlgxJZRU9kPPQEJgPQ09hT1c3jI95s8gtVltWTeqnZ0tzDQ1eE98
INLzP5qqGD7nGp7e3/AxrRMOJDdCzs0d9zrseRMd60tPrbeazX6fuWz3hcGvmsvgyG0xbnCX0O7w
zqC43WSWhvM+9f7R91xm+MKPIJm4rFbFxTMggeFDuNqZdejK5jM1yOyhc11d9vekrq62SE5d1otn
xySZg22vSp5cDiRnnrj0I1aZ4kasiMUkxoM/m98t9Nx1MpPvKUYlUZdmFZVZuBvL8OeYjDdXTe9O
3E19xIvLG7/Y6kCdKpmdpN85VVtfQizvK6/lQS8lw0aYHXeTjTnc2LsrdsicKVkGLHnDNYCbai8c
XJLFMpa/lxGmROvY3Ypjz6GqUgCpfsydyRkNXCYeqlQTdvo5hKv8mgxkNCHjMqQuXHXJMDAYRX7u
bBFv6MmAEBukDCm6Oo7fuS+UxgZXmlr7kBYPY233P6WZEepqwaidyFobJEvcPOPgK5GFVc+mWw4J
S14KqhOSWpaE+9kwh7XBVcdi/Snri1FU7rPSoclBi/mpNATiiJt9dIkwdzMc8YjZ6nSWtduu8ecv
77PPra1cIWUx2SDnJa9eW75rbdpPBNPiZNv19vyzMWS+Hzgdn52w92hPWUyGX8h6HIkWd1Vnc2ic
p0LgfvV9Pgb8YCLblV0SX21GQ7+4m3ILWbL4QqClYlDB58cnKVLf3MSuWbxyhZNEStpdDgdTl6Zx
ckL8yGk35q9lr/bt0OitW+q3viNqCbXsFQF515iBvy/QkjbDQr+CMc/ETtzWZcadCeiCSIqsK/K1
r/0Cx0jDzWTkQYsKz2j/VIu8NMrHUS1nmKntutJFvfFoJQA3h1l1CSQTeIpYcfvS6IHThtif1cCT
m0uLOz5uGHJdrvyyBsttMDU2eg91p32nh4zZqueog5tZ6ruCqY4PyuIB0bIl2VNSzvBcuBjKiR32
+T6PQTz/Db/kp0H5ak0eENeBYV24Ai278H0RYyJJkDylKr/0/sDJYmzkEeUEycEqi/3UhtTBtMZA
U7FD6+9tmWS1x3im7+zEwNoD5AZXC/kBOQHb9XvGqvhrMVtzVWGuefYa8nOcCxt5cheHJcz1x0cg
/mE0WvTDsW7gUZYWTKhA1c6htUangumk84vmHHMc4bBBYO4aBzUtBSsT/Z0Q1RsW4buej3wlrOEt
7xYSNGRjNtIb250OzIxjHV0wfsM2qFN3B+xv6SIupRZxCPIbaYuqSAZOLU9V8001g/hNHE6sWn8Q
D/n9xKsXS97w69UXO8QUXkOhe8yWxdvzKtmPIeOgNye1/E1AeGpNSwgxdZcAhbV01srNwUA6GQhA
tLz8AZ+Tw7Fs5OwcK/LGit/PyFluO7BK7zw7R/ev27sypmLzBxj45hijAq2bPCTrJG3vNiyhPFOj
4v4yQ9+PI6Z6bB55NtnrwXHB2mlB/Uw66DUzJHtNXmiImlz0761M3WcKfpBjGpNHKYHxo4ES31ys
WnjV7wBt1+7WGYssA6rRORjKyJmm5DNdjDkhVFk2+W6gqeaHilnrasNG0NcVzraI8CM/8T07MVLT
Y6IsJT7dpX6d/qKnwPqAvyWvs9WpNXKiWFkYFSNM2xBZ6W9ZWVTY8EkV9YqY73xKRcCWk9Qjvx1d
q+BTaPEBMPd3Mvr22Q3tRx4opvVMk+gr7LPHVJjlsCZ6eL85OGk5XcIF6XrXcOsddlS9sZqlbTfu
eawVx0ebkakuA0IqmUxefUUY/74Rjca6DiGRrwSfLJaBJXyoRjPeu37Z/rIIxdrM3GPf7q+woOZD
ZUzUKuWCnE2vM+wzaS/jp4Rh0TNPl/yR0x/2ri1c5eQlkg0M1mQLsXu5eiQQVsq/h0DjeUR2Lkzj
Hddl/5ovFoOpoFSMwxczOKStpVbYxpLfYbIE6wZc5AZO2fysQtU8VORDt+wWxcbz2+4IRYjoxgJX
E/nF/NsteSAVUKmTIPy8tpKiOLpzYh7gWgPZYA+BcU82fNuRu7swaOkPS5qLzzxJvDe746ANKh0c
iUg75rB+uptkJrdgPTaFNQ3fAmzQ4e9ENN/S9OsCc36IFz098kQWHKmd9qP2xuyXHd4ri4ggP/u+
Nepo5r4DNAr5GAcDUXJy81PGX3OmJC8EV8NhhbgRTETS++7ZnMru4uS1ci9GUI3HfjYrvEtC00HK
XWuvZIqCDuL6kdQRhRrCK819aKbFpvF6PCpmw1QvzPyXeLStS9pA/LNMn6FNYUE9CHn1mqRDxAyW
4jVtSywkAgvV0tVnUYtXvxK/baydL1Da1Y2sfbwV9STvp1qQpI6Ubwbcs+s8JP6LPeXjTcwjSMzs
STNq3VpONrzntdc9uqY9vYs47TcZRpSTXYNGHvx4eGdZeffywj7P4n4+0GV+sXPHOlVFZ+yKJC0f
wczlq9gd8+9xjLutooln1Zaj5KpisDpgsNpzN5RglxurJ6cKKJIIZad2YxssH2Wi2jkiXGD9Ku07
5LdrDOqSOCefMknFUUWueK9I2q87zwfQ2QwgoqlE2XGXDliaYH2Vjcfcx+t3re0Px4Y07Cr1TPPd
DeEtMtAc4xK0RWk+MWyVp3Hp7S0z24yv6k/bmuDuIYH48tj4qtuUYWiuRVoFJ5qWMMVWfzTzGm9i
zyjAhe04RodkdWzg9eB9jVXcZdVeeUyNQSx9BGn6jUvpd8C0dZWgYsvY3E4+FjXVedmuUfVv2r7q
iMTrrqLtLSoJjTb57KzTcnxI2uRB+/XbNLDsEO5Yg8dFrjRnA9043fDKrgbTWY/SN4mxN89zZ+5x
DK18+Bz7OauKlaslDgRUIfB7E0JWMDDuKTsSZ5bYL4Y6FrazH7L5wVFMv2fTQxHiS+67YMq2Tp/g
R24WyWVyGLKfABLarfCT7Bz4Mn+20L9e3IobY71IRuFlbe7+11IbnBuR7jd+3iefpPmcM1dgY7vA
aCdSJbvXv/kZ/18nRv4HZUG4L1IpcG9y/s/DIOvfRSr/D1TOv/7QP7Ig/l+c3u95jsAz7Pvf/0XL
8f6irMgOQ4yC/+To/DMLEvwFxcamTuoe9jC8uzv1n1kQQDoER0L8iTY3Wtu1/itZkPDfLZVGQEQj
dBzTo4Wc0oB/S2nIykWpC627QRBtK2Jo3uM2S/R7OuL7whf6QnpQ3Cq7Bx+ZFmlzogyK9p/GTPK1
qzPy5nk7fkIglAeQGsMGxqjLaBgGBfhdjF9cjZ8mz5hufHkQC5luHhOA6L/hdX5pTgRrvYRiozLo
PF7t1I/4muIXZdElAje1+2HXTvlZM4xcCwDsqMp5/kgm9ZbXxXgqTOLX8Gb0G2NkY2NkZLsSCg3W
Yd7XBNDDd1DUzsrUCUmFXE0bTwi9MyoyfZNlcaDvGhJas3pGsUjvpZa4fRuGtM0EfmMYevXslAhQ
DHsIaukODn1LGIDGJ7XrQQeQb5iop7Li4g+k+eqBJS/9CjwuANC3+6+hIn+bDVa5owoPgo5DYmjN
vcKXKMKTwEfmxebPPAMX7zku9gwVhA+amSr4+AXyLfO5fvppl5kE4hNiS2LOPBoftYkMYcSNZvqc
mPRTtKN7RqLhnIjN8j79K7pTqsgTrOxgaUYQJQBcov+Wl/3/u3iY6WEWx52L8/g/XxNefhefVfJZ
/RtC619/8u8LQ2D+ZVvWf0yJ/Wth8P+yyBpAygpZggiC8dL+Y2Eww79Ivfohv27XCqALsZr8Y2Ew
3b8CVoyQ/gNyv0hj3n9pYfi/VgZ0/7v7GQ2HZYGh4b+BtGQeyM4mwbXtjP7mcdzdl2S4gTO4wzYU
pf6dBQBQhBeGRGJLup6motuOqWfvGYnazIcz6iNGj1Qs9hztPuGo77cm7PIDNoCStSSfLn6ceGc7
oLQGpG+97YPY/W6tuN6SRs58vmTTf3XkNjFvGGgsdC1J793DyPfWN1V3VnVbt+vB4vCMamwEJ39a
Ag6WGnQRLkxAC1nGlT9PNLiAwRHEbCuNB3hpNzPniAAV693D47Hi4M0wm48DNzBdBc6+RZPeMpZt
iAW1TnvQXZ29VqXvQF1Vnl5I4kycNoQTiGpVMSu55pPjcAnBwYd7UYTu+S7ZVzva9NzXqjXGj9AI
WGAnMNuHJsziF6OXKDEgl7goSeWll7vwWUeMUmEJ9aktr31RjG9thQt8wxCN2LkBnJXio4s5myM3
yE7/qo2y/CmgXDB0KLruSvpDpGtdFfRvFKb7FhuYhXvbFi8p7PN3UXPbBzbsj4d7Hy60ogQ/EHaj
73tGwF8lYF35xgt72+R870NaMV4P2n0Nqf7BwFiGaWkqqi9vgBfcpagwNDIZFt9kEPpoWGm9y3HI
Xq0yZECX+/MMiut+vwkEV8bE9WhvQGWtohl7rkOnGQ4Pfaz9ztgwpYDui8XqNkD9jLgVjSZ1tAtB
K/SGeCWHRX+C58yOevb1mQdqyGKOdrCuPMDNm6Tw/XXahutx6qDwGLS4EETw9r4o5RuZWty5k1An
U9QFMopfrspgUlefxppdXdbzSvRMytOQZjBiKMkeAhEzHgdBwBL3oituCT8Rk5cjYkj8WIOpP88Z
DyoVgf5Xn1fTFitsd8hrK93De3hRSq+YX5JSyIb0EUYSWemwbV4beva2mK2dTwk64UTXsbMi9V9v
PQ/NhrvYD8NoPkqoGxGaJN0EanzDtjfcDeN95YCQcOVzOek9tWOPjWUS2XCPXrNN/AWsTFXctRYM
82poBjSt++zYgOfsRw2Fiy+8B/65o1PnFuauxwSGbtBjwcD3vfON4MXpszpf10QTgD9RvEPj7nS3
qnMchn+lDLWnf427FB8fd0CKmCKL6dWhDNEtorL2nLcK6MXFLQN7b7aq4G5fcm6NfS3/oDA32xYU
Bn1vU9x90T0AJQWrUAiDAJZx1mP0g6ZhtGCqXG9+TB2ZPjkq99Z+Fhtg7Dm3Pjb0E1vruU/kbWIc
3qz0nJYbIrXjRyOz5iIlkvxsVO4FQDMNTdoeF74SkIdiHMwb5xx/HywKwAjYgvElCCfrdSh9vff0
NH+FhSxf5h5Zem95mfPF8y3/pB5DlojALpzmarbSTzMuMO4r2CEV7nffv2aOgkJvlBYxdFJ4aptj
oKUSQYF1KxHQds2QV9c0z+yXsbQIk7Su9QyGxH5ohbL4Jsn4PaZyMKlv9hSGxBa1ZDcYQ3KFoW/i
o0m8XaZl/8C0j3pbHmF+q7FtvXV11z8UeWdj0ljUPsASTXFgEVyqqmSWVUBXB90C2ePkxQ1XW6WT
k2uO2QMYM0IfBJMw17bCNF9A1mlmLl4hOEWZ/oU7Q/lEYYhxc6zJAi/K+TE9ItX4r0lRGjYuo7n9
pZd6WRkl4BCfqKhCNVIrbwiO2Z2Zg2+OWsQIQQcPCbUIOxAcXONySeDSJpm712F1MbIWv5UpXLFu
bKgpdF6a+wntBTAE+oHLi7vpDKTJlr9Epl6q524ERNJzf8GhFV5HxjBnuDTBL9wa8qyTON+asNqO
qu1J68C03/s9MlO+qPw8ji529YrCirR0/RO9gPwOrcR7iEOVr6m0YkLnd9WpmmfIXbU76A2uni+z
Y/BamKLd2/g2fyCAQ+0dfmRe0ex49ZkFAQahyjpdiywfv51a/s6Aum+8jnkArRByNdbUlhe2Okrh
KKIDrnMAMXElR+iv3dgTT3DA/D1Uk+qQiPhoJC2zbnRNY9MXYn4HKQ8iKIYr9GTFjo3Gk4hm0zrW
eqmKF5x407ZkTLat0+a9oCnggGUXnlsrvzJBmx5eG4vmtCYc8rVOHDpYjHsPXw/t7maOTnbGsd9s
g7zpL7QWnAis/RymZs/NnkF5B98dMOOwoovcvAS1BWK+B4tTMzFZIq8NU7qFwxqAChMyUIhASRgU
3M/6k3vnaaQG/0hYudwpOzuCG2I8HLszwY8lhRaK5tDPZSRrjU+qLT7LuSiPXuENH3bRdCGdxLM8
YzgHc56aCk3DZpiigILvFqUDKs5I+2KMmYZTmSZ5yWSD7mJKDOxooUj2d9kno7zbON184zQkCTpD
JMWq0QNRXdBz7APS6lCEGDBW2DcIyv2q6m64+l6vrzJPOzArRbD2gWdGdJYw7LOtc10HV34s2hQT
d85e7M6g8zEOKVFbmbGe3uI4/Q553D8WF+Km7s8u1ebbvFMZvL9Y3XA7SQb0bgmofaIlHCu8igwi
XE/ZKJcPkSggi34xYQBvQ31vOGCUp/t5ZYetPvtMVL86K8eUz3/43jk8MT+2PaodhY+xrGlfa3+E
Q+RRs9P5sA3p53pssjh5YxTb7ErqYP4Q+y7e9eg0W8tfSBsHBcRE0BJJu6fWhMTC2LRNwA8P2ch1
nOqRPUDv8LGPl8CF4sbMwXmTOEqOUyemo7KCZG0rZRya0u3ZkHxqGMaqRrCz5H0YyWflhv3yi8Sl
sUf46ta2u0CYKwHtrVFDdznz9aXPqQSjOQXWPHKPVqvGRgfq3DVuBETSqWK6GZTDZtDtb9vRnOdq
HsV88jaWQS0sC/G67DXNfZ5Ye9b8JGwF+a7WziFvZm5uZVx/uqxnq46Sx5WLu09ugsrYNr2s2WGs
Hr9SEDx5GAIfEqbs27Khk6fSJuBWihe3TVE1a7SglSuZCCbjcLKs+Y9pdikwE7YpEhiOhyZedBtn
cZkgWRy1LmFeO9sq0erUA/vcCcQxo9PsKtBPxhf6DPtXBpvFapLUB3ABvIAbb5k80iIHQyRbxyMJ
sk4nNqAAvEGz04Rbm6UsXdn29MEfGh8kHKQvhnbQUEksbZ00qR4Y6do/+LxxkjnegHmoaWgH+d/U
ncmO40qapV8lV73jBWk0M5LoVUmiJpfL5UP4EBvCp+A8z3z6/hR1UZk3gepGbhLVm8RFIsLDXXIZ
f/vPOd+polT6dE0Ze5Ig0RFZ2LmvBp7lQQ/ZCOtpeieUk51nbEX35KHcU24W6WmIjFSsoipVFz6h
wFPRRJoT95D8vgiF+l7MKcQkFiCfTsI6q17oI7lv9e1FgYcVw4MWNkZ0Vzd1faNMDSQI0GX8xvq9
u+XYzA71ko6btnY+4dt5e6cANxiyBD130nLfkG/RypKioLebBz1zkZ1Ut9Vc44FpgGUdyjzEABWp
aub0QIYOl6nYZlyd9l7j6IOhnPkhSGhTJdlBO2DsBJuCgrsjm9f5eaQW8G7Ko9dSO8GFu3UKHNKt
9+QLYnBV9g7XQerDXai3TqwtP2/okZojqzw3TsKTrgpCv2Ju8slDoaVQEo7fKFUvJlcZXmY3p9qX
A4/5sXyNaP756RVZerRCqn1U08qTa1Efu6LBD2WyhVF9H4rMWOe97n1RLdNnMGcpFkWee4ELs4AM
NnZDh+c4lWXhTenUP3Q3hC+uETBl5trc9AxETRNSCghOwbs6f/LsfcJTcOGJCtfXZuSlkqenm4Nu
dvxnBIDiq/uuGj/jmGxhSvPGMWngCAzJMBzYa1lHZ+ozX7QpFJ08DfYjBbieyYq8IpF5cLKvEZzi
V+ji901gDbmMsHhNx6z5nA1Cjhn8SYzncUYh1lhiCMNU44M2KrfFMvLyyVHegb+cdwgJzWXsi4JV
cVl9mPzCnPvUGg4J2QgIZImz4urDOFF7xr5z5u6WstVoPYXx/BgEccu8kGTvqeUt/ChV5pMziz65
jIkDCWhrg7QoYRl19Q/DWMaHdFgcYgqFbb2BJsUQ7Xj9to7Nag8xDfxD7GXg5JYp59LTudalcSmc
Cwb4qW7KimbwvHTrVpSDUI1WarIO9RCvq5b3C4khfZ2LaeQ3a9S70igwZAT9rW1Ea13zSCmxWuue
3q4hdn+RrwWM4p2mAiwtztD1NJCP82KxZjw1jzAuTR9D6Xc9TntwsU8uCI1rDW5MrQ9AijQrZnbF
TridZVMTUim7AwJt91ab5fC+DFbje0C9ng0lvBPp/eDTYGaifLYv+vXQKNwKOpS+lw+Ed5asOulO
5m+OG/TMRkodyD3Wu942yOcBqTZA84vY3Htg5RoYIMZ0qjEbQODFd74TdqTQEss6ZtSn4zKgjOTT
hKFAWhQWAtJN4Pxkz66dlcGO+pnOacuvvNk7d+OSvdZg+nfztYuYrrfpXVMqz7MjLQBP02DJWVYs
9yHFecdULdO90bYjkuxIbSWLVuEHqbMcFjYVD17uNe/hHMTYCMfqlfbD+Kqr2odrac1VR29u3U6Y
uFU62LF9Z5k4DuryvlMd8NG+HOhbW8LhycBFAZ9+kO2txmvmjz0eX7w5wn3LWpLVTit+xUCIj5JA
C1TVObYvLObM9ZjZ8TMHR7duzLaPNpWh+tvJWcicBEJsjXnOX3uVMrkuTnYp+LgjA2YlBuxBnbMG
zuWK2t2ZvBTVbejmor2ksLzuGK6Ta6IQ12KTCI4asprDQ1jWqEAItdmh0jll4dbSPCYVMyw1BGm+
z9kCbzxuMSesxCg+WdH+0KaBJf9KAJsJ8D3LxI13QRPYLnL/kBzGAle2asflCLqxOiJzj6/DYg9P
HlPofS9GniZkbp5pk4yP3mAlH6HT8ywKxuWM24o25rQyw1MjE+u2aPFdR7D8VyrJ1MGshglTfr2I
EneGVu8Y/SNan1LbfM+1lYIWcKjbgRzksGtJUGFXTifN2r+mx28o7cKQX7rcdmtMeFv2ntUtz/Hq
LZqC6nlwwDosleRi4KJWzq4o72wXFId2Uufo4tcBnDKoDQat/KzqmRErYb2NNwQswisKn94oM4nu
AngGuwbNn47VMdVv+E2oym5Nc9VVbnaDO5KpM06ccgU0s/YdaiUvSatD3lr3HbGLEywxdpQIx6TU
uIPzc1hrgcduEFRYBy6nazoaaQtxkt2DlfMuWUDvNo2R5T/sDFGoTNt+8PFN6w9Dcr+YoCGGbLc1
2VewKTm9jxbK7hqX6JqfmvHW0NNjHJBvi1H010rQfaQmYrb/5v3vVVX6rzaF/xnNCIwRgm3qf7/W
vX2P4H61Udf8ZbH759/7c6lr/uFBcTZN7SnXNB0XfsN/kr8c8QeLSctkoetClEDU+a+lrhB/4DQx
YQGCYqCNT/OX/r7U1RZ4KE//3hXTC/evLHUtE3XorzgQLV0pHcvGGKLBiTl8F/8IchFghCaazSd/
7iox7Mk9xJtpwJixWiKAUmmHhN7xELQ3kzcs1zzLFThp/WZPGo7BuOwkTNwF9pfXHCnIOw+9ef0T
RUseutacovHCGTuRUwMhcaVgZr+JmIGBg+1eNXH8YuBKCh8Jbo7lfS2Qq+lbjjv40bJgpG8KHdAw
l41Ngzu2YnDsFk2lnB5AV6y8HJvtnzDZGYg7JnJVhJeiC61fVlJKCse1ACCQ9t6hvrJCRRoZggEC
t9zGikbJ1Sa26vRubKrxhKsVAKm6skitohmPXUetxaZR5RCcg9/4UnJxZvoAtfeV3MNs7UiCTDwy
HM7d9RjQ2zfFEYsm4AQyOSHuWHyafwNVBVzsZgONUibrOkxgqbpGrrfNbx7rLEhCrkeWF8ldSwLF
D2M2UbpmJ0RYZg63RKmHbE9Uf0yPzVT1LG1DeuAJFVxNvDMVu2zgroRZ0VkpbAlT9sA5QNF2iQuU
8IqndZh+T1bjRveTBdi2hXCrGroyuc2nZU9bW04OwRvbbkXhDie+zOIXvhrdEUPYXAI60sqDyqqR
p9Bv9i4UU/lAqn0Jb4vfdF6d9dJbUTxAgr2AyDFtmYBA+lLjqpZbIreNcQwd0k7cXXFt7Zkykhfu
KGO/6ykQgk3RMGJxlbqyhskeqksxTRaOeTdoi5NrdhQHDB7QklU5sL1SnQfFuKU0wjuYMkWJZO0T
Y9HWwLZ8FvvFXpBl6TbUC5NaCbnNdZuOZRHgXjuKg+2cpgP1eZjnZz+iHtbyI6fiCSfDanpqIxqe
9lih5Acp5vpHThHrWodN81W2gTURtxtp7zB/Y5+HBpottuDSwwFm9ocwazvUysVZmjWYO+BWBr7x
I9qD/VF5Vj/tcVK5uR9NYYtbzBO8Y3MTlkd77LjKxFWTnihyAU0eOxcHnvmPtu05uLuAJFLYW9HR
HUfHXLG5rV7cIrEeMEu1PwmW6xtPpfuhFB0qB/+0eLwODxGB+bgTT3EDPW5lmThg1j0cikdGxeUr
j/LldlAsWtdZX0bWXYMDBb54mdJBJ2AGDPgRwvzWSzzsbZMs4eObyZC/dcZS33mJY9YbymK5MgQm
N9u1oWz5VM9RJQnJkopl1+/anQ/OQJ3gNkVqQzV87JB9M0LrpqfIblq1YS7hmFk9/ruonNl8J3n8
s/NK8HGMZ/y2W6FBB2fFlLUpsSTjjjSDZ2PJgt3ikIjJp7L4onuS/A51yNuQR/WLN8AxrtvEdXZW
3eRvcxbyucHB1d3RI9GspczLm8LMhqcWtAPr0TnjLCDqeoyltC+0CzDMSs9O9v1Q5rBgrIyQF56o
fM/uW/7gAd3eUGsdks0VkecTkMyC+3SKSd45NlTnHZ3G4xYyd/RBDIhoWoK3Ef3VtFjf11n9FOMQ
OGAfQcqVWUE5eqRHm9Qoe9cvAu3N0W4WIBdwqZdnelCKz5orm7cdMnsKd4TIXODj8IUJ9o6DL1Hp
z1FdGodACnTwISyz8bEawSGsI/C7OFcAh7a0JuQ1CF+MksdBV1m/m2YbYFm7sLLdpAD4sJJyMzbX
yiSCOWD6v4M3WmKkAuNthZTI/3CT1jA348QHhRENUC37XHVdyvBM+8yN2aa9dLF3qhn59YxeqBk0
P7qeqZ7JK/FhhDdbr4/AsLQQzjnCyUSXXONNWtHjeq/l9VbQwuri2E/D7ljDPSmeyqm30e7BBPmD
rIOHfDYI3s8pr6hm9GQsUlY8+hkOyXuzDxx6RE2B/dF1lDRu5CKSdz3Q/rwPY7NPb6UdLGs35Mih
0dfO/YoLjGZJ2PQX6D3hExDiItsM4WR1nBcx8ThL1fwmeopUERxGb/zhzQysnFcWcmPLKx9fh0x9
n03UkALsIPqESkU+cwOUim9EqIha8hpZa83ZQA8AyFsNfALSL+43l64YXopYszSQqbe2nHi6SVFB
9vwyLwZFGHQGTVNZsT1mPmj3gtBcAI1CeXtKc+MvPXn1S0Ge4t4YOsxFUx0vnym8EtLgkKUA0Se9
W274JzruqX1Cq3Qh03TfkgXG9klX+bwmDi8kntfri1CInut6mieXNl1mBgSwCO9Eca41BEVRPc2A
wm9Lkx71jU4n5AOZcrRiYUVNGZwwP0+6JCHqRsPzOIMsTufQs7eIRctDkpsuso5LMcxt6i3z07CY
bkNSC7r3Kkwhtu9hELjfzijnPRxD6xxgt72mhQEEYmpKx3pVUCRZYpEFgGLFUxTckayY5r3E1+xd
ZldDCDYo174F/u+9aTWrezB9N+yc44mrQ/7QEy5GHFm6aBOwe9/ZHHKbIByMfRID/nb76SOpkE3j
ijNTmG1q/1QNV2Ro54v70sU9ab6KxrhITuU7JR/UuVNdlB7MCdM6Z8yVfBwmjzMrK9pGe1p3IUgl
64Hk04NRFw5UUccUu8HmCpSHOtpk5HbRVcKrBS247sgXWmBYYUaQU2pFY4ETUE9cL0GzMkNY0jKj
Y+NnBHLlpId0JJEF+GXKzZ7GIELt7OZG2pzwvOM3CcuRGJslul0XheONEbH2X5tson0YlbMDyCp2
zkNtNJ+gz8MvOdL3GbUglywerNxTQiAtzoAqGU+VpHREX1f9jlNhxuQsurrsFjEcZMG9pObeZu6s
IhPGcUiSgyUBF4smcO+lICSr0th6yqjc+KmsqMUGndTDL+06xchskIr8TncRCbAoGQ2A/WJJMYC7
JB1Maywt8APp9BGK0PsaZREPzyV9KNznS6v8qpVtNvdjIGBjCiQr7t85nPVT7Fm8jGHIrn4lh6D6
skNiGYw3IhoOAU0ImqdzCqcus8rcOxaFPTzWSPMD+B4DgL3XlvYBwlG+PLCrfBgwHZdH1dTDlWw3
zvczBBiSWkt0y9493sdqbs11NDV4HCMeWV3W5fDIZTSVXPUCPiYM4t0Fy0F0yN0QY2xixPvA48Jn
ShnRloNqAMeGTigivZnvmVnIs5wZ5ItYx/RDFU7k984o2BeFYCaN0n02jCKYweabbndw8VsV70Sv
vGrHQes9Ec6XX/1Qw/AIgTvd9V5bP/cTFRYJvBLraKdzdmoFiYN1VofWi8BY8YwJ2Di3nSIJmg0h
Wg55y3ynSGhTiioIqU5zBe7PTiv5yQMy2/DIctM1dVP2Sxe076KpA1ZwQ5ZRKSvS6heY/vrFihXC
sEW9HzfRoGfgMOK5eK7DPnyis/yacNaAYE3mxcexzibwZBXO4NdllPXaq5ds/GQLRXLWkJzGQewT
nZvfMVfrdT9Hj0kqMCSzYSdUOcFVPta0wem9SfZjOaW0i8zbPCv65ByX+Hc33mgQ4DcktUt7UbV6
2fJfOa4FniXR2rQKN9zG6OZsVmt7uulhaj+1AA4UClEoHuMkteKNkDzKI+qSH5q5DUnZVwsJgEVY
wNJ4zG+Kpe8vsRvLNaXX1Y3Jhmgr4Jvig5PfUmsw8dUVuR81boKDImnn6IVuYKzvnqiCaJWjujAx
2KZ1W9l1f5HjtIE5VUGK6GMfl8h0NHOPTLapqbFviWT2I+CknhVPgNTosAJi+6bO9eR1DyM02V2I
0e214rUlHXTN79q6SEui856hN2mODZncd2ST6x0M4y3qKAs4EhKjhqy3c+cHAjrrZPJ2lr3Om4Hu
psx1CNTzoD2H6BDogA7t9Dy9IYbEKPvZtoy9hLdQLW92HI0/Bd+F3iRjZIKL4fWmJ9yu2p20m+kn
Nj9aXGIrlXdxRHcVAy4nbLIMDOt9Ex0Du5y+86Cet5qA+QHm4BLvB8TGWy4NbnCsk0p8JGVlbzKL
68yGIWNx1hHmQ/oriKX9nMS1AY8MvhS8i4GfZ5SsrlluLR09aXaa+HyYLbJcSzp88PHVpzbNaHyK
LJOnOymScB9EUYbmE2Xb0SQcvaK5I78TJsOQH9RmbB1bFA695UZsosvGRsKtiuuNXnPJXXaeTMVP
1fEAWy9dz/0V3pJkSdhnbEsD7en5RxO0+HyNzvaSLbDA6GuoGwU7prfe8qkATBWpZp9WHPMLqJl4
pX77qTE4+k2BaTJXEFVWKJx1sZ4ph4HPI3T7UxpAREJnUDttNRFrSLAShNRQf7Zsh/T90nRle6xL
ARS/9YIrp+XK6r6yNpJVP4aEugcRMteoiOYCt6Kkcx12sfcV43t/tMEZRZ6HTVolmraWAkNXXi3O
FnOjuSPN4x6xQI/UUtTFoYJ0c3GG2txUjdbkwTEHZP4c99C4gtFa2U0P9yEu4vYTToHutp7wugbZ
viA0ZEXdV9Utw93UJCU0SGGSiFIlOYOVmGbzXXajuSGAYf2ieGJ5oEwRjxKkyBMtcJr+FeIaeRSM
t+VAGBbzDCE8zF4zTMthn0r92fYMPKkOERVEQaom4paE1WXXJhkT76Dtl2WJvvh1m3iNKRrodfyV
DXF+aIEfk/t0eb0TJmQ6Es8yN6pjzoIQt0lZXbAR8QDtmvAnMwXsEw4//SjTd1MAfUVOVAz6BYAr
MHW+JUt1SNlgPrL7N3eAgCh2JbdTlq29s+LCQVMEUhJgFzrYVbpfCoQg1IM02VRTVWyTvLEfG6hT
N6AtzA+vkcUNjQHje99UNBgEKQUmXjeb0z4jVBD6HJLj54LAhCaRWjVtY8q9krcYumrBz74eRqN+
V6l2Zx+0hoLDa2MDm5jpU+xju+SaJqtoXuLXpEovo2vPZ60kgTsFDe00TgNToTt2y/ectNSNp0yQ
aKO5+zRjXDzNokrWGh4cd+IMFHeFqCSY5L8zY2p2TQffkYcJIcS2t2AusDdvNYdoRwt4giasVLDL
Sw/euDXv6szFz95FLHXtiuVHSu76B+MuVpSMsO96+n3nmKpwU7cq/eUSeD2oplweRkweb5Bw9ENR
Urq5MiNIY7WQ5MMKKsphnXNcsrnZqTI7jCKsdggV+q5PJXIwTSlkkVRZMOwYudzaPbUUodOp05Bx
P+0dWb+ORL7huVO1BPRVPWSe7IA6NNN9ZlLZMplR7q7TIn2tM9t8Dcy8woLSNGdKLGDK4DUitnxd
n7XjpqIGd81Eoy4QIzXplTg+VibEVnvu9/bknKltGdeyduTNrITFIOUtG2ysNT1u5F4zCoVoYAsN
f+BhDIPPZLzTYX7ioEp8PjLuS2HUFHKEiG24EXAn0LTyRDuiNwCJHaYnDTtviwkSQGzt9eoOy6ZL
vVii59sxM0afExdMnw0bF3NWfSSOXYmbyUqqzmebRqlT1L4ZiWs+ASvH8IOvr/2xDB7TXohIXU+J
uXPy1ORdXcx9pXn/myLsfKel6vNYTyNjyBjBPgGlzJyzpM7HVGTv1JjF66m02Bd0S/6NczPYcT6U
DygVI+NQYJwx3VDCGIwv3VU1xmNVUBVKlGenJjVQrYEvvcyccwUTFn4u1wEcSxHXm1UwqvgGNlxx
cMzG/TY7+2IEjN0tDSIMZMF80RIs+GRgy8AgZJCMB2RC/dYumpLuoKeF3dRcLvpZi1y9AUNZgyfi
SRL28Y2D5rSbuW/QMsNgSwGbmj+WOLN/4BQ0f41NjwK1eOrSL/EOeWTpzpUxp+NtNBBF5GthMlyy
z5qQZusbdjvtGb3nX5Gb5Je0VQJcEjgEPFOgoMz0iomYSRa6HUwuxOOISWpRoWAcRkSgZQs6Ptih
sb837RyRWRUWD71/s2Lwj4LB/1eFy0ye/1e3+PEdMNTf/td7Xv3vv90gL+Rx85c8yX/+/T/DJPoP
xzVt6Tm2JSX+bNb7f8oL9h+2ZyrcTtdxmdYE2Ol/esZt9Yd1TaAQKHEoB/c0Tu4/5QVb/CEcLZAV
CKKYWkvrX5EXsLL8RV0wrv3N0jFZsPxVVWB1EFpgwpcduBVydPgQrFVkAkuO8FmdK5nq0veIrWLh
M8ZoIYsrU980sILM0xAceJzX2zly1FkXU7ShItjZkEPlYYVRwTe6IMzXFdvDkiogfL1BCzxnDODY
1WU30xrFWJa10fwysRbfORSe+W1tRntuMfWd1Yv0JWwCqADsYHawtcmu4mOiSsvzDngPKAOLQSfn
Bfu3PB4oWQA99+4CzL1xYgqzNuBHQL9yLSShm8hqlyLUbYeZWrGyGnXLbshOHktYXfQ6u/hlAMOw
8omo5fjmlMTepYxBPHWFARJzpsj5psYjcDPDjoObPRnbAIw2grf8kiSD18SIEBiMglpWNrIcOIGo
5K6MdPAJgWTYLAsRP7iNMC7bAq9YOiR8mjt7bwWpOqZONMMx8QDUtSEjytrLuHX7Jm7maxFZrm6L
BqkgEhRisV0JblTiVB8SdQRLZWVsXHL4eHFre+O1ZvONhz99cdRcvYSx1+9NuIGvDscjnAjmQmrA
bPwarJO6ddXFzWdv98HR7kkV7CJcaiZHaasOI8A73FWko58MI3em20VyfO6WPoNlbS3LPpsWhpk4
M5obRIbq3ajiVK2EJGBu5Ph+YpNZDBg4XyWuoipcM4t0fgtrbF8stuABpq3Nkul5A8sB3jnOL5x5
cS8etOjzX/XIu7ARGOOe01hytLteXYU/Wnuk/i8fBDijRVO8Qo43z9kAp254l2vHPrA4jS5K5IJF
NN2BvN0wb3jZGuzidR/NlyC87rKbJPMlX1JcGr7F9z6Z6GNUQH43xVwzETkGBr2CVdYWvD89vwX/
yiGSBtfTyAp+zZXme4LVpzJ/sEBLrS1+VSKqX2vx4Og2ePfYX8JWDAz+Z7KEvzCIUmqGYwLEMF1m
pyDGT2c6ZXNfCsH+b/EqK972C0OWoF3yIZZZ+EtxzVxPLBn8WVxrPFUJco7RoOlIeY8YI1aem/X9
PnEN8wv5Z35fosX6YfPPwmw1LPsXkSeXjzQxZciMkHaua2+XSKgdt7Crq4FiqluAmZTSZanEPEgd
aVmiLiq59xQ3O27CjiuxOi/YqiS2ZmzTyHW05UV0g+K7b9QjVakpaenKuHaRQwwWfoJngZzE1Jvf
40xJnNHFJEG6fEFeg7bikEExA3W0Zgd/ERRS7yGbpk9hkkKfr1l3/CLZ3jSz7oFISHUiL0pFmFVL
KtRDjwWzW03PxMTCd2m7mNl1kx6qGYtwI7gBg2LoPOqlPfGIHTXnZ13ALazzkTY0Xsysu64Ux3Kj
5ibGlKa9vvLHZsF1FhnhI3f6fiOGyvtuBHjFzdQZ3TN79egD+MpIUWwybDXLv/NShSNGHlCV3azy
S4LlhsbAxqAxU1qz/AkO3Z5WnWOzDckXszxlvEmbMS/Dn3yRfE/e1by0iSWJ5Xs/mSkrH6eixoKZ
FUBaadSIBzc7dbOtfroyZA9SQI4EQIsHD5mJ1ULlcPbE+PsGykBpXV8P3FLYWNnlMbexUW1c5/qu
dY4ITkniTPtZx64fNQSJ/alygxNshMxZg5Ous1XdOG3l8+rAvqyk9wOFjo1e23oP5ZLdz0UxrsNp
wmMq3WKL0EiOaFJ99aTV4N3kVQYLVMr4kyyFPPZqmX0TkXlnyyk7DIkNYqUlAw2fNd2LGG5CpqLR
VyQuNnzUG7+8nukFhotN3UnjqMNJvmVhmxGziWSzUyMAApZg8dng3LvNTW3dea3RbCIVDBuzbNoH
xTl/qcMBj2BTkiYfehJ/eozkRfcyfbLItX9bDviuFWrk4PcEuW6WfEr2JpP1vi8UnYUyNI6VF6m9
HEUBngufL8DYMU9uQzghcNHtcfkIDRb7SZrHDznFmodx6u69BZDAhtPyKg9QCv3GcxsUWZNCL1Pc
/e/RbdoVDExWCrVn5kcsLnNxJ4Nuek6mMvoFUjt86BM7eBLVlGZ8Okbvg/QivbhtI880KDbvY57r
lz5Omg2ZImx88ZzvsVhidPFwc20LZGY4wsPo3OeTDW62WfQms5fxNDSGPDOeO8imiRUcw5CFA5v0
8UCtGDpchPbfGUNIQtQi/QllJXtQTpv7VNlFXOUwjX6bisXQWTjD8o5SCO6ko5JYrJApFTvKaTpF
oFrXOLcA4JuuPC1uPrwJQphQ38x+vfAU20FYRR0OyRIg4QVBurYsWRzr1K7OC61WFUdgLb7tobz2
J3L8pi2SBDiEZVnVvdt+BgsXd2spxHYYa+O4uEv/nbscyaXVDo/kHkAMkIZPd7bDzpbe9PRdxB5x
p8IT4V0IMiVfz1lDRkyBFgvplIaCJoEW4/vvb8AXWjdDbo4bzwC1VSFC7GZZctKhzsQHKiPSU1kH
0yWBdggq07wWj7k1rya2RFbczZqdoFiHBRTAdCrbh1E1CzzGwHmCuz9comG09wuC2MYtuvjGNfSZ
9VpxaAdDMgy0PR/tRDsnj+fqx783+Pk/0PhDwpKJ+L/3/fxH8RU173+7NO9f323019n8+jf/dP7I
P4BJeeCVuWBjsrlWjP05mjO0M5PbmtIaF8fNNQH+9zinpVE78FE7zOd/T3lbuIXwApHz9JSWwvT+
lbncuoa4/7ED6PpPWJiOPM/VVNn8c1UUbX/GYPVJt216DoLHqHfdp8Ux8LKr0tN3Eq4PdbdWWW8B
k5RbaXYJGN1Q/T/qbQSD9z99J3wbEOq5viiEZZqk/ilubqpB06TsCZ/PWfucunO/YQsaHIYwF8yt
MQZYjSqrecwF0G8q/Nsu8H8Eq0nt+b/irQGNclemUf4TedVcFdiMa57ScbzJKV6/mN0cHBaBo2Qm
rnGOKKdAxEdP8yUq7X3UNuCdMR0d3Chv1gYRT6y2YQa3vsF+Tip39ovQw7ln9uOrJaQj2DqxoCPs
Ck+YfgEkT8GCJ+HPo8H0cO+aQE/v2HvFuk/kOY9tY+/qqy18aTv73VRmdqtsiI4rGrl7AFxmfTPp
bh2D0fqw7W75stJG4ak0vV0522BK0rG94JNmt5ZEKcGEcCw/OmbYA7bu5i6SnXU0S0ts9DVVQqFC
dwm1zZavEDwpE/uYwRwmQ4kHvdch0QIg6auEtRYwIUu/Wn0AgEeb4kc0wjHtSQkcYOcE4EhtAbo4
NLb8ERN4L3v7coyafUsN2Sk07PEwkIPbNHO2LeYQP7us+5u5M2hkoUfAr8a68p2+Fqy/MFTjyqSc
LOjk7BPo655UbVYYmq/9gSHA6qwY1SvLysBHSWl8uzFZ/LT2wo9WX5artJxrY7wNc7ox+nEyXsax
HraJaoK9kPQANKVAECkZce2lGb7qPIEjnqfFPUtG7I6EqvrbscqbYxzapIy02LYTeLCImFxh3Lh1
hNFpQnMcTOcOcHsEgjWFsbuYRFTzQuCmYmpy8PXuUnvGEtBqlItozvYURG/oDKerESpAq1tsybFe
QbvEP9q3BVNZE+9twOKbqmvqc5Wm3SsPtA7mBtTGhTMeZqphfDgLQAJChPM5V9wvvfGaA+bXaiv7
NvUru6V1HD7CV9jQrjOyv3xZhCGu1JFhviXFxewelda9OdnWpc+H6c6s0B9rjLUgFdjlQQC/i690
4Sjvl10Vdt19lim9yzK53JPUSPx6MeJ1bl8d6HqJL8CaSG9ATvRZANKL1ieahgAhkQBqoP2FKfCY
dtUeL3D1nBUkHbzYQZjP0sgvvPyXPUahb41e/hTIqyVmbhzASnx1rB96P0zecpqiSR5K1bm7gtQI
4stMwVpJbfA6NzzP57nrQvENqk1DfHNPNND105Ct9c5RJR69lBsCqp0aCEuwzDhTRKg3RjVx/y9y
RpgEWMyRPUKAeDXpu7g17IeB5K1ZtOepWpBjhlLRWiXn3bVUlzuItm5DN7rj5uP5NADecVGGgDUy
gJoFKF3Ljj+BakW/8hCB9upFYyu/BNQXj+bd4tj1a8ipv7eRc47NMFREhSQopGJQ4Fkcaqr5trkq
quAhLKT9Lio3PhJsVPtu7PvPhmDqAyezC3SnbH6KmmicRdp17ZFbjNYVBSXkr2Wo04Mr1Xrilx+2
jdP3804tkL43EWAKnDMVHclBRHuyglZfUYBijsWmb8LktscJSCjaSLbEqW12Em5LaDUII+6YjUOf
dm3aEMf7we7Yno8agk3wbNNCeSfzmGynUFiyaGrIeJ/JInTqLbfc/t4QJWllTBLNcwupfJ0C4kPI
b0juKY2vz47mLWfavGvJF5DXzqO3yiqG4eq/4XMdXbesk01yYqnGAuQbgE37dM0WHR0pA+nb3Jhm
cDwhLYtFjeO+K45u1qpXGXsQ15IyJ8LR2WgXrqMZtYn9c3n1ql9xmc5cPBC3fjmt29JRuHSv8E3g
puvyrogMVs1jS1kBgWI4C6AVizhf4O0iH15vbx2f/4XbgpOiaukoLF9l3mQHL5n5BxCKD8HIzWPO
c7ozRDBmQEkCai67OsgumEsHiwXYKKeDTubBO1V5YKXf4HLb/0PdmTNHrnRH9L/IFr5AYYchpxu9
N9kL16GD4HA4AAr7XsCv1wGfDFmKkCFD/nszMWR31a2bmSf7u5C59QT5ySR3WWnVZ8tX4TMMjeK1
JID9UEfkHFZhyQW9EYCZ+fbO40slrUbjkgqt12gY3lMYxqfJg/hMv8zUrB1ABMDP8Ayt9cQc8ZQv
n/+oasx7QQic/r6CTKNCdvorJsO+cxW23mF0ZSZvXduWh46Wj6e+qRkJcCk6gSlqw36EW1n/jcgn
65s4cZ23ghaRr4n6xwNxcns3UR98wuHkffs57Ai0YF3iVBX00EhLMeLCkHkyYtt5KJYW3jTN3N3A
e3tltVrt3OnnrX/lllPfLU7rJ3jg9V4W2rCN2siA1JrGCAswLhQ5lNDcL1bhDe/Ubjvik1sB63Nf
AQ9k3qWlBkgeh/Su+YN3kobEkYR9jD6XMiRP7uu1/lb6TfJrtIGwrJoqgd2XZ1FnbpKytz8cehOK
CzqRxH+RFIsxNvNI/4sF5g9MTdwEuUyOWy26Ucg6vmcYFl9MbTSfKK7Ij75o7S0JlfISUvn6Ujh+
fGCqSSF/D/wRzFqjDMyigQ6rknGH1MqywLV4bfmedrMno9wJWnfWBSnqb8xfxtZDgof9gjX2pVGC
kqeU5zlutwJSxpTmRrehq9kg2RoPuQ3EipI4KcaeTG90CAmx/sZoMQYlHNG3iHqIB9dkbwr4CYpi
bplr3ozGGm19b+RktTUqkg5xruZL3y2QZbQ22Nx6rjGLeTulJNXQBZvOtl1TT9ypE41imsVCZOyJ
VLdqHo8wMeIj40wZTIbA4czY4DxbRF3U2iMpOe4wi4prWmMKGem5XaUzPLO1bMzmzv+1teWU7Jp+
4d3kdhE4me6exmgx55b0BgdF27TvVUimKpT2BG/P6LZh2kRcR6a/LWqAhaBwsl1YztEFb7a97Sw+
oxbWirOjLY27EWo5vLXK+o71g2qKd0fvP0MbK6qZHg33veEZhXFvoN7Pwsb8m/kSBomwK+pdKPwh
6D3VVx5suATSMCMgztr9sdS4LHeT3hPMbFN/52losFG6VFaELLokyvSOciQvIOsy1I8lcb61ZyNj
ih6MsgJlMF2J4BlUY5Sz/eAQubrGdqxB0jAzecLCkz4PPdtGI9P1HRTs7CBbW16HODbbDSTJ6XuA
qQmro6Sgwuv8JchoyyTwZeua1OKZDlgEPND5psw9/LQKZwKkDBs7F0bqBRPLTjpZQxUaW1CSeUTS
jYDsXDYVy6imOBdurz/K0a0N5tv0lZ2CaRwHpDFcHMIN98siH6u0JzFpGx6RRTHbe/7JWNIgGu8p
SBK/+zYyMa8s6lTTTvoTpw2hsDkm4RjEKgmDpsONMYSkuCKf1jkP50CabRh6ql0UFtDWbLtdGYje
n/MYdu1ucDrt6En5WZuaf6lNF0/wNBvZd1+40YX6C5vbvwNW0SiL10M/hVMA8Lp4cLFC09ow6K9A
Yv0rF1x9KvXROvkAXNkoGP2WmA+fCVWGf+2MzHQqTPeibJKGq9ztl7YydsN4GLRXzZk5Q3C5ULXm
V4W+g/EJNQGY7p3aR2tBDhvmY4Mvep34s/ok6hTeJk7xHVYKqis7m7EMq9yagPB3Y1U5DnPc1K4N
q9Oxo5ChcxYYy0cyYAwFyWieTH5DG8kyC5SOXr5U8Mo2DhcNrVy13ORJ6D5MYLleRd881gbmCdw4
7Y4y7ZZdBI+b81LlcHLSxl1ss1m/L3ljBD6Eakz09nSzFABhzMi0+mUvKJXftI5fuoHtSCriFMxF
qm9pmhoPGus+0aCQly70D0d08yWr6/xrmJr+UjJ9rVAXo3M8p/Ee4N54dMXvFGtk13UWdYDpWo+w
a5qaFfOWAvk9xVO+FVxIEc7lpcYviaCuJCTsAa9DFzioxD7Gk3NGCD6lc+I8RC7+cfIYzQqUxohr
ubJRzMXAIlblf7wRNxsxvfEZFDRDdBGVaCnsufU6TQKKrdJbNDHRhg0ocq/rrZslcu84kETbdAL6
p6v9pN8Seeonl8C1WTaCEZTKUT6G9tqlhWSDOyELSlvtw8xxdkB5jrRQUMAzBqCTkZ4HPtPTeixs
GgtQkY6IynLdGFKdGsPWA7Lt8FDmsuwPws3FVsJwx6VnNyx80sZC21F7C0d0rTNDzNbgEeBCYMKt
nh1CQo3bEF/xqwirUqPDbtI2ZRtrpziq/XedResOoIV4Q1fCfVZH2bFScx8ITUQPGf0PG3v0sfYP
0vjwTM98c1jo3pmA5QGI+vCaFuFSRVRpICF6+GrwMjgrbfx5IKrjc9PJ+CHO6xnrCCFhIVg3eYLN
Ft3M5R8TWwLWuu6sanmiS9YOJj38rSvuPnNazyTl6ADUnmvZaycwbg6CA4tPDYPBQRm9/zA6o//k
hbILiqiW61IwwA5uYW5aU3gBLT1nPS5orKQ91aG/KDYtXpF6fpeDSpkTiuZTOAVGVc0M1xZP/ENr
GnuVztpRx+O3KRD9Hhdy6ZFM7t3Gim172HANq3ksjbdaVw893J8ZoKfROb/SeLwUoy72aayePFxZ
kZbfp7zZhymIloKAHyiOBeGZN29N5L/nOT1AQ/LZsNhYZw1xiQgX/B0ZKN/7ncPBPprF2UpHg88x
fU++l548O86PLKbnk4NtdOPaXrbPU29nTSQqQMJlWH2K5DB2WbQzh/5JN4sEqlwB8DbjgTcPWk3C
mDH8oNs8rmYysl+mIctzSksRi3yimwHgIY0hXdtDmzYDu8v0XeTnIdB/NzwtJbcbjeIZgKe89FdF
Ld1zEgGO9hBfl/jRoclS+B3uQfTxScBRmc283iAs2S9V5XZn3XLNF8ymiymY5PLGNsgGIY6yWl6l
4eT1a0/2NkmmpHrVRnbanskTZXZons0RqE4EbIYnjFHX1NYJh9j89wMYFUMeu7z+LpTdPOTppOX4
xilS4oA/6hUlI5QHbFkxVQfpYXnEqZkGRtpMD3gwh8BxDf3L5N8HArgneOsWynrvNY9EtPS8q2I1
vw31QQSF6xNCySAB10rfAglFUwx1zrzy3cRVch9CuLeITv50yzHvQP7TnGbb2Z6xG5NiKZ/T+dHD
qscmPfqbkWIO6ksa+0wJAP74yhlBw4ceSMDyIUqW1kLxbZnECdrZPfr+k9LTAMvjdUqyQ94lv8eo
/56WNfJKr0oGcaNWrPudqN63IP62XJvaerQz6PGGpm9K8GtE2gYcdkTy9txc+1TYe+G2wWgNAeyC
hcmS72k24Qvl5htu229nNB61gqR36857WxMnG970illri1nkF2leeEzKNNNDzXWAl0yfHs0w/tWb
xrxuSu2VTIR9yaXqPkn80G2vL3xnxhaXB8QBzsa4YkTRnpRvPpQmUoekhcUtEaFgHGHqtI13DnA8
a3ptv5omxaJajGJLf9Zr7jp+IB0P02YTLxv4dQN3bSq7714HujhwNa98l36qtPfwnufO39QFyx2j
1qWKstH8uXYIQKQ22bF6IGrDBb7NwwqdztwRjH/XKo+Uw6Slm2QMdUg8VtY98chut5kFXSYkcO6L
7jo2GaMe4sQ1bs0XWfoL1A62ush05kXBxsgVhCTMNtkStkhg+BoZqzxhPSrltIEHExa6hAwDGyel
AdPMacoSVogYjlZ6JvZxIp2T8HUsnnqZryhFOoZ+6++Ttn90Zl81Qdv31K2VIn+O6lK9075zlDPg
zYwHBwZLtXewSe+6Cq/iJlNTeUD47bda6mCEFrGxT1sxXOt5QBZMBYkn14Sd2T6bTbYer2CcelH/
cdlzPY8Jzz/qT8IDejqpADWcNYc4deHgi9aV6+0tI5O8TfpLBBNg1fdl9Wqide5TCbF4laDcbERV
ISR2AzoscbCz4bIx49kQbgltO09zPCbrUJ/VQzlboJ0kcKuD48g+aOg+DApfncGwFfRRScUvSo92
lYHH2zXcyV/VlZm8gDhBr9KnDanV8+RQTyyJxgD/1tl6HWZJawn/b/vetpZ2MHgpbkpThzinz+4X
/WktVuHxyQ/lE01T8c4tZbUjuJa+apgRA5T5aw/GbSUTqkxTWJwBTVJ0d3DPMycPGstXmkWNrLo7
OuES7F2baXYx7+JbKQ6QASlGH8dfZEWhB3GKHxzqFB8y3aAodKGlYC5LIfqzvmFaHpXpnd2owl/J
XqiC+iT570KTJVRcxGyoavuPy6pr1QIWuBaOVDca0GsRpMs+3NfdkU2q2tLgF73RaJCeWyh6x8J0
VLVpE4mxWCM0iWttUnDVadL8aORI+iM17W3JpMlAlfZBbnEjJ7PeyFXjQkPmXIASSDWKO0TnwZlO
hS21VwwnFDxVPD027cIGQ4wGE2b8IMOyMoc60jKSuQtRbBhpQlBuBGYMoDjIMTU5wMNMOGRh1MKL
W9hkugG6jLe88QpMwz6Izqn/4oRjdAyt9jwudLNCM/UbJbHRRXNKc1fHjdxhvWcAEgsRDS8HN+9Q
5fZZH7qgYfgzgdY2K8mW4uw3tvHUL2S1bDKMZw5+Ug/gynZDtCDYFoDIzpA5YDb1A2mjMhRAeEzo
yBekcCerhgJm1z2bsHIBvHkO58UqgSnxgnPqoScBxjJzLK6yLulDV9Z36JPs1E1RxhQAmuGfcAHH
MYb8QrgHgpGC6erbZ8PHrjMsCy/Qhftunqptyux8Ukrn40pqee05xbDHT1h8Vnbi7r2KrDDJWLCZ
Jc7uaOHWEXibr3o/4CLCwgCwA1/Ndk4NICH4q9aGg9aX0wlSQsV59FKTSuNaucR+updhgo2nG81b
InB1Nkle7FLDdh7nBZ83QTX8sCJPI38BoG9n2j2hi94ySUzaPGyi8DnG4X0gUcG405M89voTFHfJ
gQc0cDLcvwnj/xLc7IIltsZJoKjlHBaiH8FJLhMyCSroO/wpzhxee3e+OpHj32IXRV0sOMCyM74K
PIurBpzSg1pYgY2cTcpXJu0THgkO+9L/gAjn7R0iEjRwetYa3xVDmP+DHAwBz6jBEBAXCX5XxhFU
aPEiF0ihIfj40fJBRxdO3T0POyoEm+zWJSQQAczpWzyYZ8Gg3nrAxcyZreRmMGYQjm2hPQ6T8lli
WM8xMI2gSHPklQYfc0zPVNAbkhV+wz8+q9adMC8EY/WzcAlJATCVR+GhHos09dkMOempK9RdGA1f
zqZwV+5ICMcI/adJddYpLoonnS/RSrfHbTO4/kZ12XOZyccJWRgCDqlahRkA6TwVcDrsHn8sLb/d
FkIyYlL5A4XsfgCRI87Xk09PC6Wv+MT5MI9gIYTDgSwW9ORE5ONPCdspwF7k013dzPx67fZQ8jEM
SF2BZJ/mtKIhDLplF7fhtVmIl1PneA+e32XrtJIvduTcHFToLeHvTzrHTpmKzh7b7p1lt4yCk3nz
mYtOSdyvm5rS0rx5nXr5bg8li9YWD1JdAn5Jb9TJx8GMwPLU2CatkAuY08R+caoXWOdARO7VNqRD
MefISLNAPbuGCMMs8HXEFSRMD/Rn3vm0wt0UWtMD7FB5lAsmNFchlWeZC5PZ6hp2Lz3uEOR0+4wb
EF2sJiq28ahfjHCgBAoWqfihklo2dltvQhLsE6aFlfwBmOYZJA88lzorR4fuojqHdep6ufFKWRKW
AHeBoXoLFlWwa+D7s8BS+UPlkeKJFwqxdiwIjW3J+fbg/2BWtUFpX5iYwdA4crwl4zwcIur9SJs2
nf5uJ432zLvfPM98lF9xOg9rxY49DlJy3xfOBXCvUW9lH2RAh6/Y7XjXsTTwB0ShFCzOidQSwKo4
sfpXG1TiZfiByk4pvwQ0pjF+pGxBTqv5B0GbVab/jLO9PRBaA1GbN/oA/8q1X/pYxMUuAxBH5B+v
O5vMBXKL9JZdIntB35o/GNw5otSFH0kCHhfUYPLSQ284IEcxxhW9gRVtYeq6fQ5eF6YTqF2XwMra
X/i70i2+YvoF1t3UffEsB9JbJ6UM9Nr4yhj4ENxmFlYrDTLboV0gv8M/vN9/2L8LBngiCslIqdvv
BSEtvGE/xGDNdNrfJpwidw2iu9xW/WD/kQzk23mwnIO3oIdRWdUjEVpyigOacENCclslmX3rnYVb
HBNr1Te1y2+PNIm5x9jaoD8B7JYesg+brmLFqDh889Ppt8WCR3YXUDI1vnfnh7qShaIACgyKRS5Q
lm7Bs7BZi7c18KgZB7y+9n44LuEP02X64bu4DiZYV4R0ikHQJOm9oGDaBQpjLHgYYwHFgOE1L9kP
PYZ2WEgyI7Y0+BtMlUQFdJNAi76AZ1AUd/WCoolm77OI9WjrLZgaPvj1Ztb8/gArwbhQU/Dpt2z0
yAUbGfmf4Re0xB5MXlRTQTZf+3jAlFTlxML0uYd7agAtx4MX1NM7trC0BURoGjRZJS6J3b4WL1GF
SXBKm52fePNrMVAZq6Ky2QDZHAM4D+4qzAi8FwTzYSKRcLJ18DVUUd3h0HHW986HCrt42sjCqymx
H5oH6bH8UqzA7hadRBkVELb1jNg00+Qtw9tYjMm2U5r6FXbiO5tZOqR+aF2KpslfobBxIhLSWwHX
Tm796Ju7wXaoo238GnofKoozrwHI+6eEtSSvjlTK57iHfe0aCD4wJJMIu6ihJyfbJ7LDs9QSQWRy
J9tQSMLZVE9qSgWJ0H7YWcrngQYGDQXxgPUH6dQc3M1yU7s8PDYuDdHrCkMACeBaf1U9IHrVt0RW
u4GqP/iDgUwI+Zd29czLjCmlw7rmEXV7kCOuwRz/WkAW/gP9LTwxiFDGxjSJb4gHzZTkzskG0Lcm
FUDSCu3vgXZr+80lupBH+riViQkurOtcgmVVc6pm7KJp3+r3eDSGHSIDa86uGslJMbXUu64Yw6d4
UM4j60r+KRJR0K0LKv34PF75qVrMB9ZU0UJPQQbqWqFIbbv0qccVldDFrNy/E/n4bIf6whsQ1U0d
x8anctya+fSwS32OZqu/mH111ZZKKbZ5D7XqnIOVuRJeKeQtav8ilnE1cBH+g2agn7ASKWG+Eoev
Q8Hq6CCpuKXZ/8mwDtCSloV7wr/8fWVbGTvBoHCylgRUPnWf6YCNZ+MPZMaBeBbJK7/fj8mo5U6x
RODqQldfRbng2abCwJHtu24RBYJKTHPbKMjkEdX+4V+j3+kBAAlYFLPZwwdLyQ7Taz6cplk5FNYV
/S+Ml9NVkhgFlof5Eo5vvWrM8uQWNtTCyrG5bNDMmf8BaST3rvZq1sWyNSkJYxHQlbg7U8r/Rj6/
uT29CKzgf2bI1s8teMM/KHD+2e7FMcH3R94RvhjbImNsCs5CQUEcsZR3DUH2UoqaiFZRCD4VAvIf
hrmP0ZcdcaRwAPAIX51VMDPDFztQXh5GbV4iQzeBFCicfl6RXxD+1QEmmQ+rEMrPKcoTvtqyQ2DS
bAJHnfYLsEvz4WNldkipD3Slg0lcSIK2/ApZVvJMIHG+I+YkgR3Y1EmUff3GYuhXEs+/R1z8XONO
82IacXZIahsCLddp8i54f751k46s08Ms3IPw8Va8Nej8lXqGO4A3SxD5Ca2JqSpu3pTP9Mx6zqXL
c0LiVTaSmwP4t2bTB4q+jRYsZ0XrawQALIQqNHYarj5z/fPASVlLbGe3uaF40VOflIRnqJBXezp/
yWLSNLXTamXcSksfzq6G8tpxHt0xeWhkPcEqMbSra2ZH1t7ouug97grzpU7hHBETBAwA4Aszh2YN
u7Zf9uNa2ohHmgvZO+mABxC8unY9NgC5ExszkRtxEySQiXOQ6zQ8U2oRdJowznqPx7crDEw+xewY
VVCCaAqc2qHD0m3/SpGAwYE6269avLNfTZrNG8MUzy67/XWiC3/ncJpu0Hfzs5YZVxvw4LZ1Shz4
lJA+TlR78N5X6jcYkpoGDm9cov3h2PBEmv1Hopf5HZHWfzI0S10RsJ3fhhcXJ21y0NUKfYAj6U70
A0VZvzbBBj9ZEyrjZHbvLXvoFHJ/Mz+YiUq3OGmaHVcpfpdk6i+9kd8x76Vnxcy1BwJHv+3ovRKh
iwOcywmjpKfkS41f5zoOyibC11vylXAZGoHmzZibkqFaV+b80PCBWBcpRU4U+7ig61MQ0CN1nHnC
OjL0YFaTmq7ISQa4vr09icDiwC6DlmsKWPlGqPEoKowzs2zYbzaum69DbyK2VzS4PkzTfNMc8+41
4YuvqvEaY24P3JBXXNq0AG5H0EwYhG8xOmGCG2pPkIfvj+9PJ2JgbF4zVTymJanPAv+5yTh7g9TA
3oBH1NmfljIiHk/mQ+X65Z6935fXVs+WPp2iCMHI0+xjUeeINroX4eAPlf4eN7W7bUG17mzLyl9E
73JwdWjSBzCqR1E6/YmdAJ4Qy1ZBIoz6NaPn8cFrQ+rAcwPaeYNQTT+R0y5HOjmx2hmzLVZYuaBI
sHUsbX25XlfbMe1YAKh+MnTK25YiOUvPbhzTRGSQ5NWGm6Pcoknqp94YvqtGsOtpI3sfJiOrPWAm
1SPnlg0305yO+Aks1OlIPQ9dpB69Ihz3UEbmOxbLbDNTVXqJfFHca4aL+9hNBnWreQXtZ4DpQ2ho
OAHFaNexL7y/jjLD16GlGo8oA3e9J8MaPngLyAh5yX8raCMOqqRkaxCXWpDSswdJyo4PciS1mGNz
vonESR7NomVRPsdLU+hodld2A/FXNqInk0gprLXJIhK7g3BOk9Na7yIdFefZ3LI1VDYogclv1lOq
MnxbCXqCbflfdehbRwaV6Isl4ZKjXlZRZi1vCY/wnIdAb2Ptfl9WQW96iCtr5Zd692sOHeOV7Uby
C3/afGG3YcJEpPFzbnz5HWuWuE/KQTkIy+w5lGG8QRbgeV9oC7+icp9sXei7uK/tteE58R1q0Byt
K6vPjl0s07+lMIengusVYWYKL5TF2VQHV5S55Z20NhpVNseeHuZt3XLX8Hgu9GsGGvoXaxbnAckq
A+rqARqHl9VeUAysp7znAa6VU/qUltpv2Tbe1mm4P/ssPMaRgtpr2s0lqpX4tIuBtWLKd4YySNAA
dOFqGIOaHIvNbBxIEmswI7ThPkOeZj8/9k2QFW61nRsWGZX0R+pODfHXkF54wqFTFSsYUdQWTyEt
DA7DwRYxLoRnyfdwbGpCJvQNq9Xosi1AjTLuI7ivu/RBLEQYAZ6LMHnidmXmsXlLc/2a+yaHOGKP
cXqCFaBeiAXMe2B6CE9aBm2SNqCGxtM+ffNlNbGMprrtfbBcdm5+JkfWDuy3Z3w1HFGJlm5d4n6n
1nDmzwI80M6LUe/aDjL4kvZb+xLiEOrO9MQ2rNvbNgWy47zs3iu9b/9irpnWHpUsTzPt64cBrsCa
31u74tHlH6t0dNhpoMTwVa1XnZVT1z60LnuFydFI6LE252OJgk3t4ZB0t3wWHc64btj2fuhtcZMx
c0YJjWhIN0/toCpezK1NDqw2eFV51LqsJrT3v7Pm2NwUc/GSxvwMIDqZEC+c8lAOY/jYyL4hoNCm
x5hOC57wGAVXlM15/MjFNweO9jCEU9ttqB/wNHB8GWfQv+MVk1Ia2bTF7m6TzvLKb7suw83Clf+V
dRM5ngTL8IuToX8QARmuQxHKj9Rvh0ciBuQQcaEeIZYDrY0tWdz+T5zw/4/6zpb45v9ohG/bz/y/
+9//+R/+8b/7zr90YRpcCTi7HfcnZfqP/93z/4Urnj/bwZdr/ZM//S//u+H+y3dcm7pRYJRIuSbW
+P+KphrWv4SB/d1zhEuGwhX/q2iqsyRj/5sH3rN8XcecL1gLQ9jk71qiq1+f96SI2v/4N/HvZeyO
eqy1JkCPmViVTk+O2PQiNOVOLzFa8jWas6tHTCXGoWV6AFWjqeOV2kl8GnHnDi17St1tghn717ag
/YC+j9zuSza4kD3wbsM4JDY6bAzCKN+TWAyK1DokR8vOepBE7DLWlj8kB6eINtIu2quVFMbNZ6v0
GCGe8rjUirMyqFShmBhN2rCePKtq1/wEp51eCXCSmMge8PlsW1Bw0hrlxnbMo5vna7fq+2BuRgKk
P6UWy4E0N165dVkgg1XrcdvamCvK2n8ICXk+DlobkaSPP4BhkUY1wINQFuFggGz9bWmbfzhI7fU4
tF+4wMAJVwkgztYmu6vC6YAPqbvNvj8e00Sn7ICeRQhogiZR0X26SvP2uqs3W9mDjxp9/k4vcb7D
wRWPXa3+zD3CsK7g/llSI05EcaGcf/MOP2iRGXR5+KZq88Tr+ExjedBN/TG3xFIlgUfSrbUvq/TG
bajMP1lW7VoLo3zqTPs+m2AujeZz5LMsZiE+b6BPheQCqAmvhXzLYlttOtd9d6R+lo0goegGY0s5
VNKreuNHULm9XhtO9BI3PH3EMacZCMOjtcMpzqMj665pUyFEzopIk0VmYT9W1u9p1PB7NI5+m8me
0uhp4yojZvuRtwb+XJpMoy9jQazEqKfXtDc5UMVofTXE/HdZX3uXPI/cE5bl6W/jd2AKLEq6ebWq
+YTDaDw3cXrRRZX8tWiIIrsGWRk+YrTK25LjMslApKT9D47pLmr/mGKEWotIcEPOWmNeGNZDjlrv
mpYuLbfOfPfi8pa6+k6LRvdKnHQ82EOWnJK6gzEKMMC44pSuA+BWhI6l2tIp95GD2XxoF5a+kc06
dJg2vbtuj0keJxLdVB6LOwcfl6xG9EST/hQYFqcudS8C4Ou9i9pWnKkdluSwMHPUpGO1BInWSvN+
2+XM/mstG2FUuH4GRVIO/GODrLL43kmn52ZH6shJ2s5hjj6RSLiFmiaNO4UNAL+kmcPWHBKzwKfn
zLq+7iHOSK5J1USb1vWmCHtNnDhs6MrQDcIspAY2IjLJIKIV0EOKqEEF06wk7/a98KtuHRtpS3gk
tZLqDZdfQyGSVngdFQK5t7zI9NJbGwPNso92zBOaYAFGhFNYx9m49fBViVXE7slDfoSrckjtTCsB
YyWzz9+LUrSFB5H58OU0SalDGBYQDEP6qDaTH7EdjAbdBiZhOhOZY5sVxwZaeRJvw1zz2j8lBKYc
o4xHdEAAdMesWfv2h25E01sx8o3xO8n+Pmq8CeS9SOoVcZO43GOugnZnDBr7J0ZLWl2hm5D0YZzi
h+WmGmYOa0NdQ/SSSp1vSIfkbiRIe6ks8qeWIMP3CCbdwr5AImOBR4j0CvY1l9u5twpvk3cYTR9j
iC/TiZ1QvItg4HUbA+9mttYdbzYp8OUFvMv7mLpULIcdJItG65Ot76bYWowcAOzKGgQjEWFZPGh9
fPeLWd+g4vAX9lUaoIcP/EOr2O2Bi6jGXtXIsBm9P45mGB+pk8QPBcmYz5FScYukhKofenpd2Nd6
szzkinnLYytrxy3YUqd9lp37HHfqHbyqCtqinn559lijtMXZzZSCYy+JSIwURfdkuW65HYbW+xUZ
NbOl2Vnzh9DnP6PTY2zU++I1JE5a+UWgtXJgnz50J4c/t1k5HXhokyN0HHKQrwPVEr4W8hPFRbeY
AUd47ER768vUQNrRoJn3u2isOiMoXXQQ8Kw0fJ04tV+HzlKQXOK6e5K5m5n3MKtJWFOChqBBbISR
sgBYO6EnqLudYUfcZxYxjkEnrvGUuSL+g+Av7NWY5G0ceI2VPDclYv4HD4KuOc64gtirDknrrOoo
hrmYTnueNb8Vq1ZvxaQGjclDz8OvXM1bQdsua6Z2uHbdlFwsDXVzMJV68Mz+NqW9dQhjR948Xkw8
SpkTtVl32a1l6leLbHirNN1PVgOZred2zqDshU2eXUF9lb8LcD97+M3jIRxyl2Y4ULqfTpgI2P8+
6gs78Yvq4F9hQJQetECvf8toNYdSiwrCWx0oAS3Inen99SjSOVdTP/4NmSl7TJpg8J6xpTPMuhqO
esN0CKK7tB1kfxPPwWwstVh/TIfBuZelcN7yUZO7ZEgMd+uDf8nOAnc8p8IUb7TCb57LCLTAuk3H
4ttwvfLvgCP7fawNbK/ARP3AsXNsuKx2eIwnimeoViJ9AhDW8gfsAtYzjsA6PxeV8lI8PaXlIH5r
IB6ouPDeQQCa3lq2vtrJKiyNI6R86w9AguHmpIb3rJdFdi4Sdn5sZkP3JWuE/TH33CBAHzkk3XyK
3p1BQ2uHCU2AaMpwZ5A5CzzDdfYhS/GNiGyBpdDoDoNlpAP2RDYZtAjQE4K+2NB2wTodmhngGkJS
/ty+qFhoj+xB2HoCOGbP5ETZjHlLw2ZPqUlO2tsYauLXjU6wDv1gyjZx1pXHtlO9sZ1Ns7VvjYT3
lLfU2G2hgZiLkXIITRoZfEz+Psg8tMqw70J8qIbW8ALRuf/qCAX9xiZXmy62gyhx0/SJJboqJW8Y
jYW4B8vVBVVc8YSKgnHMonSVaykB8cTjlb6LoP5G56TQHBLv0MdvAg9KdAQ6a+vnUcoZBd3HDsBq
orz7pVpqWqQ29XdYJnb1GuLDV5jX8XrA6DN8IhNFylfeRzvHhE0WJiX3uRu72n8OVQ6QjMmFrUnI
ue/gIdpr1mwCR/BUAI/W2HOf5Rf6N7BukV/ZESJDEpyGEsmW6ppzG1peRyWXqZ0SrNLUI+FlGPlA
DM2X8hww7HiCGB9M/RFOMdprE951vvDrhnaXTeewJG2zanj3RF+f6JWNXuR/sndeO5IjaZZ+lcHe
s2A0amBnLtzp2j20viEiMiKpSaMWT78fs2q7s7J6utG3gwEaBWRnRXm4MnH+c77TVO06bQbcyULZ
4YNphYS4ON0UvMMlJpvJpS0ehQLGlmGaibdn5OjytqqW3DM924QPQU6IaxfzOTbTyHg0ad+sdlkM
XYSYYcqynLc2/b0qSfIDGWbjkfbKmLeZ0pRw401ddz8a1AIf9Mnlhijn8JNtjsUyqAckvX6IjHCf
xSLY6Nw/3pWee3QQi+xmNsubytHHXYM9ZJV5ijawYrbOGNldv+isUzVbCNeyfQjtOCXPXgSnAYf1
OxtGch86Euhyp/odmHi92g6GluJNqQNY9qZTfYZhwRGstALw3mLYZ33OBqXGyIFHGdcJNX0N9eOV
4SwaEH69eseMOgyo+iKu1wAK8Sj6Jl2R4kddV+1UflPN9K2tNDS3VqcnZV0KaYFuNDIs/IhTEPd+
upzd/J7v/Y+iy2/KuGi5xCzQnb+nfv964/kF9W/gdhQlyY2DWWYU8RlWUx+LTEse/v2HIe7s2aYE
AYuN+c8XK0AgRRkE2nBwRurGkchDeMdTZTr/4umQn/7l6Szvr24yyOVGyH3uz4+je5pssSt0h5nO
mvdk2eGhfnEjCCc3g2yipfFX1qOVMEPLpfsvHl0ur9afX00y2gYwUc91uN3++jTjIUw1klXtwaxj
tcW30d5LF6A/mVo6Y1Htb93qR/ejOb2mU4nMwWmiF94DbJkH88cxQw8ZoC9CD5DN3TzejE5ZHmyj
QlYRIgQ7CZ0YVVgb4uy6ob4pBa5Jo7VKopKhjXf+5+/bX58QN2HhcGUXuivJhf/59ZxxozpZ2anD
HDcNnog0xrXSlzG1TOSMIXuyjLvG4d99UAM+lanrgJC4+S8lGD/fwmuyh2aPQsODhvPZcAzO0i3a
YXiMnamid+NvMf1/8AX4M41q+QLwYLqgKh3DJ6vTIgn8dOUHP025hJu3hwEi+caq5eeYattcjO2/
eFZ//aZhOOcY4lqY90zjV/wVWStdUXdUHGJsaO21SScLG2ehW93+nz8j/a9vGhXPJrdIjokS4/Ev
b1oIwCihWic7tCZiM9gczw+6MQrPqB8GpQ7SkM3OQ1702PKG5jodOsO8IZxHnw5Hvu7H6U/plMjg
iwngR/84H9Y/zor//Ff9y2ui65KPloeww8tiLTiEP734mhm2wFPiQxpFwjkot2tvxnLksvRvPw5Y
X7h/dKTwMN7ye/z0JsMiaaoQ0P+hoIwVbylT59gPgyw7/nichUcRfpV/fJpoovmZM/fLH//rocz5
3//9E8Pizz/xX//zGs8N+mp+ekv89/b9P77AirTT1Xv+9Z//Z/9eT792nf/+M38w65zfwGLQhYP6
ZtqQMXiHfhcGHfM3IBC2+AeVOIb4zfWkDQDXcfjqGj+hMdAMbVB3nqdLvtvL3/x4C359E//+55/3
SMsB2PHTuo4UiMqIWdTiUQQl1cYvi0SqS675KTanpNfcaxZMWq3yucippUsS4t1t90rvQnYosEcD
eq8CKrGw9hAzrfp93UsPLazGTQ44fcmsJN5TCRL/RQ6FczXPwnyMraC5DMzQD1NuJB9lrBlYjsLx
UPDPPTAb9HiX2w9MMb01P1NgaIxqq669IhEpH1DAuLzH3NexUCh5qV07e5A0qvsuPQLHIiL+31RG
6nfofj783BwrGaEqWwXJEzpFc6w5dD0JFSUXTmDbeGKu4pKZJRRaeXCh0PWSBFiZ7aDKU0cm10Zi
6Icyc2nIDKGGYQovQ5w9RrGLGxI4INQy36i6dGO4Y34P4dZZ9RgArjrWfJ/Bge9GFiU1sS3Opmmq
i0Eu4DhmwtxauCyvTNmbWMTT9L5vRXsp23DeJI5dkF8zm6VMRSfwW/V3WRFxCWk9xkAZh6y0s66A
iGfohSOHtrHzXnUQ6ZxTix6WvGQ4Jen1yTJAtRZEoXVbKyjvXTu/ezkwJSNOsJyy4/kywpQL7Cjb
UL1pHWsTFkYAtJw9XVl+AbUBqmieDq/0Y4dPLT0bL/TRNQ9e0AVf+myCSTJd/OCAROCJrieB5e3A
zTZvtrERiVdQbkvDBwdsCOezM74l9IIQggvM+KZw++BMI+R48rjeb2rF3N0359mN/bLzPEoDsslc
8xnR3LWGAbjETkgHutsDstMnIChBrzNmFSV5j7opi7ORm9omGK3qPpt4X8wqF+smxm8zMvGYI65Z
eP+MS4oPhnxU0T6PCfzfxvW6Z6dP4qeSixS1mxQl2Yk6Jf0gv2PPt1Y5U69xlXQV3t8knMZbKZPP
KHLfmEEFF1XTDdUTHDrJDC5iN+DdXlEfruvLTbtLcbkr69JTOwFf1dUxnTfTkcG8c50rMCdayq0R
yiiDt7A/9/BY3uumY44mzYG+Dpe82aTSA/nJjQzHYF9y1Q9hrxn27eC55fXQDtN2sm2KZ8PIeo2M
2oYUMffai0Oh1VOosvRQpMPwlrM/vQ8UqK4iTIZ+2bjuaTAqGqe8wU9t6zYe9erO6MccvG7Wv3P7
rp6sEfN4XXbGq+oVJZpdDxSVsilHR1Xmum5CRIt8/lV1FTaWZ69I9oQnIyIThl9EXVtjDMDFVeqZ
7kTyexElDXv5owgEyG+6TYIMMoGYKEJG174jXkYhX8rqcC0NsoUtOh2/r0A9RmXVhyc7j51jR3DT
d7iUXQKHth+7TeR1jDPyogpwg22EZtP0To0oQyVpvLaVsi9pFGKGgcOmf6G+6V+uPZGpsa3qIhnE
UcBBnk8nRoblrCcTgSTbNPW4Zq49PMZ1VFQ7fLEiWxdWB03Nm3TPz8lQAqEwEq5XBoq93wG7uEgy
w5sSjPG2Q/4sUKtaYfkKOdBdF0mkNq3h9DFuGs29okUT4mLNUvzqUBEBqgXdm+CMtQgIVGBrgd9n
A/y7OrYJfdVMC8/4VAlm0WoLdStZ/L5aX3w2+WyPGHxC+WbW4HxXhWqi17F0DXPFgsjAmxJZyoJW
meyc16kAFY5/23AfdS5eV1z6hpdKyBmMJfgJe4X2Nh20QVjFrgUho687L9Y+wnKU5aq1lPPSRTTb
bzwwhTdCde7FKKdl0R6CiYURky76NVZv+n8Yw+5cKUboRNLTXoH2Q31MS5yJK0YkiGLMz3Kxx2qp
6rVBnORqyJIq2oxja4ybUOq4ZRptSOrdVJC6wNpplfex3RftCgAjkj/qWPMh6nlBtXe2HWFZtGR7
ryKhnZx6zrdEzdsaFk+EoyypmB6LEO823ty0e6UVyrbWaP4YDoZuMAm/NFO0TjuNEjjRWAFG9QzC
dciJtyf/kurHCWL8QddbwHNU44zfa80unrHNNrvSbaZsTfZmYKI7VtldTPjuGXdlcwF3/b2atPrd
ir07k9ADoDjMUM5qzEp72wnKNzqrG98mt8dDaXa9/WaS93IBG6TTQYBkD1axk9m7UO+duyB1Z/cm
pAC5oAA5h9mfOvWwhZDHE6idqN2lmdeatJRMNsVWLL6PSGnj0vEePgkGbRXjG7PxlS7EgFWwHr50
l12FTo+xXXOZBHYB5eECT7UBM2HqTIDavLMOVJ7yva/5Irwo9OcH3PDpacgdqS1Rbj6AZWQyJJqD
oN8FDF0eOwAIlzS3uO2lmkjiTYH2+0LEht/Z4TpyZDpuFgwjYlI7TeQ1xzLLqmfXTnLzEGOUU+vA
wTBE2beREYVDZzhDdOxeNSPD5ajBUXSwK4fZZ6X1QBqI3M5XADT4xrSBnj0nRdadWEP1d6G30zNh
QKLkhQlQKXDmhLW3oFZp4D8dEpIcu1ePn79teiOgzSz1BlA7lvZaZexQNLGIx7wgO6jjrtoFceE9
hfOoPQrlZbemgdqHMR/PXdQa+cXIChhXJarNF4tue01WS0cJS6L2qe/NqfXn2CjftLRUsAJ1tGkq
Sox7KyaaTbQt1T4KVBISFLYAITx6wCbWMnA5KoCXzd5BU85qp/V9Asi3XZp5k7isqx2CmXhp87q7
LwtRfDmR6ebPOik/kyjC4NwloJ3CrTNAv6r7BOtym5bpjRfpTDRavDRAsUJrOAU4LlbgBaLboY1i
KlPdASkfCQ3LYfbBezUmlAC76om+PHYBCpdwNunzXVpHmlql0BbqVVjpfEFSVdDIRLVNyARRgzqQ
LKEcRiMOHdqwCzFaOg7k+rj2OhJhsp42aWeHrR9EVnu9hNX5eDqyidc0FwYvgQ30MvdG+qSoKaLJ
TAvVU9eM9m07xB7zsZj3PakZJiMhzZcZnmOMC8xs7jqd6NrgBpQ9tUJIPDc6UZshpLsgXnL1EFKM
itoP2tlWgTU5iI+dvtVLvYMD0qfxJpkFOQyujaRWkzq5tnUrYKTlFvKdEEb5pFUexnlyA+LKrkde
ES9LKy6iI6+QMlW818fQfU+hmn+DFMevFWI0fSJuPPD6RhMWd9MJv7mcZ/dUCXpP5PCYd82VxuLX
yqt0NpJLNlkBDShWNu/wPQPTNExFpbWtU+abJ2JydiVyOB3Fo3sazRay5yydNvHjmIK8gVEH8xT0
0u+UOOdfAY6lIxjd8GNu5TStw2b2znI0QEQa4jDNZNV/V43+99L4MCmufu+feVz4cdPW8bf2Z2OI
4UnuUX/Tav5yZ4S0+l7/9Qf+ICm6vxkCNUU4UrAQ/HRhdIGcG/zfts1ByLDwfv6NpMit0KL7A8gh
Dg9b2t7fWYo4SfgJ20V9xyLocGn8d26Mrv0rw1CyYhoADkxrUSGF9cuNsertrIF3ZuxUoJsPdGXN
3L2gYY+E+/yemequr/LXKM1Holuu+xrjzzizRXZMqPiHuStAT10iuq2ekyiK4XXN9kX3CiegG7CN
CKbLOkJUrm37Wc5U06wGSp7OAR9mjA4t4dOU5sddSHz72YPe9n3muPVM8w0THdNAf7IdbbzBCQpA
thEatRBlumUbkMeR++pd1wzVyWyK8shhBLmRkPEhpDph9HVJnROME2meVNskpyTzYKwTnCge8FHM
4oD6pJ1EwgOtLTPpsffbOEY4FgWPjFyqXW5p1sn2yv6Nmh029YSmLea3zhQ/0WkoHllmBoJjRsh/
m2ofarSyBBwA4yL56S2aDcytvDzWzRhurd5Or2aZ1OYqabr4LPLEMYkeefh1Swf5PLKN+lZTZeoR
sIynWw9pbMuEsLgUrsngShCWSpl0WzmGUTwk30lnaXcBJEYGxXRUM0mw6HyINIzvoFKm6ioaF7xj
JdxcbekTxL0eRmBDmnmaDjaGUGJMHPwZtDO8A21iEClyyjO6unVIdJ3YQm4KY5ujAexlR3kIjLPv
NHo7nNYjgrWQ8sx6n2gpI7LSEx2ou1bw7kYdjaCr2SWA0GDBJC5SONTziqWJSsewWQpn2xtG/Tm1
GRaEpGEo3HG4+aZSfXjV294+Mk4PT8yyy1uQJ/KRsrT6klppYuH0E462tZRItM3Y9fh0UxMX+xo+
rHXEqz1RCDN6+EgLtYGSydjWKs38iJbgnM0iGY5W2+Jr4fx7MhKKPnQbdBa3+OwhL6z2HsNXNOxL
SSQ7njVYQC4DArlKLPIvcIujawVmCxpt6rYXq3aNs0V17kHommTTCeCgUBogc8r9eEnd2l4asDUP
D2zYMaJLvX48BwBLczEHb15dpEctNc1XBwv2iXlttmf7lLxMpe5d1R0v1MpyaN8FRY7hYl1gkmI/
9hjhkjqDesCUeiCx5TZAihtMCjhi7UZu4qmv77SS4Ls7JfSMxJpvqepNgW8DTlrmYKR77akyuRnV
XnkUY6dtnS5YoN/mdZsS0MT+ts09on9BbT4H1GvknWy2ZenUsEyd6IzyNBBKqb7BFquuQIzfV7X6
7sVNsA6MdLMA9FcKo1c7m8N1zpTesRRk8sTuCVXZZHvtLr+md4pPPXrZaG8HKdPCr6DnALgaETNK
uhdGtsMWRxXG4ZqeyUEYjGPMPAL3M7f5mfCUjVDg9o8YI4qLJqj4qOFE7TKz7brb1kab59Cf1S5A
ZxoDV6E2um8dmA1SJC5QZz6uYfSNwKYQPqsJaKlSzK13dOcxinZGx4tDRJcGH8xxA78kP2SJVWmE
LWAkY+g0oE5tHeGiddJP1KRu2+mJtuXga/GxaMednlvmTvSmwFpV6Qe9Jp3dD1Cw8hAc4SrkjP3o
8NKuOwBFq0FZDKMhmtQ+xBYCL0tz3qZI2m47Mbi9EMEQ925Sz29cOAFryLjuT7mUUG6cIL0JpBts
RVLG3xVQiJZEqkXybW7FtB2wam/AuA4jHDiHL7zRd68KEWpfpTYXnX5O4/0ULL1rZUr5Vt446HI2
daJG6sV72Dv1iylri4/DBBshGMJtjl9uk5lFfy8yvX7Rsi7FtseYDNI30dmmY0DH69/cUMTa9WsD
Q/ZHyJ0S97a3n0PrhCl6OrcizV5qGTbY/sd9N6faPQPMFHyrm95NcQWEsRHztdTSfEdnp3FTFWcV
twdm6RNkXBi5EHv7R+yN/bYBvSjXyehUBzK/2pVoaJ86GXyargdVZ2dGu0nPrdDTj+aQvQae1746
Wpo+VXFXXniZ09s8nc231ioY7lbkpeAhAJS4DiNoDVFPEeZKhnMDhgbi3gCobN2AT4EhNBezPyzM
edPrTtk0mzS29Va10qjoqrXeXQ6SvHXzkGbbbM7n+4DjWo1WEqbPLlf1zaTG9jqPTJyPnHmJPGaz
Wjd2knxWadQd4BfxJuWaFd9TbsmnbHlsGpOMm7aI5Xa5Xu6lruxv+hBNO5veM0XvGYFG6osKCoX1
sR3ZSAvt7BARWggO2a4f2O5VXW11ELpbUtLDHTe3RfPSwnLnum568OYp3AVmpNYAybNnrejmR4h0
8jwbMCFWOjy1ozLJ4awXzfYQCuMTMlrq03SZfliRW6WbGUTF40g2PuR24YnC9yDpn0flJhfJRRsz
A2sr5KB3owEOBDEtuUrMOrymUM8gpT8HIfGWwUvfBtbTZA2l3NA2U8iFBLO1zhyMitiHUnJ4wyKR
d0fR1PZTU6X945jonzUS07yLg0YjbES61PGa8Mvp2hAePOGl1cRReTU1SLorc/BG3NqGfCLbMzzg
YR/eg9GJWXRlnzgruj9wsyFEqUcH8eArMzAhdAY+hjyK8Znlrf4aJVLa+zohYdbiYsDW7W3HEOKr
W5Khn8lyvXhB+LEgivhquacKFNMmlzBrei3cF5V+L2be5ykph+NUBVdczquVSMBHud0wk3KhPPo+
rfmS7FFyrNNYJPZ9TwZopTWd3CWFR3tmlHDoIGDWfKgkv8IKwxs1yfoglWbtKqDPdGzVWkLRG6WX
hSWH2zDgM91Ngq01h0Oo2FMe8d9lWx22E025en2TOeb4mKpZoyjXs1ZpVtj4RzIi66WlPcBX2ozm
FGOHke7t0Fj5VQ3+BxNBnDzr0yQPfZ13m7ov1GdRJyk4j6bAMdgX+5HOgRfbyKfrQLfLz76RdK43
88C1zranezxc1R7MNwcT2expGozOUdmBYu2j6s0rmvk0kvv5joior1VgXStZx6dcY7svMLt+TAVO
E+LhrgxoX6MzfTX1WnzKcma2nCTT8XsQiOE8o8DF/pgDnQd7wkJChucj72sJBalxT2GgtbshH+Ib
e+IcRYG0t3Uoqd/OiaMuGBwxv9K3s9YDmlirZvzM7Rm1VFVXjE1asEKq8Sdd4zjQUqCFmpOeoXhQ
pdUNZw6dsZ94hXmd9RJElmJZR782IRakO+HE56mNPvBlfSqd0o4wbLY5jWV0aISxc1cqBRGoUkLf
RpV2Yk3MO+QtuJV5xbq6KqexiNeC6l6OEbSPnhy7Hbawn7U7V0yGeB3U7DrHPmjAEdvK470vM/M7
h6yy20Ew0J/YpKrdOKC2OuhhtKDlFWe/2k29T7AYuk5Khd2oMfvhHhCKg+zfzRfRaJdUT6w7DpPT
MUEvWRm0D5+bOvY4zS2gIJdJAs7tUG+C1QAs4QFNLtznDUmLYjGPDG1yMixlX7EitBurotjNDmVf
r3Ioyi+KnzjLXEMB4Zw5X9WtS5pMicp5zThZ35e1rM98XxlW65SZbetq6m9TrUKHmBzID6amMzFS
djHLDXq1wCINWwhqQpHdz7otYYJBGX6FXpCfDaqjxRpYmHVllJxQ0pSKT/y1SS7pjbHLG8Allr1u
8iawV401xLCDq5r5T0ipiQY2TEXPIo2wrylFAVIk6O8IqfZ1IWEfyjTLrzDF2pnfNvlF9rZz64bC
pJ3WMUj5JyBoPt0p1j/CRZ61wVC8QjDoDhiECefamIDKdR5GaYRozNQc7KFreDiFRoyaJTlswMGD
+9BMdYT4jJV3M2IFWTlt6W7Nytp5QD598AVEMjXSZSjRQb1j1XonOkNrnOxKMINmtMtcAgNj3O4i
Gd7IyvpeMW/fB/S9H8YkAKdK+pFx3IK2vSKKQHu2raiSxFl7L4ZaI2pbx7vAygI/FTQ4ZWa605Yr
BpnDPS/EvKZJqCg5G/KbHGHTfxcYEf041PbSXjTnlAM3V+R06bbXfK+Mnr16AAAVhQ9tBN+BysNH
jWPHiusg0JGkveY6X4C5RNKWTeXnIOOMGNoQl5EPTHTnlLahIrbc9Ywiju05fGtLeQphjKzwFEm/
7RzbnwcK79OSkZ2T5sTMB8Q/PHmzH8QMXgAd4TMjZebHPUxi28PHPmT1Ns+kL7LxHfumj266b5eR
Asbx65m84s1g5OXGjsQMyX02dwqN0mfr0VfDQDv5inuTcUwKengDhT/NDIgQhlXfbSrRMYIy4yVj
pSDRz4DCOZRqU78bEbFwl1p6QONdOhkkDTt3EWbb+mzDKYlhc/L6ujXU4nTUsPsZZr83NSd46nTZ
vTRJgZBOPR4XlqSFczQ2E522s+z720wkebSxQ+U9IUCP72TdgxNFwwOjOmpoOdBYL7h5QTy3muXB
+p654EAo1OM7W4UjNBDDmPdqFOOKjUM8h0WT3bdUkZAjqU0bu36aNUcG5pSN925Ts+T16pnelnuD
icBOtO5D26bWiQUGl2Os3P2YVe+w4A2c+Yt/HBHTgxEOxE/0X3LqIsnpVLhXYWe4e+5YDBgiobLX
CVFuyZFVdJDVQf/GNyumDlMxiM5zOtTs0d6NE1u1hcXzICMvBFMmmVy5qAQrN9KZK8tanfSQNZ9V
SAxPoZVmr2XmxbuYkXqxyZ3GeXQ5uJgkTPOMSmGgvL/bcv5XffsX6puOzIA77r+X3/Zx/v4tes/+
YafJ7z/8h3fD+00IF9GMM6HpCnOpO/nDu2Hh6kCbY1ximLSrL3/z//sGjd8kSDCEOtvhGoj29rdQ
F7YOA4sUUhxisfPjr/4N8wbu61/MG2iBuqcThET0M3Rp6n82/0iHkz9XC+oEiE/4sdNMFaFqTPQK
PecbejDDAhF5T0NluTtbG8CUUZTkO0MSHMDRyU+GaMWekQ8Ge4SzLvfynUnQ9Q2MJ0yt2VaclNu0
+lYhx3AGqpp1NkzhFbC18Y5KZG1bdsUPd3xbf3q0su/GqHHuODzGw4avkvktgJhmrgrTjrZkLraT
111gZmYnKjV0xuZ2e6jmECwenOpJL2DtKo8SAs5xygu7FwCQ3meq2R2N4dEU7Got6LZGoeMCz5Js
/AxjM3ijXqA7zk0ifcse290ManmPcklwSYpiR+1U54cyAz0Uu9eoXwP9b0m5L2kM8qupY/BZmQwj
EWJuBpsqBy/B0L3KyZ3ALSoSyvGCWD32UGu/4iq2L63QjGPldg9zIzwEysa9MZzK1FfSItsm7TJg
khKD3IBaWNfOhupXxjpTnvQ7d5rGNXtH+tJwgj5iH2mPRSq/1UFOa0Aax+c4AsoYO25D3ZqKCMI3
zpoWc2GtwtSJAZxTBCKDkNtA3JjnkLT6hxoZYazGxtK+91RjX3IGii8lc6ELbzjP0yJQFVBzFlrC
vBow4xDMd5GHOLNjABHu99HkpMIUFZJaxqHwWKWLk5ipBadYgNJzRstKbHAo5gNv8kJpxb2Zy4S7
KdsRFSziBdAc4yw7q7By96WvOCAtppdmj6m78gfD46mHEsZ0SBlv31u9otPFSE6WFjy5NTBkC4gC
cf6sXfUNmlU7R8briANi30mXdg7TyZcqj4R+NRdhxiYYv6rlkEMYaOCNONKXTDQ3uRV9cU8MmJsW
yrrS9T45kC5b8aaLs2pFfh7K2ftEWwofx17nzsEG+zSNMju6dJg/DJQtMHobvQq/idZRyyzkLd4i
UbBLamBNSxPomVl36rMh3E0dFl2FXai2nUrk1WwAdE4Ge0RHzTokN8mnNhZe9kiNsKz8EbfuVst5
zbxEF75WF93bbEXlSXNdddflKIywFtztNIh6ZYxc5s2FM802pybHeUoVqADGqv2q1tA66ynxByuN
dqC+ikeddp6riGfXLmWbMIoDEC3UCibhFeyU8MaYdRNvlLHcadh1QwTHmo5vY+CMEohp3UFDWTsY
+b+53AU9dkmt2mtWbW5Bp7iA49KbuSu/Nfp4hDpLkxrVXlK02rYuByoPwaG6HGOJbNsP3C38UC/k
QXHfJMwU2Zr/01r9D2ytxrKq/d2K7JisejAQWKd1krMswoul7SfLI7UHDjF1lgNG+TJa9VbJrquo
yoj4OBZUHIL/Xg85ic+meMkARUWbsqJY2gTzA9QmoNmknXtCMHnU+UVUZCevX6oCSFbQSxYaxUtZ
cTZrnCE2OJNEZr5p2xruMvPZ9I5OT77P6Y/vtgH9yjwUfC/sA6MG4zhYEyHToTfMYgPLK33750/d
WcyCf3ruWMA9c7HAWsiVbD6/rPiT1iKmpqHY6VbILSon05Ia95o7vhEJSVZ6mXZrywmrs1N31MoQ
+CWLR3CdT0OtwO9poVXTzjnT+ozZJCBII63Bp8Kz/2JOGz5E+TgdnGrYL2WDlTFX41p29ZvbtNsS
pMaO2O5RZpLi7jT+VlVjueazld+MkGkPTJ4qn0wN4Tu9iY4SvABZ/pQm5rSmZKnoa8Nei1S0gERT
uQ4GmgN6G/is5Y35TecM3hs5i+Jt6kW/HWyAcpLQ5ZUVMpvIQtC40aDnu7IdnBcyP8HBzo3gZqKz
9o4/OltqJ+OXRDfoZOiH2Uewc6kKta3d0Kl5V9oD10BIYYeQRjxiVFQAbcNWhvcTmYB+NcxMBfi1
B+x/abRNTU/fEcCwYVYCjMkMQqXsQah2dRPUT62kCCoEKPHEgN3zKwwG323hhX7cpukJykizGpWV
nLBMhPa6a6T1pLWWvPZmV7s3mkEC/vFC9hZXlF80cIxPNgr8k+WUxQ1NSvWNC6vuKOZc39OEHJ2D
StR7fIOHHAZg20eu75R1C/+lGVtYYTr2tGEYbschT6+g4DFqo6s9BteEJzKbOrjJU1Xfd5LcDZYf
xsz0Z32YXCgeysCkGTDIHqM2oUKlnS1Qdm0z529UWw6XmYHaea5b6O5RM54KEkfnHM4msnUWnx2L
7qpV7bjGttaTCex07kZrUffq7KghuMbFo25tZ3DQBfRw2ls5NzULbXFT18RPPZTkm26Iygt14a0f
wXhY7uzqCIMKUOayimRVwHHFORDWY/hVXAMovWdesKqGLCe+O13GxtZ2kNGIAbFNrCeWqmZZs0Kb
1StY1jEj1CPQDpr23V1WuH5Z67Ka/MlQ0+LI5ZVEUWbt5h8LY/djkWSlMOEQs3LWyxrq1hHrTBbL
mYUgEi3oENZbFPDicVzW4Fqa47EYliJ2JSHCFUEPSn2YWNEplbvrnao8zULv3iysZT596w7WmFoy
Kls2hmTZI2BuEWrOdIYo6bKHVFjdtb2DPSuG/bFsQcJTGFQ9bWpx7umV8zCJ0rpuVGYGPtxC7xPH
GjVGLkWr1q4Rbn3UesVwaNknO7iiPlIfO2ihQvdjUInFVsFn2mCfitUJwEnPGgp5fF/S8r4LwJLG
fv1jSycRzxsLMDVCAYz7rY6sQ8duw1vk/Dg1TMsBQuMkMS9HCvfH4YJBAfjkzrH8aDl3CI6PgRdV
a4qdkFKDzHU30IbHU57plBh42ngILIZzgHRyhGYV+T2qzyHpOtmuOjeiwaynrLYYy25cfBbpxZJN
cjDaEh5AmMvnqKQPi3y+e1dMepCv6iZqthhdva9qVvJmxFH3rc+6/iZupvhRQyW8D7ByNX4oOufA
YEcDfwyYmdu/GWP18AZGSxDKr2zN6PY1uPkLZzpUy4EY0JK6lNZNTrr3qAKVX7VdT3xT0b76gajw
ImxF1Rv3bWxlYBlhcbv6zsXD8uCEPHEURnmoNTpvScTbPXl9l9CeakhrGamp3VhzaRwcewQdk5T2
DYEzax07bF24PsoHBcwkRvajl8nQYioDcvopyPX2Lj0suurWmTcmzcVWUBbsfvDA9sfiY/Tm7ptR
ForXmPENujFftO0wkPNDGQrR6UJkq+cJ/+iOiDHfYqI68RGhD7dX7WpHr+qHPfjz8Zg42N+WEBgZ
i8oOGVZq4lUf3ZuZyM8DAzTUn1KD8wQ85gh3CHjlYLr2bTTJ9C0xAE0TT7eoHa/z9iPEyfWmurbZ
CMfMNl6ZBjv+lQ9Bdm+zCGmbNi/sk1QeH37NaTO2chHfatWC+zKysiEbzilwKdgxb5Y6toCc9tqy
UcFLZS9chS8hNZyHbUmTIGuiofkMg1E44rb6f+yd2ZLcyLVlf0Uf0CjD4O4AXgMxR+SczOkFlgOJ
eZ7x9b3AKumSWSWWyazvw+3uF8lMVGYgA4D78XP2XnuzmEyeiiYRx35quguoKYz9DLScAwZaftie
D7ZJ3jcKBCCMDgX7BnE0aXeuOrq6+Maw4W0aITazgaUckPwiP9i1dHjb6Qmu8rgKbmmTTztWHgpr
P9EfYtjfxGBkD4YozSdRGd2+79LycZAyfiTZvf6KxIGRJYbHfd/OL4wbHyxFLgsqdakOUhQXphqu
YvSjFP1j53XA1zeAHeeM14oR+EbvYdCj3iTjkD6iKA+Oatl3l3h0FHUEp7ZlvDGg4T1HGs+pvgSq
j4PW4ZghZJ2euNgFyokH6PVLWT/n5LEPI323kYz2rgv9nSsqbasYFJyjOotODBqC6dQtAe+wicz7
kPPL6EVLAHyfIMP3rKRxzvn3hPh+CYsHOocseF5QbzEwz61NigKCY4TUblxi6Nd8qaK1vUTQI6+N
XtMllt63y/po0jrn/SGse+xT/4AXOj7BkmgXVjFqd2ifEBI4jlwlqgn3ORPUDdELDVKVeeTgZNEJ
0lBXjq5r7iLJ5496aj9lVIIR3c/JvSA1cEIuACXVMjr7JawiY0e4RbzyCTrqVlk68dbWk07yeA70
YFUWDZy05hlt/MVs698W4wgx5r7xytDcvsIvwfZY3jfgfhDEAQe6NYN6ygC8RfNHjKJ7ZYXOQ9bm
FNUde/ts5sZ66Oth5+gVWTuhNe70JWspwkDwABCMoBFYQSETR4igEUo8ONlmeVPaPjntbCU83ymQ
hnvaE/O9wuBZeokOAglP4ZnWMqp9hCfpdZoX5gWjBKZBCwgWAbcJFDRq1VqAGc53ru1qdwiArGvL
yIdvInnzG7CTQzkCRQzmUEEqn8S+jhLKIi2/yNDWCb0iSKtJySnL03hHmE3FKmJyxhgbbZ3Jj4lO
V7x1sdnT0ZvA9g2ubaxLHAHtgIiTgvDUmtAk9O7JSV6K+XYKSccT6Omq3Iy/xTK4TJIspztZ6je2
9Ktnni82L2TdVwP6n1Ma5uUTtHrmYlFKFwKooAaBlTf6eZbN8EVlrvXs64l8VMi4vVZvxKFBpHpk
JwjPKvU1j5EYvGQ/JTVFaygq4uDQ1jEzWTsiBgAUw00Ul+qWfJfphQTWGdBekB3qWcCbiZUgcgPQ
BckT0MnYT+3xCdEd468csNjieA335N1kZBtN1UYgrsS+4Y53ZueXO6kxfgTCJbYYI+O9wHuLjoxK
dkr9adNHxrinhtRp7BaOQt5p6f61JOb8IKpu3AZpJzYJKQ1f6ojKr2fQgFyjI+5T1O4+SNMQykw0
YQP2YRBwDfQ+AxrVPYOGp6qfllnuGAQegYCENbKIroCrzNt+2XABpSGFN5IvqTaVRxy93Y5RBQVZ
AnuWwBXO/EKJexQqzWbuyoKmNFqbFdLocmmR2qbXptoA4KdJeAOTXGfBhtXTe4oM7hWXUnitm/ET
fZuRDurn1sOURw0GkCXJIMitfZiwQvhW1qybFqs6sIxsn5vMVlpYbSvDSUj4iplwrWFyEK6eEMDT
JZgzDN+/yFENk1X+JmnMxIl+CHCTGqF/qjOk3mbCQL0rQjS0AHJDIEmbVM7TkQ5fvqZ8uOVc7plu
OvDdZiMUQs3PLkLGOF429PaaPsG8iUZJ5JsZETHFsCs9hY60+Qp84zDUhQHtp48pGJr8W+gjqVAD
pkDHmjQPNJpRriwfj0oOufnDTIvkOY9ETYJ8Yvq3sKBdxFwqveas0p4EZN0Dsw46S7gqrIcYdqYH
y758zpiJevA9ixNan5jzXxnvSxRve92K0p3o6+qcg/DbNxF8OECQsExt6HHCnbEkxMaON8z60nJc
u2415m85PopNlNH7CDEfGTpT9TZOToUpj2Oznxy+zy53nxtG+cj2nVsz713kqXb8gMNeHKokTc92
1GCT5xUkMhLcsqWG7ndt6U9+xB+ta+ZfHYVhNzp4NXSXdOBPDsshzk3fF5az06ap2TAbVe910MMp
qmTuuBAEOf/C5w6wv+cMUGvE3UyowlKDaJpMb4r8pxpNigw3E6wklL1Lv5KeDtiqDnkacUvhLFCt
fe9w6ui+4L+ONAinQjnHCJkYAEtOiJr3/Yz/f7pr/z+Iq2YosdhS/30//vS1fk0xN3/9bqs8fAAk
+/1H/uWgtKBV4nhEeeoo2/ivLrz4DS2q42BzluYfNsk/uvAkiNu6Q2de2JaDLlYiY/0Dreb8htoU
sCsOSn7XIqf9TwSxplqc9z/2oyBmK8S4uqkzIbAstTyoP/Sj3A5hYJIY+AF9GH6EKPIAERAbeVRj
3TmPoWay5ponZc3FXs/w0COXT8idzdyStURrH8UgdN479p4nVfJMebqeFwfg6eCoiMtybHp5bQ44
s3eu9JA8gkOv1BARblcV72KW3akh0ak+djymtdcVUUeeKMRBMnrYqhPmbahpViRRAfeJha7WIUGg
HzRJZcYShgSYcKq4HlYtvbIK2cM45qAiEvsLJq04IT8sHM9y1v3T3FR1R7dUV4/VPJiPvg12pQm1
4YreI02mfkY9o3I9OBLrC/82SkI0eg7ydlCgDN+bfICNnWo6p+5e5KI/AmvGezLUHL6OagrNO53Q
HbklPSJK6c/PIN3JpcbpMyCYziG5AQW6Cm3cchsZgkLwmC9QHDc0BIYrhf61OZtKgA42fRZSEtQT
LDfs6SNcEDuodS+Ks/JbhWjjbHZaxLkjmupzMcW6ZCZAO89TaLNJfSMg4G6Y6UBxpDDhTrXtmLZs
jy39HoLDcdGooUzeE3bt8jAZXUoMaJPwASTeOE961MRXiea7e+6MuNeduEcy50+XfjG51yY6zHYV
uXE9bppGL76YlkX7fY5JbtipgLl2WY964LF0j1hXE/smqXT1ro9Ee286liIGOSDbFAQih7p/iMnm
62RjPlZd1D06AFZpoGH3cXDWYr7zQDZVpzjr6NyTYYdhwqko7cvWAFshxhagP+qyke4pn0BSmt5n
m66zrFssOcVeBlV002Tk3K16NJnvhh5yAq5Cc7IBzJvDJc3D8OQinVwHnaG+ijzEW+PPko6w37sj
X4E/uwfRazGZ6TIy/TW9PvLAckO9VHZnUVYrHQL0MLvZSIdAlGI70KaS+4lwGB/pCzXLmkiCmeyR
vrOfK2ZO9Yqkz+bYoL5M1qJENLWqHNwgK72su2/KmEex5lfkPoznEl8EFhu63aazZEUjuo+3RMr5
N1k/UpaXE8lsycgfthpCFw8hUiASxIEA1eeKCJOPJd9dPziZpnu5L4GuqjQuSNAbREjUGG90dgdV
31k3dkcpsiKixdTMVSPq+KGEEZ3a3bjB7jygT0UVXJ50syJJAORQCuk43usklD7k5qDvQMbNGzsS
8zlwm/Q0hb25BbLtV16UDPZwMaFWJ5gXGvdDPXBKRKa0N2QPy8m1ONYdBVz9uyCMN23aMO2HfNbM
9Ax5UiqEOheIrkFDt0BrBz6AzjbhN1pUvll4Cc9mT4/FwyeHMo5c52R6kMLBjVJNNGRxn8LVTbY9
CIWall8f0/DI4iR688mavR26XL0l6VBxngxaQIYD5f18FSWpMXkGr0y3dVHo6OvBCUaciTRnLeeg
aErMV1bQTfOFBszuoZ1amwAhC5/AtkMkhrJLhmaHN6edWOZXfhM62jIK4/yuVdVrMZYnZM7xJkJI
CPunWum8SV4pOwpxKflrV/9Llu6kd2VHFzoby+vG7NudUWJD/W/Ztv/v4yPohm6DF/nV/r5+/ahf
//Gaf/zj8jV4rf+xf+2/ptFP+/2/fssfW771G9NuR8dlwpyDUyvF3R+Dd/M3WKqC9obN4+eYDhOQ
f9JUma6DB6Ed9t0bY/5ggdF/01GKsz+jKaSnw0jpP5i7f566S+ZYNiWFy4yaC9E/kXigBaAEBaC4
oY1KV2bcKRFuDWboySh2P3xPfzHrMgDQ/lRbKPRceHqoemwDuMf32uOH2iKAlV+UsvHBcgPds/vb
iRYt3QQUUGRLukSJo8RsB4wwW82eCatDfxZaT2lgIvgeibkk1Dg3939zVT+TZZY7wlVZSCLYCmFU
qE+ltw8y3FVZ5W9KAkrQBxyIl2q9ASqcEdQbZAOercHzq9V2Uc+7AfFKPtnZfsApt8WGW978+oKo
tP78PTmm5YCFUdwTqX+6IlDlJTVO4G+auQuJOxOHYEkjYIrjXyHPp7cttfSqTPuOoBE1H6MCDSbD
jo4jIWOVOcxfmMjKG7810pPVgc8WIjqUdg7zivXeyocXe3xPMWr3iN1UkV8gQGNNXmEoYLsgLIBU
QFdpzBx1hp6YmBycPwUBMSH4eJOll7moW8ZbTOF04sWFm7DEhdFRabeDWdxC9VybgYBf0HvSmTaa
Tq55565yGBeB8nddVZwbZaJsyZnkPS0JAhrt9Ll/0/KTsuHrisE6LsAHU+wT96Hv+se+S0p6VU3I
oc8+iPYB5OfBmSDV9sXOqukcNwiP2uBmFkeMt5cpfeZZn4nrntAn+UdQXuuEVGfXT8+THO4yAhsh
RG1HNh2VMDDtiORdRMLbRVmCx3GNL43AdcpfUV/0odriPBxtSB0cVFOO0GXRby2QDg39F8c9xtDj
aJeQwyjRsHcwFqlaidlCUQrbgWM8ai/Fc9S5gk7zcFvU8ob7ia3K2nctVtKZZCxbjitcUmujQh1x
ZeYcdWdKq8jxBo3dVgcDLngze2eDOs3TorsEUYRWX04l+Eg3fO1jfyPEG5PMlwbWbw24CD0cqdxX
ja977nQd1fneMYi+cextRH0S+MRV6uxmd1HrvwR2pl1MFXfO7pIrfEjDrTmPRYvcAnVt67vXaEaL
98CqcDuXJV9a1gO0WuFt+NpMeXgD7614ddFv4p6Qy0uDMjQi6+pgD+LOJq/rC2jD/tAgkX6maixW
neUGu2FYeIYAUoIHCpsc9rDlrww/nys6Ggb0DaqU7M5Jpm6LQdWGdjRrFlP/caq5CkU0d419KMcb
hn2HzNCLsC+js9VZV7Ju1E09Yzlvzaz6/5vk72fWv1OkIRBjRfr3J+Dza9KErx/D16/lT9vi7z/3
x564EMEt6kNbWaDCEQH8sCeiBNCVLhyJZPe7Y/Sfx2CDYzB7IqAgWiFA6riM/zoGq+/0H6aM4GHY
Zf+TTfGTKoPtwKVZa9u6gTuVjdtdbKM/7FSyGPywtkihVkN2dDMwXIOTnoOsfiGBDQ26rQMcWQB5
dbfziemgTaU/ILvRz0XTP1lD/NyVNU7qeRGR9d2+rdrrOMjpviljgcNoETGrDRZImT61zpIS4yZP
uBIpgqcjeD6TTg0bz1BqnjnEVz/cjb/Yh3/e8r//cY6F3kQnkQVipfj0xxGvE7bzBPV3zOI1XDNg
Nt/yurymUPD+s08S3EmpiE/DyPu9zvn5awy02rB7hBPrxsCMgNM0xogztcXaKIP1rz/KWoQyPzYu
kKUAgKI1y5GW/1oKph9v2aSiIdMGNqZc9e+2DwbWzvLHlmxH+CQGvNki8FLV49GpVLm2+67xdCUI
JwuqENjD0O7p9u5EhJKeMWaeZxeaNOe1lPVToA2nQtmvZrgWFP5I84q3eswm0mhCOKks05MI6hUD
ZUjmln5E6NEcLIa2XtvjPhN6NKxDf3pV/fxcVdGLVdnZKk0odn79HRjLnfv0HYBPw8WslKSLY34S
1PjSDvvJ0tx14Ti7kLa3kY2ARUOC8AomXcVTmalXzSF4HL/guDArRJ99QPr8+usL+f5BP1+IvQAe
LepJgS0a3v/PNyMcxyAL6EamLa0AIkshsmr2kxM0i9kgfccydxIxM640PdUdPiY53RDTbe+IAk1X
mWveYEG8W8aLwJB2IrBf5zh4ySZsF6m8/ZuL/Vxu2dR8LELMuheuGYvLzxebkyauJYB6Nro+03Cm
g23rw73o9btKUxdlSzBXVxxiV+1ntNJRpT9Ae4I0jlkhJNyvnlH+wI20aTx7M/TKUCG/KxHU//o6
/3R3uU4XVx3zEI4M6Hg/ScVoXdgqimxt3UfpHT4yOKdZNqAeGa+GpWvmN0g94wHElgKeglvqpa/m
uykjp48exq8v5nMp/+lanE/HBkQBRpra2Bp8oJ1jSdo6Sn4cDita3Lvmbz/u+5r04wO1fB5HHpRy
3ClYAp8eKNtamDFoD9dWS48InSL967Zeg0PmqRB3RpCaOH6zYt0XGlFSmY1lKZwOdCJf7Ik5TYxZ
YxMMWcr0JH9aku0CohGyuLmfyY08oexLPfxMIyqb6MalzbTmnL/SrPnstI3YxwqjeQkfGvCIiXmu
MDbUMCfavIw6qTyouqpzWmnB1p9SqhKXiKEWp9EG2PvMUAizv1kH1qa15utf34ifF3OoGssXY+pK
sVcZNkrjnx9evExpU7TciHkWm1kEBOldjrEDivPi1x9k/vk1sXWF4hvgCB8Es+HnT5IzGmsaRoQQ
xTaQouRrLg3md/iy8ZLAq3Sb8DEehztRzYe2m26tyXz2naxBBuu/1D7wKNl8wITmGJDs69TE31Bf
jEX6N6dM8edH8+fr/NTB1qFMB2aJA9Of1Xkyhi0nzNijYH7y2aCxvPRAbso+YtQbNiuyui7qkXBE
p6yeAvi3SKlmcixEg8ee5Iq9FUf9Rd3U2Zo8t2TPOMbfBZUSx1nVyUM3kKFaVu1lX9CRE2WHYb2F
UKaZhP1CvI89pffTGqsOmLBKQNkeJvzJVZRtEKl3u1wUj2Mbv/rhok4vh+llkt2DOTuYcKgcvmVl
TwqQH9Rbv6uCE/S+eQvG/uHX9/bPDxHVDvNvSiuD/5Sf3uakdSk3rNxdB9JHZJuwCPZeZNk7vzS3
v/6oT9TT5YH9XnPY1jLkQPT6aZ8eY73qGqtw1wQ0W8eumx9RClunsobthCYSvn8FYyGfLprgW2Az
5CsshoSmywY7tAWJLZOhuCmyvjbc6W8u7nMrgGuj6cJbiwWCt+lz2ZfGPbZ1RMHrOEuPE6ghqZ3m
6svffAOfK5XFSkF+zUI4MWzGNp++gdpMgg7uCLkxaOxwkI77iYTftS/R+0fh0nnvboegLF/TSn6J
h+lGErwe6wVtQJFjiJqzkmNzlENWHK+ZzYfnVGuZCYK5+JuC4q+uVDmCTZHHAnfGp8WljekMjZLY
FUcVrCpRtu1jQiZChiMBLHJQGPZWZ5LiIGz79Ze0tDh+Wu+R7ZvKAZ4m2ZXl58UGwVw7F0FB4Etp
c9S3WWJqL3MLmhfmLUw2L8qqv/lI468+UwG6XcZ17DPy031xs0kXdiLRtFf+jqY3LoioHDlyQzY2
I0r7rHsP8VcTFP0aR+rVnE3ch9obRJ3AC7WiuHTG/FtsWwejsBnN3P/6KxF/WoDhbdBKoMClYefw
Fv28AI9aZSC6aDWC2rp1BFHOl/7Wj3ldwOqRjZDMWFF4iIbRRF4SHrtZvTRFPW7BQTzXSAfJXhG3
jGu+garZZqO+DQiGAZYQLWaRHYxhtqoCdUhZvCv2W5hzwbYPNJdQ8WQ3l2I4wr/CNobScBq7apvI
5uuU6ffdJJ5J4FzTA9j2pAqIAGNKbwFN+fU3YC+7/E9PhQPbWrdsilzeHchiP38DeYSmxzFCew0d
8d7M5M3sFHs77zX6AGOKWBBQXiPDi3IMUkzJ/C8F4b50B5oNkTW3bT3cMsZgM9AQfUeJwBdXs8Hb
+Nwgj9kIANeZ2wwE/dbnoFmMoBOLdwXzoR6UscjToXyJYQ0U4BVlaA5W27nrLeClZnRhEHeUpIgh
oaf2Mc21QWe0xFDgI4z7ct2Z1WXdReueCzX07CpNx/MYx+ckTSRtC/lKL26tWXj/43zYta26gKy5
qziDbEbcryv4dPNW5Ja5Ga1qU2i6sdIHA9FINuKxTnB4isazRqVBlTOQfJTvAzSBIn2yyaiJ2q9/
cyv+dCeWFjSvJkc7TGOfV4ZO5X5uA41cW6ZXzXtp7/tiX6HqJF/0+yf9vywhoH9C0fLvGygXrx/h
9PqXhr7ff/T3Hopj/kaLhGMvjEudgfEyPfgXjBlM+lIufx8qLGfhf44V1G/fRQcsI4srzXa5kD9a
KKbxGzuSyd7HLvi99fKftFAgL38uxLB0KIVpnFWLwtRaAF8/nsgj6D/jnMzNdrEQibVeB+EOC1B4
xXSMbolsjUeH1A+kV+B7z5E1DcYRywskhyFCVynMCJQR+kdOOJP4YIuEv5+3LtqpIjBhaOXoNx8C
NomJ6N3CeeAAyaCgNM31qFk6fI30tgJs+MWWBWOFsOuvylx/IPR1ZL3Ih3tMsBlR1Xn+0UGUvqqh
Uu1Npq9HRbjUoQ6y7poo0LRZMb3BG9KkbQYWJdRmrzUnHOH4BRihtvl8ooU06F7dOdON2/k9nM6I
IEPkANVtPpIgfdu7DTJoFc7ZXak7jH5jADZ3mVEAzoQTZDBERG3ECFyYYX8wg7SvVlbvlx+a5nTw
aqsczKyVMY4843B3XcgFJsmVEwLu+maakvJD1KKIdoE7Jv2DZgTuRzHP49tsIOTfm8SiY/uxGUsH
8aCpbeS6NTEkNGOzK+nY+XCcNdl/I2amZZ9nqv6Smp1xXyhwThal+40pJqwncXwI0Yxox1ILS30H
VVq9TUhs+4OlSpqxlV9XAflMSp85GZMWp/q6gLISiMhjTp0s+Sf6vWiK6LmD5vLRVRpZJ3pjX3Je
m2xAxlWLxXAIhCezcjhRPLW7nM3EWSUQZXd8K8LwWgkoM22q3l1BJmPt6RPa60YbnK1Uy5KXmYfj
Fjq2xnBYz/Wjho5thYYb4d4c0Ggu/YkIJN0KIq/sQD1iaoF8azEBlyIxF5jIYH+HcMHMSt67jKeF
Fk+CHSYrgD9GQXyHgyhY4ZxK4BTxdzNhUYQLzUboBWIsXvVi9BGodNa3IM2cR4x2POQGIAjrJSzp
jUeMbjzG6G8WG/oyUdL28SiDtUt8306P4cat28yNTqrNbkvOH+Mqr8OzlJO8WRoYz3WdRhfBQJzT
BuROuKta23mvM6DPyGO19AmhRddxBJH4aVQUjAGFI5HoBG3nYfLdbOoQ20bKzbHJya+zHZxRqykN
mjN0ZaAceX6LZFrfRIUh6L4wIlyhOrhPheifa2GjuSt7nnd6opJYeiJ5na1T+I611/1sfoUL3oWP
nV6E+MzJWOHIHRLSR+y3NgwH3W5DDErdjO21yHRyFgzTQcKPVDp8aoZopL4wgrbYFlCGx3NFvBjG
zGRRQsKpssKtSMBUUG4NBrkakWFDs6jVswWsGWG8E9iav/OZBDxCl6y0SymasN7CkQ677UjDTK4F
BuHJo3trSeBQ46Sv45EbvcJfKxPedTPIx0tR2UF3gfMF44dRxTpkdJf/123oDNDoJpt+4SMsNSKJ
dBvm2pYURryd0YBN2Msnd+YpmxnNgB9t78mfkgeHZPTqLmmKydlEWku879BP5blH9M+LTVMRJA+p
xg81F2p6pCAmX9OhdWtkWH5drsoE/CinMxuILOlkkI0aR0MRBC7a79fZnJI1GFce2skh2PhxmTQH
nky07iXpVivDrcVN3Uf5ZZ5L+aG0kSkqw2A3OnZC1m+Wm9YQcMOkWsCliIsi/olFYjS/5EoYXyrB
JBYGnyG2aSKCvdTLiorXQU1qS3zE3gyT3+QAgy94hYwW5AYLpN14HcjxwuNPzNZGVPpAQULoqpy5
E7qycV4Pz32fOxd9IvPHAlou6h85TJfdYCZHYqLccVVT2G1YhwJtPTbusFdGO1z0hFBe+5qDKs2J
Q3cba2q8kWRWeyLkeMBoL4SK28oYEnceFAe/MiENlukIh6yaolPbDiPe0rq6x5VlPWatGrZGDTB0
zl116IiHadHBSCfbjJqO3STgDG5p5hgv+V0L4MSZu50+de4ZEpjmoa0GNYQNoluFIi+vtLboXnUC
014izrMPTWgkB4VudqvXvX/Lbhk5u8qwm/vCiMe3qo3Eh+kaw/1QZ8O2l/mdy7KETaOy3WYT9sVd
3IkxXjVzWB4rDM36DqlgsMe6ZDH17OUO3jesCyna3vIkWpZw6xCeU6+aVD0HDCWrddfkzSlRpPuS
Bdmt8ojDJI0SfR+3bfZiM/cL1gWiwGGv493apD0JoikS3n2W9QX+tni4lJiHid4kLzXeTgZ/MDAL
42tJBMK5g/cQemaOY+c8ZdZcrpt6Lr5U6ZCSuTqSkIUMtxQHQGj9iXwGALmF7QjyhvU2epGaJm56
cIwXcZW4V2SmL4Qt5byzNddnDL7Nc9zD5MG3QbhOOSbBKTMwE62qiYVKWmN9m0W44Fet6N0rrqV9
wcqiPyRGo5jeYiS+NW1UPJGcSsi8isBVO/6qHDP9gmw23gx+FrWX3L38WWdiTMe5xYRXt3JXmAKv
QlF+9PY8X4f4HS+pXEZQnHn2NBlIIStXi0grKQSCR6OrN4lb9Lxv9mitDT1SN3q56LCyzp1ujE6b
yzvcedrRFEX9Yho5D1gAA4YBZ0Hg+xqBdT+gT2/aN1X14gXkYX8zYs+xDjLMk6diCILgahItoY96
LPK3YmjadyCYcBCbsUBz2EDIJidQhzzEwa23SbKYmpz1JbWPJUZRoIaS/ihODEkkAb9tQWtqtt2v
a3KpgMdX/GPit/JGxOjY5dCwMnNzjYdRa/IWwyDIco+fzjA6BBw8S/D4u2ke2m+ycDlLkhDGDmaF
3Tc5tP0Bo1p5HlRtHyXKrJukKCB+NYQDhWtJxPuXFB/NLgR9eIpCX9/pzIuPSJ35RajCoF/TYybA
VzVsNhNfDqRLAqARZob84+K8cEGOZQ06hMmaXys3J9S8Gq3pNZo0/71tRlugSOzxjgWOqMKVOU5h
cm3gBT9x4xENmvx4TrcYe/cKsWV+VdFlvqUwDddjBGcBY5gTlMzr0pmHFXPJznTj4gW5Q8b7ho5i
i6YvMhBVQgFoZVU+k3SuAg8VZv6aTBJ8i89R0eq6ZtP7NXINR2j+CRCdIWkny+Rgc0mbgDVz8mLs
s4+tE1Tv8JPg71iFLS+jUHK6dZHgkr0wjee6KfP7wsX8uqrrQl4SytNHzAmj5pADn7A2pgiKa1b9
aQ2vgaBIip2iRDrgB18Aii/rzsAy2ZhkhmAgMTAX+hRN66kgEZTj41S9OFHMVkOqyHxVZ5VEroBT
5LVtC9Jhw7gBu1QlyZUFFAYq3JAZCVxSBoEYPu3xoq0N5GoNDq4vATzJe7cqE8fjJDBfRlOo7/Ml
NWhNz0s8ITvow7tk7NzrSoRWumGBcT5aassWboE++duGnfk6DyZ5DIkF11dR1jp7q7A08EN2iPIu
4Dvb6xFIBtm2EAakUduwS2NQP04+mHcMW4kLVEH3EM5tBFnHdK5BfiycVlk1N6nZyn6ru9hpKEmI
G6Sy7xXZhn0AXU650VUMzpciD+3BlbSq5B1hqXVbkWHPTmQVwEIiTaqN7KX2wYoXb9mf1RbUevzV
nsZyTSkkvyAaLYwtjnp1q3eDwgoUE4TqhhbBDpVJk4SOsHsMVWE/J3Y/X2d6rb0VOEbv9CkE6mY2
bXbKgfp+I687Ks94uwsfy6rMPiA8tg/zMAJ+ndP+RExHEq2FHeq0OAgEybeKdJRpHeWsQvuqytQe
DJD2RQVT2m9S6BRwhmR7yvCGeIB9CdqtsIttjKmrIRua5C7pSTaEwLX66XF2UIQXYUyv3J7sykZ3
HY1bci3LMy1jG5BWENWbIQ/gKAWNfjCy7mnU20UpVUQA4yeaVrDpXvxCXw5TCmd0iG4ywsrP3hWI
m2iwIZ7hv8PwNA1kF7N4rSwtfEAF4oCqIMKEpxDda+N+K2yxb4AGH8bADzaV06ZbwVRu52DABm4/
+V99rWyuhFmw/k0YEFf1yOkQ4sCuyDCAD5QIaGrHnrhugkmvx1yGhyoum60xafneaLBvVYHdvQ9J
W97Ap2V+4feURil+pnvB3rdVztDsh9QNXihnGq9ww9soZ2luOi50mkk8GNCpruy+8LHOQwYo3XpJ
1eyac2cG7NTALdZDNLxzemhpGeK2WbETJ8R3DO1HUqFr3cRDCvA/JqklrkxCCPJKtceBB4S45Kk+
1RXeHVEkpGqCJnidnepjLjVqK3zUy3bKaawMc+ACU10fJ82cdxyB6OmBvIIFzezoAphivglt8h8r
YgdWeE7MbUSIx02b6ZPjVeNYn1SVtGcgZyjDNeKh146s9Ss5S+bppB2frcK/57G/UeSm9GP3YM2D
uKaRilQe1LsH7BRviQEajdvZey6QVQ5ucxxehERsJF48delDYY3A4gIUV5w+kdq7efWF3IHxNSqT
8RqK9YKEJSblYpqVvVfmIA6Fzyh3p48N1hU9HudnpmRXSdnUVwmi653fLMnPVk0F2OEo1lOre6Hq
9D0sbfKpmYr+rZybiyxMq1OTxoCBDT2dWWKs4M10ff0toNyAPjkWWygYDslG2nzqIVYvCvHuDhIv
+5xTyTWTx25bpQEeXvw28pDNmXmJWmC4b21qc2T0+NI7OvTPlU8ESmuY/SYnLnnVTlbz5uRRsE1d
ezxJ1x/u/ECSq+y0+haXMbubUmJraWTVOiRCJ4SiBMgP+7onP5lq5Joeol1t4K3h1y06I9tUWiUx
RSZdjq8feD5buFGFiBcFLvdWs8qXNqN4Woda139jfNvauLhHZ/QM0og5mbR0tFt2k4/a1AAoAOkb
9/Ec5S9jUNOe6Cwz9Ve2FpfBdRaX+oMf9QXld0KuZWyZL2aoqSszTo2PJl4yhRNBFCahR4Z16Djd
bBX4CSZw8xg9JNU4SPyGUHXuwCXnADGDytmUgWohuKbV/NSHpcSAXPUHMpBNzgujlV+Tgw5odGmQ
vAZSMzZ9MiOyFv1IZr0lcNx7bd5qdwY01lU7/G/2zqw3cuTs0r+IDQbJ4HI5yVyVSqVKu+qGkEpV
3NcgGSR//Txs2zPtGtjGB8zcfBgY8E2j1VImGct5z3nO6ITsL81jUnj9hwXzAFyoKI+WTL93WZ2c
baX6alcMMa4Qjc7Cva4QW1Iv8gnQeU/cAWTEJZ5mgbQKv7PbWcpavAP4HdvY25NBaNbXZeW/ZG1q
mYeGXdPeqKhYj4zxrdbNPtX0i0JYCYYFx7e5UIA+BuavBvL0nU/Q8tWcSsCECZ43arF6L3tLq7S7
QcHBI8uM34b/h7Z9Y3iZXT4BN14ecc2PgCsmArjnGs75tF2Sudyl2tAhjbm85Lb3HpRtGeyYU4qD
jTjnsSKlJjwQIZcLl84Ohig7FqF5UgZ5jEGRq5nx1PiRfws1XoUcIbE3DPX4nVcu7e5Y8l3n3A5l
dhWR7fwossF/RZkxobCompN0Iw9VXjR3MmigdXUxQJCUHMUtyCqaKIKk+MqMxoiOLTCGtTUeKONG
LPaEthOU8JVFh2CwsRsLFIjbaJAkdHPqCxMHetvxN8ToEUWrciZmTe9sWdcHjewfr+UqqvZM8rJr
lCR1Jl53lSUz2WKz7O2j4iaWgaegWfSA6djcdrnsvdDpmuHNjtr1qMyUhD1HFcVTjhwowwjF8ko7
N+zetCQICh6WB3PDPp27N60snY/YAHbX0ckzhTmIaU44bFEz88JmQyplutFBs2YIRPPqlsJ/W0jt
TRuwL8Z97VNNESqygIrmFjVjW4DPv0+LoTtxEi/249KQp4rmQXG9A+KEgSfrG5+xmx9/d9q5OdA5
6t4VEWh8Ll2lb+x7b/DgTvnyB3UBkcGkGk+D6xT4lVPOPG+ZMkAvCZem4Kx17fuSIcuxKAnB8ATb
xUNlgLvSkd12YdJx9yAkineVr8StboEk479WLcTmbQnSodmNZQ08JwJDOsbMZKOywRzTRcNuKEV2
yEfPgQAImf+dXBfU72j21cswe4S53GEK+Ks9dyEKnfdMpLxgRkAbc07JQ5GIJ9/zk3Hn9L7LOSGP
7bOrRnrtYzlmHxY5KXSLdDLEfo4FbQjl6FCVFXgMkTPQnzZ+kMzF+xBPnhREuKf4jZGROpSV5d4g
iHgp5Eiq71Bri6+qLa1LFczEsYr8z+COgvF+TYe4f2kDAAatNmkTGObI5c9k0kRfvQGVjkdsEMS9
eVRu+jlaIKp3fksia4yDpzLtuM1PFsvP7IrsM5o18a3BojHslnUiLRicioYHNKev4ORPbVdR/hCM
NjVE47Aw1pu8Hx2pnOfCtShryVNgCxtMswgCae/Rc5K4aI/cBYycrpkOYwld5nb8AbDZOzPOQisl
iuXf4Z0CPuaxfrJgZ3GLq4r1f9nmFemfraz6xQuLSiDYgD1pTTxFY3PH2HvSiLT59O5GGZ4Srx3e
eZM667YzTerrm1gNt41pjXTNGx7jH8NW8Vck0izZT9bKt4XdZ7Qh2xLrylRNRfmc2SNmiaBerI05
9K0bwkWVzsaAG3pw3LzZGZYijjo25nw7V6Sh11ukEYekxtp4txR1ke2sJF2+WTAnmoPPyajjyhSo
bYuTcSBM7kQXPRmRDrs+W3atmZFn0wRkWFDNtUeKVdUeGfFNe6PW5nA7a4mTZ8VuLJiNAaSHaWci
JimPlvjNkgT+nVrAqJDty0uuYC7DvCiDTb3x7aJzKcoCf8v0LUYsmmt+Yej6KrqooWIgW5Ti15gb
/kPHCBflMXPplDOobt6aMBZyXuMCJJ1RNF21UyybtDv2rfENJvTiv1jpMkP7GVMuMBnNcL4Wo7Hn
Wu+kvxzyVN8LDmRyl6VW+lBMlHnwGct2m2gvfcgLfz4CcUzGfZJP3kuTDs15mcf4BZIpJ+nKb7L7
oi3eGsOOdnXqecDm2UR20cqlidt+JMs2RdUHAx3jq06b+YnSkMHY0mDHrN9j2Z1BvDPBIScAvZc7
5OQfiSqiZedj8IPDXPdpZn75vJhTl4Z1o9WOy1pyY5AG8WEFrn9RH8EGsl2XsqakcH4Ko8WgE832
fkJQOCPpOGFmy+FembM1bI2ytsVm8fRyxI0bP/Stbh7AX/AGZDlOWqi81mPXKtbsfgEUQeOlmM5J
OzT7BX0l3i/aG5OwNBRKlGjgt+4jZ7DTo8/jC5O4Hm10S8AEwNcFCNn9sohxuW1W9/FRTdJmPJP0
vkM6whKnfk4ek9ZxAUGI+cOM0p1tOCACTZyWfrsU+gcDmZabQGu9cSabJHtblriPcHAQLercb9Yi
mPips4T/xFk0XgAhJZ4RmoyiDI5tbfvqemb9K7A4OTN5QQcIfWWWPy1FdUNIrhVwuTsh9pONJDBB
dGfjlCz0nCg7tzz8P5m8/ndMgXE2Xi2I/3pEGyYkwFLyX8k/WdxN7CN//pt/d7kzbfVNIHekqn3y
1D6Wjb9PaN0/MHBYJrB7e7Wc/u8JLVhVhupU4pIIs//uf//7hJZ/tPo+At/l+ROr4++/NKH93e/C
xJjYFwMjfguMlb+7KYZkbS4sM2oTdNc+l23tvbWeiC8w45Fg2NKn994wPyMI4T993PDf9aDm0OX2
OOwcpesdV1uKCaURvHVirG9GDklbwR73BShueP3/D+OfhID/kLYg3b/a0P71k3j9Sklb/PUp/Pu/
8neTgEcvM0YAoFTmP+IUf3sEffGHY/I/KUznz6cTd9c/XALWHxLTFVYAj3731cP/v1wCwvvDZ07G
AxMIyI08vP+VZxDXzm9GEteX1MfbZKKp8gR9YP1mEhjd1ndqaKIQP8jn1iUUGLQaw7wkXpfsOg+b
7kAxwy6AiFruLBoMboVbFXucae05zzJBD45Ju89opwFctgYSqmVxIN742Ma6g1VJXKYihRgTsAnv
YjRsQfJddzec/dq3JZUF3py6OKV2kRzLPOuOQznCPVoR5igo1TUl1tlv2rgfg620Hc6xJQeyhJIB
hyuI5XRddbL8wjmnWOqJQjeOYk+1jQutn3nL3Ax/GJ72yfhJ2groKpt68JkGHUNYE047DRnpDX3B
66AgX+pbEqHuK8w7OnmQ7ZCv8oY9YdOl3ai2FlxLesmq7CXri3e9mOkl7dKnqFsWCp7LkZpdt/tw
3SU5OxZZZkqR3Ud3cYqLmWbWYRqNFU5G8VVKXus0zobB5dk89QwT93FdLbuAj24H6zvhfNRFGybG
+qGrkJnywL/49VScrbhPcU+DeIkbsm5unT4gbGSnSjTFjmrM+fu01O5tAmMBJqRpVByv3HwEj8V6
d5PX8ElCZdqMPdTQJNOmLmCMGSv7BX3BIO5VFEIwWpg0x0mykHS80ihw785gmoOxKIIToomlEH1W
NBaSNap6aamP2kt0e9LMt85uTJnUxiTFc0VIRYgoW38Ex9iBMD9rrOtIG/DuOIR6YOw3SxMH92qM
LTt0e8/x9xW1XTdqUpT6AhPk3Br5LUX0qP7pHmcwdkBwnwiHyrpLIQF8N8bB2kdKV4cK3WP9k0a8
J6DwnulekzvZ+9Ntrsrx2guv4Ksk6j5vnMmn7tHSGEF8ga66KQETvw5Suy91IzroNroT3wIZuFfX
IqexlV1UH7GqFMcycDTpoAFVtjet+BMQQfZNQfjjQJJQnETFxIz8wJ807odC1KiqxSp9uW76kBDr
P5JMN9fY47TnelFy28xX+1bj1Remfj2+wEfQaaSa9Lj3EGBrDTq1zufxbuj5jAUDtHeO+MO9rDsi
ng6cDb+rrv0k7ux5Ftt8mBYoD8WqQRp8ZAZtKh3zygtVGTY+Dil73up5QofturWbojJoiGgor1h2
AyCJJTSaiVE9YIqfXha9c0ftbtFCqotug4lOdKwom4zbyXGA5QDwYoI6tCjawjj/RddMKcwf1RhV
5yEFrrq3tKBTojNT71uVFupFUPXZIzUW3kUFonubLKdiRN01nM89Lnpn2UTDdNI+V07mKrGbAqKz
/fm7Y/IlPeJT0VtFiPmrAMPDvIdOKrehlGucA0QNzmbi1YjJwJySbL2IZvEIca+2ndz8YVPNFdxW
NdLwVlJBx1extt7pwaNNlmb41A5NMc7P4CvEVg49BajWRKtLUtNHAhkgp7sUogCCARUGYsMSbebs
wUPxmqaTPgwBl6uQo8jL0Ab6Vti9uqMHuXouOknpA9YY5DK/mMwvD/LwQU1RceksOgVHuvP2Y5+R
2ATbYF9rMc2flYrEe9HhWPS6Xh4n3iJW2CZGmOqbJ51a6GKFuUhI4AXNhF/x2NcEcN3oZ2ao+Zhz
Mf/q9ITgaZn8YBGlIgY/uzjTYYrp2ntKDfAVED2UH+PQqv3pYVatN+JsVpSOYTBcyD4zf9z2HJf1
LqUP1z1G1oRFuxxIc1yq0musU8n1vdxJK9UEb/N4eWJivlqXEqjxtC8Raccz63Bzs2QVjxypg/wy
MQllewEc2YiECeoy4D23mqg+zNxVOZivZK0ivhaqLG47H/6HQfExzn4HZctm46GdSTU34OzQ9IbA
1Yd5mspLnHf6GVNEzFAkcJPN4ljN96Hjz4EwxiuxURqY7tYbWvsc4+5a9oTBVqRH0XjZMY8rXYa0
bMw/TKclIDXmc/AJhppBXZNR87xpvATO3tyaVXBAXcEOapYz/acAtRw6O0AhPyjPowkPOp2XnCOQ
zzAahyFGdGeBT68etE3EBgDbpwxP70k3lqMvhVPrIxY+3gJllOd6LlIEocAnAwMmM8wYgXLhTfoH
bxr6vSo686PtlwdnBJfL+DMaHs0p5zqKLoZRpadJipAx7C21sZbc/eji2Sy2YL/d126QQxA6Li2H
RySgMdkNrbvQIJOs+rvJJTE0Zz3/jEVgPkvsHo89YlS+rce5f3RtMzi3vMObybCcB6Fa55U6+fLM
gu3cKKhzG5l1MeS0+bIEhTOFg0uE25c5RoLlxup5YRlGFMtXWdSUmg322qVsLcpdR62lQlLiq4w3
zMq6eQ8Ry6gOTuHYvzg4ET9uDL+cv9mxmTzLhKJ5frrpn3NRuvGBQmT7OZsy1jvyKT1WjXq1IzNC
7a8GmXbghKMVvDZFUB4Fk2oA6DAG7SMq9kh1oBHRjesmnNc2JUAluVU51YZoTTjZrgrcar/zR1Uw
RMjNa5fBEMGiMqB6d+NccYYIGDfiRRreW5pzroNFYVVNvZXNlF+qRwX86wP6lLRCOSgP7k7MBMo0
KV7jGm61bWjRcnLlr25vooRa6qPbmJhkqGBTP1VB99i2jHUMtARjqXes5x7rUzfYXhLCLoFul5gJ
C7a7CAPpuC/1xZvMZgmZ0ePBiKVovrgNyZyIPBcFlVAXHTq6/eGTIjg2LWS8wRkX7DwTaErslYZU
ITvTsmvAdq60UDN+l6RgbqWZja9GWqC6mbPKLqOon33dSgtHYBqLHYUq8lx2Kttl5ZgNzCirL9OB
9y911L0tVV2fujbnOx8Hd7ib8gbyS4JMjAUDHb0cMgS1wmXeu6elu73PUlyUUCV7Q2wK2qeZQrRI
YumQdwNKHuZoOFaWfpuTkok83Kws3hk+gzDD8ePnYXKTn0NBoTazQ13Uu3qoFxGmS8WjR0Cy3S59
17Ssygw46M9CWfCE7QbbyCLePw5D9DIiEMKQSbpD5642PCY9oVHC1Vnm5MCB9Jibuas2mNqrvTMT
GWby7vbUt5NitH2GqEwnnB0WS5bAtMzVK0XTOZWM/RSy77Oe5DyVN7FvR8c+Lprbeoz1E4MqatcR
drfwuidKxd2iCFVntp8xVkbsXkli/5hKWn+icRfl9fJO9PnnmEZU9LhmDCLJGsXGn5F5Gfr58k//
AmPZiIQFimYCGRI4FlwIQPRvwmE3ek3a2oCBMNny3h5Bgi0gpzC/dbSpH+O+KagJwvRA73tQ5Z9N
LIm1YjoDwePUyMOun1Bp6dZBc+zYLsKePeA0Qc18qINUv0Q9rkKpC0sfVMYp00iq80gZpLFpewYF
R0OVPlYzShZpL7UC/cQoliGqbF3QEjQgfRJ27d4sAgNyW6Lt/ewcA+MoYQV+9uR331iBTJosTbvB
ApPX6t5sdEBTqMC2RktjcA+CsnvkPi/zQ+QyJWHmX7Xf3dSjFk01GZhUDmjzu89s48cQe7wdXs/E
78yLx8EwrRKwCu6gnqQY7VuCp9Z9OQn17Ns++qndDJjqbPpf2WdxS4RjagQHRt/TkadHE/VIzOHL
oWg9PdZLGpwJmNCFYdYeQjSkNJ9xzGxjy8gULHlr5XoWRQni1VBe/Ebc3g1nHpV2UwzFOlar7R6w
ZWWID1jPw42gRvOirXKF8PvrEWyE7BpS5kjPY2HaZEI5E8LIDGZ1i5bODBxCJ3LXYkVmcEgqp/zJ
IpF9ZHAgLoVvZjbpkrba8ZlhFKBCcgpHHDkwkYAwR1sR1S/KzcYzL6sTpky9wrGxxY2AgI0+S4Vr
Ige9Y1WFeekZlqBKJogcHGWrSS1e5vg5i4vgKw4aXu0OotznNMjstmtkYG281J9KEoud+ARi1mwn
E2prauQWHiPujZTxNgT3pnMX0bvWLnm2gzxVXO1sqe5rz80scs5A8uFdrQztOjtpooOhZJH8CAoT
aqlP5S4gueWTOifSqI0/xysIK/tsrLoi81fEj4xR8jcrKs1HnIjc/zz2kDvw55E+YBpTjMc8q89D
Xiya4HtTViEF9B1Y6VjuplL3mFKNo6afJayqR5xRxdrXtmBNR5EKIT3akMcIBpwpkywAkkx9gUfR
To7TwuFiCyd9SUKGXsmXazccFnH20ibslQccmQtdzmWVnGPmmffuSvYo+AKecPIUj6wX7W1s82dw
MiIZOuYJZbaaDXdGhX6yNEw8vtCI69e7l7HaToETP4KVef6L/HH/tzjQX1maa6zgryEhmBImOgIO
bsKGVGr8FmZspNReUdKhC0IN/KXvEfKfatc4dzRCLuCuo+rr3/8X/4+gA3FBUpNQlECweO5an/TX
oANDgba0m3455BQHfGv00t85iSu2SyW8m5TY8kFUBMX//X/0d/Vu/TNtCDU+ciDNSfZvcVwrFfUS
efl0oAuuuOVc09/jlCcgZ9KC2CwdPTfzTJMHENm/ZX/+bydy/jvqwizR/5598j+6ofrXdVwmWtqf
P+Bv2lyANiekFSDMWbS/yBVD8jdtLhB/SFKIiMCCiKj/F3nYCv5AEST8Ji0wsY5n8TD+I8Dj/uEC
i5IBPw6sCk/Ff0Was/+U3v7yIvnmSkGR0AZsy/Ile9w/P9YQlZs5XfMoXUrogYpilV89xZ10i1eB
8+c0DUV2LKE2Dxt45mjGqU9bB97exDpxCsp2vKbdiqOS7kWYODE22EP5f2Wr9J3UbwCo30e/2bGb
xjeIRsEetc4yd50mnnFXS1mmR8OZm3fgQEm1rUXKtsxbxSweZJPyd6SZvBdwQs5e9OCONzhmd9we
EH9ousfgM+fEwJnYqI3BUZThiYV3O1xYlIAvDVl6xDY7LqGF3dA6thOZyq5cRpujejVShWW1Y0So
uynp4pAo4xVRuG+Yx5tok7fMuTci042EfdwqrAtkCH8lqVkzgoz9oN86juE8VEnkFIcAJOVb62AV
ol84mlEBjP6+yYjtq6msBmzsDVdXu3PGDyyW00n6kuB82bjpO9X1ispBxy/pijRNalHcbqsJe5yE
oH2CsdiaG4IfDHNJ6Oipd635TXBWpwqELRaFyazTo+V7A+z6pcuZRs7AqnaN8uyLVQrN7HQxznbJ
MtUuTrrc2Wk5CASgdfTWOfCg9k5A/uN15EhywrurBC3npLjDpYqtlmuvMNj7i5gc7KlVSppXf/1c
cpLKNuptVniJD1eVGyCT8g76PI0Sbxae+R1Yx/XDSk5Dn7CLgdLf8WOcM/A4WN85l62rAN8ahyVg
E3GNPT8e1+IEUOY6azkKcChxBnN66FPzF60wHIByyni0sqJTjcUJGSmyNl0rUOcGZhcj4/q7wPNQ
Wm3m09RV9/s0FzP3VknOmfZC7WztYPAeQX1yMzbECn+Lghs6vmE8ZNEjc7j4Dsf1q9XYpG3wR3Q8
HyGB1S9RlidqgU56iquDUZjlQarACqkqZk649NUFfbG6cXlsHtgtjJM7jbjfbIePrm39Q+mUyDn1
qii0t0lsOCHJ7JzCNlpbyQ5dUMkFmhZ7bMG4l2/VSb7IshQHpsDla0p1991o5/I4jFYW4mkkFBck
w0aOKr4yefR2djHUDx4xsbuumlTo5JJbBJsMV5HEjJ7jYnrE6wgxl9PziYZezmnYB24aN+EaGhDF
xtWOWlxnn+QWbDZueoDjVU4BtxDt3YhOZKeirBKkndiMURCmoh8uIEfheIHFRZUEbfBUJM392HSH
cTIX3PkgJMIuS/prhCUxlMvcc1pKbZyzGBukdeD+E8bz+MBZGgHCMx6rqvk5DOl9rkVP3xeg4qLn
OFplyruSZYjfcC5z7eOfbFp8mW+OCBoWI/vJGXn+Qc1tZBl9FYIoItzve2NZzJ8g8XnS6xW+z9xA
UOQHjwkpocunX17VnwcO0GGrDb75hrscfunF2ERkb5eCIqU4kkSxyZ5tbBwae8hKisJ1LMgVylEI
D37C8eIha89yeTP4vffASJYd0+/2YNuZvvgg2E3u0foxl/Wj20fZTSFLjwayYkS6pHbPdyZ4+PZU
fesUlF9EZIyd5Arvlj4fnO1cTvKYYMvCOYEUveUYaoPudaqYa0WLrdOMrPmFepV6g81M3wUBtwYX
y+4uSKT80bfdr6a17S1E1Za6osjeJ/g1dz3stRDlvryXwexu4l5ZNxSQ5Z819WR7UyJCUH0nK4ju
ZrwtRhjtPAmshEwNYZjPrf+qAyv+avJRp/8hCu7+SQD4p91JMrYkpW96psU5z/4N81HjQUoyZIeT
bymKI0hkle62T+v5qqrSftZ177DG1YAVtA0ygQjdWD1VrTHvOuqkvoYY59ftXGshdnkvl6NhuVjM
u/XbD2tfsE1pU3sNGH3E/50FpJ86XsLnJ2B0vr5OzoqOrfNFcxux84fZM6lwwcvmjvLcpIt/WZYh
v098tHGnbSgJ4GJj92gbvfo0bMsgbpi4rzlO1JAi89nGq2NIiL8kQTT9IK6+BBExLi5F84FmkOq8
4DLZF6g11NiO01FOdCmTT+eEa+EtpD4m5rWP+pcAn93W1avlma50fseRoErPOWRD8gGLOqmITe/X
/qZ2liZ0dbDMR9/tDO6Qo9BjcSB2CXh+8s3x2JmzLG89YhA7Cky4Mw6j8ZMi5ZmoieWcirjGQtM5
pvGQ526zgxUor+Ws7HtlJ5zt9bxbwADs05RJkaiWAZxwJuor1ZwSb63hX2XvytfKaGzmdz4lFkXb
7KGDK8SVud818MH3Nhn7RPpVqOT3KpvPY9B/kEI6DAnEUktRyNRkn+PYPQR48G7prRJYq5du62eZ
ekjMPAgxsFDwmBLNG0xSH7V2jGNFMeeHQDhCKMWvNnjjTW9UD5Ye0ruEChUCubZ7P6bJ0XMieWJb
yUOzd0noebC0oD7a7WnxBmjdc6NGfKuk2/AxVm/ZDB7BtJrPSUPL7DonoJM+wFLOs3mlQ1w8prH8
4dXO9FAnvHm2HoY71UsV7w0/QYH0FxktJx85Or6p8JRVX8XsNG/Eg0lu+TmQ+EPgjPKuWZrRYlGW
cnoNlklA4KHl7GO23Pydu5izPMrIsHC/Nx74LZf84TtGseTOb3obsRPGMc2pHtPFkcRXLG3jc0xy
KOulO+qwEuSfAIPTXJMg5Vr46h5tghc/7MIK8KMF5aNFL0ay8+J8OcgCpljRDhLZL+kuA9PMERW7
ir/L0o8fTKd3LsjRnAhazT4/6HjrOlO6c13Df2pz+kad1Aao4bEosZ1MsThqsy1uUt0aKJaGSLDV
Y8Z6QIXQOqRjEnS42dEFtVqU+yykfQSzEYtdA5WCmNg2ZsVqNhM1em2IvSi+K/s44OO0MrZ90lw7
gU3tgdRL+crW4vwkYDMcOXqhsc024TiUHBJlecYUYfKH6tgQ6mT185EHdhr734srs/ySz7l9Vzvl
+ICpPXjDsSme0tIx9oxO44fFyDny2GZXPfJr5E9iWfh225StiYGseUOAYMSr5NBfKn3l3SY5SS56
Tlq5gvfVzuqs97mp6J3yBPBoc86z96JPvbc50r/GZgDgLcQ4HoVZkTlJ2bq0zGi8yufpO2nGjrQX
lI5kowiafSgzGR+Z0Dpv0eShE1ol8fJNrAjfEvcclyPIFfv7App9y6ZkvLt9mj3A7gw+GtVOT+iA
1W1G+DvHcWbhwuUULo9OZo50FJkF5SVrWyPVqov7Y3AdKjsMvH47e8KjtJNDTh5Z1GmsQxIr83fT
74w7bTbw6CviZcEGsFSOZpq1F2eAsWpSwf1llh2KsNkr/1VQo746UizDPtc5A+gNbmukqUFT01c0
U1qGjdF1Lk4/03r3u658lNrPTzqic92JCasiVDmAU5yoCkKiuJa90WOgblj01LA1KQkotnXUlvNG
Ttr63ntQ1I+To5PPOatRj4kwjpeGZPamRZghX5F7itg/Z2zcnAQS54nlZW/r3vuKk17cRqk73CQZ
6Z6DZ1vLS98lVrMTvVAQ6CfjuYJSct+7lf9ZT6J/HKk6Ix/NI8nlCeQAD0HMSwg2LOWVb3lGwi6u
3NtlbAQ+BRFw/0HpAf7Rx4hIMDTj+14Gy1NvpsZ1JkyOkmUmzNKnpTB+9YNDwE2VVL9slDLl3RKk
uBLpzxovVGLRJ5TY9iejm1nteeTbn3Mf50RlgcCEjB3jt4o0XAB3yotPA/eNX1a6MrRKMg+7sk9R
L9vUm+jAG8kTdlnevpDPXDRkNHrQ6Ufwa5z1vt4FuU/0vjcUlHsksP6suiy4Zn4UPPD5VHe6F5w6
XdW9l60WOz+yq2rbcXhpwiklXIdhGQdh6fdYMEC9S3wKejohxuqDjfVYbzMpRRZmXs3zmNExe3Wc
Jr0OqRUfW5yqPoz72D52FW1ZIfQ6OF30Y/ZWmKSOV2+rrqfsvUqZtcnae8bSPX9yjyH1ipnWceht
mqnrKSPc8B3BcYT8Ppju506/4fN6HI2+fSKK0TJcmar6OhSmWd/Df0yO42LJD3cx1rnLXPR3RAun
Uyt1vmsmS70xClS/ptj0yy0lx/5jTSTgcXGy+GXWBTsRjurkVHZlMoYL9uhzTAlQvucgbFziGqsg
/hijOiVxRoNvatOZNLrWzVzZWKPzlB77AyZOeBJx5+s7uoO6q0d9H5iGdnlwgQBvaGdVJ88d/XdP
mNMjBZDetBUYak9cldx4Lya7OFWcN7t9387ldhl4OomXzLV3bQWNnFsT4SNc/HE+mK22P5hIdSdM
xfWdCZgG5d4j2Q2gggwQtyVOYInqQAQGrTHdGx245bSQ+odnx/1X3FDLtBlwkXZbij/WEyvrxAfX
WQzWXOEhqEq33Y6VYSFAoPRxLMrml1gTOtnwEaO6BpCpuUuDM1LbVa0f12keYmg8LvbW8PyWuefQ
PzmyyMTWiaaao1lhV/EhNvS8AeLeXnxGvYcCpzxoh2F6a2rwg9fSKF2eYTLc5PFTFHOQe6xHbT/1
5X2Td5wCRm7C6WFqnZnzhVevYiOnIpwmVr2zSTPwMBfBwhSnj38s3WKfle/n5s5vJ6ToAIc9/CFG
zWeVFa25sXU0zzf4a4345NOIkuwip56/NwHHNhOv9fPUBu1PmWv/ZBpB9Sqp73wJqpEgy2iZ+qBN
Q5xAOPQH152GE4Yfn4auaviVCz1zI7aZLcLRqoopbJVPVElEat9P0jiwJbXbIJ+5x5lcxkqLztM5
Rkyh0dSTPxwPG/jGDRr5tAQC86nFJTIO3BuPbrv9XBT2rlLB8jhCV7grUGe2lBFT/hKpaQYJkdUP
yg2iH3SNWJtUdu1jYVKQvY2VAiNO0Ir7Ym+nDwui1F7h0nh1AmO8Az0wPdVQzE9cHRX1wEZtXlNP
+3AzGtzXhSlvRl74p7nn6N8ZxXyMvSkN5xQqVw3l5CqtTtLpjBFdZM6NSJV9mkTUv+Hscs4lNRvE
gikmS6Q9nIY4QcfuCQtYeLiUJx85k3fftIfrLItj5zYZ7PqYu6n7bvLNfUY2tAHuQHKPH73bRovI
b5uhSu8Vpn1kKsYSqmTqogkfkRCy4l++kzxHk1EcHdnsyq6wD5ztwN1xz9zNtuxu+6Z/p1W2OrS5
0oeAMo9dgm8EGFvA8XTxXwMWrEuVNPokVfpDeF60qhVU93RMuXobj760hhsridKjS57jHPn0yvcV
XI5YTAX1lbq6LA6eBKoUO37JQh1pmOmPfZZ5W6OnV4S/R+2p8LC3dXAgcR38B8Cc+I1p5puryxV7
IjkkRwjh/qZiGyy/lWYhOdFLaHHsXE9pPsnau0ZXjg4ljxBxUxBIm2awmz0McO+kqUqe/tMvYv82
NuA3wZzoYHqEI+1I2/9tbNANUTuVJPdPMz6RbCSEnwS2Xr41oxOoq+9T8HLPsNWDjrCU+mGca+5/
VEv2YjePvN/UE79AXvuf1J3XjuRWuqXfZe4pbJpNA8yciwiGj4x0la5uiHSiN5uefPr5GFL3kTQN
oXvuDtBoqFCVLjK4zb/W+pZkTjbB+oQt6jE/M8nKq3dbzg44/EaTL6o1sjsPDeJmts3s1VXghMzr
QI4ONv3DKYgvrQ1ujS+MP7Tt2Lbmo9EP2mcd4S1MO2RldIGOxJgK49c2NiG9aj0IfhEzFHB78YJV
hTdKHI33qrQhgTKJ9TbTLCDuRiBTzak0OUiY4e1QYstq3RpTh5NPJ20czZuOsoU1A9uMdFv2apil
uKdW+ugMSEfGMrR0lvFldZ1k9mPLCqkhjkUbRq7ygTZexp7hdQTqSIOU23UwaljK+XJc272jYLh+
mMNZf8HIoQA7pZzyV2QaENowNRl+GLrxPu6y8Yl8NO9TdEhO9/r1pO9dT/2geLgBgB+dPmVRs3YK
aqSS6z1BR5ncg5sgJtwoOjHN63WCaZL9HkN5XUksjActMJ5Cis0P1YhPhAI8uUlnsmJa4pXOSlvu
LDgIub64y00mX+409nK7cZd7ThDRL7RxZ/bnhOqjVaIP3IiWu5G73JKiaKBnuMrlzlD495JlIrpm
NdE+susla1zuW8ly8/KWO5ix3MYmWgjflIi4ojHL4bpWeZExP9qySd+kkVXv0pmh0RZTa44vma14
kSSOyUs7c7/cDZbNLJxBevVaB0BkvrSIGsINCmj4a2t2pbr7e9HJuA79/zR2cWC+Sd2QNOpZeDYW
WeoPZHSqcZLejNhOYs5aN5U2hudyiJXf1GZ6KHLhHpRLPH4ddGWwGevy1iW6f47GpbFWs4fxSHxJ
MU2bIY4wASiqVZGnWEw9hfxpMSd9rSkVoLggNtUjFpF+VRnovOEUDxvbGW/zLLilHasxF5GxP+uA
IlsEhTH4xENobu24suFsqfTe8CT692gnR1o2HiF131Kxd+cR3TgTGaemyQy21AE+8oybF5HPN1zM
vLWtWfS1O7GQ2op5XceWrVx7H8VLrra1OaCyd4h9XznZnQ3V6M4s9d7alJYMf+iOTZiLMqFNOHZa
uCrNhQnLta25sLioOxcX2LbhJNP6ktnygLnH9PqNHLP0OCuRq3VH4o6RIXXHX07XqOXA3HGQlO0d
vIbmeQ6HwC/NpF9bcs7AVI59jkfNCd4iVIW3UU7QLAbSedugpck7zumHZde1HDSLpN0mzhTuC1fy
yFn2QJxR1jZJdaA9X3ngeWxfnaCco7QLsNuNNyXEa2oqOpwOn4kt6uCeBqzoI9etYNc6ISWzZL0e
RiYjTApiF6A4Ne9ZgnfEELF+YbQ4867k0Jkl3nhKvUgjdEqLJp+uJTDpFg9pTH00c95KPcF74AkI
6UXqh3bxk1Z9tMW3xpY2A2mYHNW+9YYe/wDaazwruB37AFxLtC57xdKEWfh+hsrl17llniSrFK5C
cAIlWgOo5si5cyI9eSpEg9kyjTzy5C6vzDE2BekZCEDBeUpngaUuEjzXhF/PVV5ShEWEt88YUNjX
nWiOGuseOyuGB6T6nPGO6OjwMIvWvStwwZnYlhGR9KuepLdL0XBw1ZnEIjnVTHXndVgtSlQAAaFZ
efFEJR2lNh/6VbXy0K8wr6NkNQCYt50xOM/ZVekqKH6WlJ4O3D5jVu/CZ3Wr3kKme/HetGw9vMxV
pYvNso99YUwfsc+MVIRxEEBtS8p+gAZVj/w/NwPTvsErWR/qbAHgELY9KEO1nKsV1qBV582MmoBU
pck+gUcDgI4BhvRrNOcTvRqcJ9R1pjsu491U6q9I7YSd2vAHTXevhOl4QIwEZciJKYqe8eL0nrOt
9LJbvutmK9FJT2OERNRopdxX6dSQcPhnBuJfmADIz/zRBOAKR18KfQyLTIGpm9ZfYgWCyXzKSNQ5
eKHEqH2r0vpc9ffXL/IfCeH/nsr9o8z53/9ePvNnCQovZgrwX3/+Y/Pbn8Pv0n9v3//0h801KHLf
fdfTw3fTZXzob82iy7/8d//y90LKH1P1/X/+1/tXHhd+3LABfbZ/yo7waqHz/vOlXr7C7x95ec/5
yLvuC8rtd11P/+LDfo+cGL8QeZJYFWkicGiy/O/Uk0TWNokcyd87Lvmb3yMnOoEoy0BxhsFme66x
/MZ+17V18Qv7jE4OBiEaFIX3HxVeLWaMP2xglo27CWgmPV9YQ/jPv5w4/7tBTXPlGwOydeNigwvD
jjwsnTSrVC0FxJ5zrgrz8w+v1L94U/7liPn/fOm/SBZGojtpKpZ13UqxD0aM0aJk5u0ffAyK/Pjf
fzVj+Un++JM6Bk8BhaJoJIj4aPh/3qqToE/sltAo0GZK4UMVtGuPAIQ/uka6nZrqVYRJsuM3rTZZ
1jHhd3pKECsh/d7uXvtyEVfnJT2a3k2tcyOTcW2yGQH+Cl6UQlhNYZet4jI56RTybv7+u9f/xbcP
jdzljrd4JHhD/cVVw9bTMJRQ1kamLZRfppLNisshmMneWryDs4R7NNEyjjB2R29p/Mig/tYYlzCz
gQ9NdOo1nXHnAwl606ziHJnWDqv7R+gQXwZec2ix/63GgX9r5AxYC3eeEbTcnV1G5IPdSR1CZYgf
WiGsmkR7vYci6ROohWBxP5VinVC03svowZLJPpyGjwaSbzpEm77L/THo6U2K03snSh+qbHq01NdU
W2AZx9VPXBDzzmGa5OMNdW7K2sN2yiDx4LlddzAizhFNY2e+dPlhRhqkrVo3dwZj1h92Ku6J6yMn
enxlU/XZ2QBQ8Z7krbMrPQrciPRiBktow7JgyDgrvCS1b+ldfDvVDt01FBvuhZPi5HKwHMtF3maC
FpwZRcwry0uau6EPrP2cN+Tbm9L9aQrDWYcw425diR2t85aMFVmSn9jwvY0cIuOjknP/XXWtOPb6
aTCigenuTIBauE2zTcy03ErbmI9Fx5cQ9kwXaKFvtcKpvuI4IWdZ2ocBszlDJeLAbGb3WlOhXE3R
MUizt9iNjsrynkIGWyuHX41spnqvN3xAlbAZDXmQ+Fi+1A0H1s3YlT+cjN/3378hjWXL+OPjhJ0O
K4Vt0kuE5dFZoLp/PPl6Yamrqp30TZdlKKuxnMtizSgHpCZJ44qjgzR/xLExnueo035GgVxSTAsZ
IIgpPHMd82k0GOEtsRQ0H/d7LNzp0UQj2DUyaFBoGvEAHzF9oYy6Q0kJxK/XH+E/2q/+9U70p33p
39vS/gd1NhsY81gc/25TK5L3jz9vaNcP+W1Dc+xf8PexcS01jrrNkeIfPi3HJODLjkSTMyFAG0PW
Pzc0kwwl5i2MlK5kS1veLv/waXnsgvgT+UBmDjR3/Ec+LaKaf3ljsp/alCkYnmFx4GGg8uc35oLx
syFrFbuu67EK6Wn3XsSoX4ur+w5fQnMalJj8jKw6HDE3wgFRhId6dJMTTcr6uiMZ9OwWk/zyagEO
z3K0LZNgpnZDMp60tIg2xAcAzEsZHK2cMGM4zu92ZwH9iX2zYxJrj/lJ0zLL5yl2Vk4Jy6b2YsJg
mF/x9T8bpfVF8H5t9jI/pk2ldkae0ZlDeGncqoq9F0xJTL7H0Z8yGWsuo4EoOxL/KW44Hc63OCnz
zy5l0V1KAz4WX9qerzfcUoiqbQ1LAxNdQaB6NkSP6qr15Auo2vVrRHREyI4635mvGoB3AqeBM/yr
F2Z/ILQUvlh5Mxy0ojQ5nOq9r4r8vorTEoBf1B4Tfcox8brjLXK1uysjOUL4aYhHQfwcu7uI6cVe
wwh0KsOho9GykdT+Fka0itrEeJoQE8J6HB/jBEdbE1kERqmi2mm5c0forH9qKXr8Vllcv8aYj+5z
IqGrUrjeXewqc80FmtmgHcSPFC8YBw8bR+L06i6Ssc7SoeSBa3Z3ahElzn3kFs8DYVhiYsJcjU1I
ZDHEXkM98jtltujauBHoC4p13UMEd/pHVvv84lTRd2DBN5vjlNNQZ6tXG4Aacaep+rTn4NcpmdzZ
d7zxBRFrn0by2HVGuokrXb/vl/l17CbpXeIM3qtlj9VZnyosXHltHmj3yL5IvfXwTmr8BWB55AVl
QrsUc7Vs0fQcfVayU5CTwvzArHeJMNXDMRdWcBnAQ+5ZyWE66S7oVmb+N2pyvoP6pBuvKDdiQ3Wb
99hAicAx0zT+DJSe9sqkqzZzOIX4xrSqmFf8EvI7kB3pxYtmuty0eXoy5kwH8YOSFFqleqFaeLpk
kxf4oejFecL554fEYdZQiAe/0/kF4SA3vJuca1MJOKJq9iIKIM4UfQsnxP61g9h1aTvunFylvK3d
EpmMsIofWnaZC27eJzDYy1Rd4jmLHXfLHub88BjeEX3Os3c7Yu5tNzFYQGlrAaEq4ixJzSVRzRNg
ikLT1uPUlWttEopEVyk21ow8GMaTusntctobqnN2GbBiGGTObTHWu9xkvgLeuboJ3MDyZeKuZWuv
nGmsdjNWuipX6HXBekKxofG0/JDRtCOQEZ/ww7mMXEV6T2YrJvjU1LuUkIqlp9bWZkyxM9D3Kf4Q
7lsajxMDG1H093qshge7qN4sO/8o5nAj5+ZMafhn0hf23RykLsJwbW0JgwYsPstnRPAw14M+UG8+
PwyN9eDqMdmmjEpPDpnTY+hRr24OoIyIxUGWicEeSjxs8TxuiMQUa72jdpR7fvcSlQNZXarZd9gc
BUk3smTlVOgnosLtsWxMa9O1lfPdUvGytUvbvCHCxMPEMXoTkBJ4NDlSb/BaQWCevHHd9D00D0nl
Du/jYuNyRycwMVfjS5gH7sF0EgrOUk44HMTL4+ho8UJCaXZ9mUyHtJRgSnTOcYeGkecu6IL5zg1n
uSXf0awCM4TJFUyjH9b8tqcUlLaEP4ysEbW71FPZRgucclVNHafWTrpLrZf5UdEZg0UvLadzWwt9
nYt2PIq0DF4IZMxrICPQGL2hPwo1FkcQVu4+yr3iA5tWe+Kkhs/MS8UDDzkdLoTikc8HZcfr0RjM
JzsuHSjpEzOaFHMHBxcqwS8NbGuXgbJrbpOeMNYID+lr9PInc1Bqg0UYsyMAe16IPSlChIO0kK8I
dPddM1ymmJ88SNYR9OklqiYxzbl28gpdf8Z546LWItdsy5JBdVBnHuh8Q0oUjKhZNV7H898SaGli
wOhtIQVqSrZJBWHEKKSdtQh6ZjXOuUtkt+6wHK1T0zolM5IeyIPHYu7HkyzZu1eysNpH6HTxkhv9
SsmJ7Icy1P0g6G+iIr5PTNvy0wSHFTJmvY6xFW1bmqB2ZhdUO1OygiMtz1QxUb7R4RH+JpR4H/XO
U2JXrYetybRBHVbTa5WwbGAKzBO57+0AGCqUN2wMwm+yoAYd1yyp+GD6GXOCfxA23E4++5oZ8z7o
w7c2ZdXP4h+m6VyMPNyUGmy2nBnQhnCOWMks0NbR2ETnWhPJcUSvOTiJrUhwm9aLzD3zrcFT6McK
+wO7xL5og+oxzLR6N6kukGsMI/gG8qioXsfZCU/Kntpbxv/VqcRY+02yHBANDHC2wYlLRpoX24YL
u+/MjYdsh1ESrtLGFt1rZ/SXIMlP3ZDMFz0PucZETPB5UtYBSi0cKRWXAnASiyp19EdtwVEOZnMm
sr/OOQqvDKwSKysxaRLgHkrRyKpViVnRSAORVp/bA4Pk1Ti61dkgTkeqPvkG7OdJWqAJR5L4M+pH
MxzUuXK/MacOv8bOFFywfSL0B9I4ScBcxQ7zYWv7ZTm07zjY6+9kFq5fgTS609OISfNkj4rtDf7S
DwhdMISEZ1JvPKU5TuIsVvdTL1p/quBIaFMDubhdcHUxiK9nlp7Ex9w37hqFZ20wpmEnDPwQswtA
uwP9t570yH7U0mg85O405zs7nILIN6PmR0X+bGyUe+tqsquwNWjPmHjmdVVyRAlF9Y2xZfxR5U62
JohlbzsL4+/KNHPvHi/w8+j0dyV+4E1RRBcCQAxL4Qsx9H/V2/qp5vqGNzw175mrlFtK7yg2nifk
Qrxt8QYvtvOaSNjzJceKUKafSWTt0N32cwMfPXb2QztQ2kzeKfRnK6fqNzVLcNX44TPClSW1xkzP
1b4E1TRp4iEV0Scb2jM0g69GWjsF3fECrVJtQ/zAazuhIlBCuGff5RQWRFSA246f2PN0UzWWWAfk
+JGmLHWhYW6bkfWM/GF0Gt+LrO4SCot+xQpTCJm0pMLnIcwfLL/ueZob+Fttr1kEsTzKBHROnVZ0
EWUao2g1mh/3g7lXcyPuOcVNj2WSUaPTD/IO6YCTcPJlhRxg89HqTh2/6LXKuhsbzPFRi0oNn59E
OGoMLH1Y4I+BEbe+biISm1ov1jC33xOMZmB1s+xM5IotOlD2hkw/Y4rGHv1yjuS5GQL9juO3OrpO
b+wrQN6MRZNTro3qrYP49kx1iesjgUZYeCeUAQdKyQPKQ3XrBbq+G5Ly3c0Kvl+vXsbZebDCxHWA
rQBJULWvCuaH6kvpx0ZrMdFXO7sFChsIXXuRce6+FvmgbWK6S54KxGkEBm7wcoLwkPHSfWP1ID0f
6/b9ADdiPRK8I7NJivYI+jWjvBbOQtfTuja0Ni9qHp7pO6iQAtmkwjLzzbboXmgZVWcYhPUbUg8I
CKmWiLCtNBaehQ4/MPfVA1Xz3omDNcDKYD2EnrYFSOCtZ2nJHRpZ8FRMkboXoeFSNq6CB7OuzAsd
FtWBMxit2UZWvKBvguPMB/AdUk4PhoYzt4/b7KtEv92p2C5+9UjL7cahsvDbcYImWm+dDd2ilwED
RP4eGzF9Gv2MGVAH8nAqxRQ/hiGnPDQqFT9THcOWkVXwVrogvOhYeXahmYuLDkXSB/RnQs1rmkMw
5zqzFDTDwprBgJOV9Af6w78s1XkX4KbyedJ1bdW1yC02rbBvXqPCh5RM82OJWHwcXBfSd0JZOC89
OUvyvfGGJyZZN82yudKp3STWdq5lxIGtaZ474iTkVcfh4tAPg3tXFRerAQSao29v5iD4HgqwISBN
aCwvsomj24jQxRzMfdPHGuYA5uiHYbabzdjq6hQ2ic3505b7qZXyJ1dWtZnz0Puu2sDwPS6Ah2hy
y1s7jONLr0fxXlotB3KrUMfS9AS7huVtEWUJRxrxXaoNBdnyxdMSezo8C510Isz0izHXt7mIjBX+
EhohnTY/unPK+LAyvEPLGPMshzr9lR9UbQKvck4Avhm6ZS1e2yGbfsUS+9nm6bRyqRGCjOJCmqpH
nWCCvpTYhqyfWRGcgii89GnKyVH3bgxMfD78oX7NYC5+ibVk8oc5eytdIj8kmpybCkNyLudkWwBR
WJdGM5yWSz4eteJbDdWOCgjvVLbetAnqyPMr6NnPUYQLERoeNOaIZw7fO3EBWxFP6rpaP1scwdbK
MIon3Dz0u5eifw6FtOl8FI/JFAZbK9i6Q7DTU5Ueg7y/Twbbd8KBxWXiSC7EVgv16UJSRW1bjGKk
Z8fbxGo+eHuOONHy5AKVlWLiqYaA2MLhHmjK3tUzQ1h4h0UFmJ43ahbkpG0SG/kwwt8nLiHr5yYT
hljOBvEW2JK26SvN2HDPC/Yu6Ec/teL6vq+yGFRho/Y9Hp4NlvF8z06RHPWeuLDqc/e2mydr14Bf
WRcyvOkdU+BErEV4JNyFQAqhFzg4RkLD18uggVXuGS+GweFpYX2oDBM4UMcQQKBGipXISlSeUxfX
exf2w5lZHn09rjb2j41Mirc8MHh4TOINnzWd8AQvIocKBhTzUaxFn9zntY4Kacm8zfEC9mCn20i0
HDNlT6tDWlySNtF/sgPWl0rLuOZGNd84LkV3Ncc65TjQ6V87cw6eDb2jQKDn3rJqY6ilq7wYpwOF
FPoOVn67A9ZoA0Ma0+PU2t1BTqV8MEfL2pG5qT9tzIwChEMXv5WgHz7HPKfsAE1uNfcsnrw03img
wu/Q8k3uPQOzWW9b6Toum5aJdW29cpcennuSBo+tGqxL6hjlLtILfGSor7cmv9N7Izf4ZkAdPofG
8F1libHhJoRFWJCPmnT+C4QjeA3T7JkbLFJvQ1D7lt1W3+QWOFNOH/lqmrQzTRaUllDDtHU4WKw8
XWkLeQkaqkFdDsd0RNCLqDzn0clGDfwW9hyGJPmNyAXW5Bl6VShZsfoQd9HUp0evhrbtteWP0U7f
62q4madYWyVD/JWmVnJwFHaKvoY6Qbq7WuFmaLj8uDzDjqlPN1Rk/CxVoR1BiUb/HzrdvzH3/J80
0XSMv+cTPrwn700LpPBPQ83fPur3oab7C3560gK8F5DWHOaTv2VPbRKmLjddsqQ6vizMw/890xS/
6DpmNeiXhsU0dPmrfww1zV8Yj4OMk6YpXF1I+Z+ET137r9N23dCXHDe+Rs8xMQf9xY5VimrUcHQ0
W5HbebbTgoWwamSS017jIRcwcofBChilsXfelc2qUBgKP1+QrU3t4b/ICXuejD41t4M5mmcbgjrp
hivv1Rlq6CTzlQObdLnRnT3osJ2TwIlNlTO0u6k2mcT1fUXdTygha3cLZrarhxpjal7Yh8hDoth0
XZ4z+kfFJ9A6jgOHQ6rPN/RGcQKkEojOElEE4Xl0e/vDhB2yCTH5wWHz3Ls51XGdaK62yas5XXuM
NzeV6tKH3gCh3RtCe5+uBF2RBfZHjlMOx3sY1sxKcX+ycQXUeIYWAN5eOMlLhhUGS5VY4LzVAH9/
5/T5+NgIwL3xleErQHa9TVMV+CRjxzeTWBmg3EJUdHOA94A2feUBX9nANKFFws+uzGD7yg/u8xgg
XF+DUV2FhVndsvAqFhS9896qK4OYPix0LCJYsIkHdFQ4OlZd06Wsyze31aGktkNEbM7yeM6bxsza
VZ8v1GPNWQjI+IcbhC8YLYtttajX1nKu7LqWoYPRkj47C9YraP9jnW8VDLwPs+0A+yRWdcd8zvqK
dB3jWEc91UJtBhEzwJE4VulMlMOsBhzq2VA9o2sBAr/ynHPZOeGqmBT5VTF38jm6wp8Vln5fYZJf
igqs8kG3w0Rt+A7G535os7uiUtF9qkMooe6bEhpavpqdudCmk9/I03g8HZe2iw4ktbvQqRk79fXR
1gddW8OpAGANhITIsUYq8V02CIZEPxfctQ6TA/IIc3h+Z7B/VwyExY9G9dBQAteeKuKVCYDuik0j
oELAYYDpXQHbV9Z2lw3jG6qvewayTmEAlEG43P2V0R15E0mGJiXxBdk7LszdYhXiNjZw5960V8C3
KLWewjevO3MfM5YJjvuUJg23gZTDDus/Hta11+fzXXAFh8PsLxEEG3Mf45a+0xdT/9gDd99lDbXo
K113i7fC6NIT6TbA5HpZ259VKxxfv4LLmb+1xziYbOqoRlD3tSywWBel/eaFCYp4rsc6IzjcVPS4
9B32WLMy6BFQ5Mpdc2yTLUOHbitKyNJrershq3PPDx+s2fC6FQFB71XgTntJROZ+4HC3Ts5AjBlA
Bp+cauWU9gz3petjCvpKkxvF1OrWuyNjxochTTo2M6qFAu+NAOFVMQ+TT5TFOtY9hHvin9zbtlxR
uldZRs1HlITcKbMrab6+UueNdO7MfToZOAxDW/CVA0ByHRFozrcndaXXQ2IGIxlhe+jXo+1V0XrE
vsdU/Uq+VzE76TSPlu4b1cLG91ywGyugHIuILdoJxrDwYOlDUfLeS0uL39MrZ99YkPvMfIibLhj+
giecO7Roos/atsuL4wDsH4WYnyOvI+5nYAf/rOGn37rTQvofr9T/cCkA0ObCpK2NelldlN6ZcHf4
xDuKavMcS3Jw7RFgM5neUtINF7Lv9AwAC7IcRJzQ2Eli6sjETv+Z1Njq8Y4rKqQoLCiu3QVdondc
X9ql0yAkLPzIYiNzjERu8O4mmnsxrlUINueHYxNW6Su9JchLbksMEeN+rr2opUsBArVgBs98nzB8
RSCSozHMZ57vsxBG+dWaimqG9FrTQH1a6j5b1/qGTuRUOSCcTc7OulY8DJYUDWF02Go39dIC4Sx9
EO61GkIfMNfnXHAw8zZURzTXFgnqJMKWXglzaZhojap7z5bWiW7oAfQvTRSEy7VHi+WMDD9m2H6B
x8PhC73MIBEy9+/gu0x7Hy8NFygC4At6kCkoHi0NGEsXRps5aBp6ObgbnUBKARCgteJHYZH85d8G
8TPTBqo1usjNtiAjzUM6ktkDMTZz/jQGQeA1qJxbMG7mT00j0mtMerk1FX0tGQUg8V0eISLxzXOm
W5lyKH4mS/cHuL3RXHdLIwidAxFBmbp0N9oMhXHd99ng/AiJ2f+Kz8uAT5lTHCp/qxpp6HldB0nY
rUEllS2u/0CiEZQOgaBrXYnsJ2K1cg7uunqpM3HigGoTuphZtayl8aSx6T4ZzDTYY/MTWyP3srW1
dKSkS1uKoRnGPuz6iHMfXSqV7pLBDFyJX6Dt3ggyDcEqzJeuM4vyQnK5PIca4EOn4N5fm7dw6B86
Cqt808ZpHeL7oaVIw44DPaeMZXCKTUgfzOesrzFKxCEECk/0BFhX21eTb00xbTJcXwPlfNOB9tGG
lrbT46z024Di2HXHyDpZkfWyXtqUC9emrFiJQRM1NBGihg7mwYIGZa4ZeSXVYbCoPV2Br1uih5ot
EZ+yyYQMBtFt3o5kQkZS+u5XWaqSHjOCZM8RZSNESWjQk/sB9vt4gZ5VfAWwXwFz9Rx1rAj39HKV
K89WmyAheWIhDCbaxugVbaARo2foP65PszCTtsyMk0PZZmIT4f9/wNaXbWUfYFXsPZqv3Nj41Y2D
9i1zzcYf54kYM42Aa0YLVkzXNYjAlSUD++KgrKwKbygIVhf4C1cEIFP7TJBO054sqtuIdwx9XK7d
tFOFb6i4ny9qYbpuct4wRGAqoFybkAyIvunrcDxUsWZeFGB2DOGjGcJR0zsTMBV3zIM3m823u7iR
cjuDPmC5VXbI88Yz16wIvYOPXbi380zpBpnF2sO4WXlnQYMvdlO9w85aNeZR1jVW2QDK3kdlkMvD
/EjSBt9Lm/gU7sFnRP0l/deB1HN2XKZoU20FVtlDCC5pl08SKw3RieRGr2kpXWE+dOyVMdrHNAe8
CtuJ621pG80zhyjIt6mnG5+NmupX8i7RMculGwEncbGlsimNlxBHEDsJery2dvQFZkC0NLntHJ1O
CNOWLa1mWjT7etrW9pkrWH6Qte4CNGSx2w5Dvex+XNApEyIsw+oOjuuGFsAYHgVmBj+XGcM+bJ7P
JnY5h/xpXB5cmgBfsdJ3yb5AZbrvqfkpfTc06mnTxXzKM/rQFN/WehDejElDR5gJmP4deUDdG1Vu
PwQN6WjGYHaLAkLciqlMZ/A+6SW5LPyYndj2TeITRIPXTDnqsNI4mN7LUA6nLuDlWQeRPkcrlnH5
nA6cilkyIhpPYkGL5caNLDd/CWVSfuMOM6g8gGnGPxmW01ESEYhGZWuzdw4KwQOZThi4Lt1CYlWq
dpp5bDxklDSPHULRKmG0wgI9gQ6AP/GcBpaO4MUefduVU3Aquh5rNh2P33kn9Ych7aPG1ysvu49m
ApyGEt6z0Y9Y/XvP++7MXjxNmjucXCm1t0kElGAEKpnvhzLp3lh/OS5YqjWsde42CYUkFgzCYbHL
CwruXsp4An7Zsce8YD+hptJaqpNYBESS7krm8WBoCOk069AEhsdJWaD7CHQ3d9VARav36A350XZ6
LEdlH5mHuDHsbKsEgy9GEuxu1NKQMYBTEYXxcW7t9CQ72C6HzloKHWICZ5rfeZn3K+Sb/LOpGUzi
h+wKY9Nwl3q2kimiRyrCVqzvBDBabc27N1oM1BkIYFNLqmQr52EAnsPEwtPey7px9hNNNG7pU4gL
IDoqCNCOGKC47viYbEr3FZlAdx9IWwpked5pFWmWUZekJILuXVKZ00yhnWyHll6ddsycTUh3prYb
C8s+mDxPvDFnmJxnSlEqaJym1ZvYoEMOrLQnwkFz5Q8gGmo+psEU3KceZ4K7rNMB17AjEAM+k6qn
MDhC1ccF7obdxhAmjuK1mfc9N5UMHhEyWBEppW6iueR4ROMpyA1Dr3Lr0uL8Do5Sb/ro1h2czr61
4yAY9kmDTDBS5XoPaFlpIL05k/yYmL7NO09NOLubcY7iA5JiTOFTWNX5HrozMj9tiVPzM58n8e7F
CbCeaupk8DO1w4IeF4LxDoek1gyon44HGM2rvqE8yKAqJabDa4rRlsLJED9NuwcUV7f10K1VUC0l
F3Lyzmzfatinrt4drSnX6bOSjb4vBRb+FiYk3onAHh+jgpawwxSTb9hGDODdVWF1YXJTWs7grJl5
l1SBpkazpS601/w2HOwdva9ecDRrPDHbKnHZu7wicIJjobpJEfNrDYFNqLTpt9M0O2vexpTjdqXG
Kb/JFt8vvHGQ4bAcAdhVx0JQo7wPXG9hyGGbj57ZpOzmQHy84JgjhuGMrkPnwiqOmz5/oqPFSj7I
mPXlfQicipqMCso5EgLBH9HY/V2iPO8t4XBHb9OEC8Bv+HHokarjad7rIcrMKdJQCIgdSwgZpHXb
rWPUymaSWGsn4JlvkDWYqiqd9rMordgTraD6qZkjA2MoyHdJEz4kvSKtU8cp+VaYbL/BOihFGu0K
AGdAAZMBHZUmN3DLv2K40YyDDuFaw4c5gJRvs2j6nMLaNAG36cgMeGcaSn/77rHTqc7p7NBk/yfo
cehNpVkEmrOHLmxYmwoqAE8ETwqDUwuOQz9wJ+ZzoRb2H43jdksDuft/qTuTLbmNbMv+Sv0Achk6
AzCpgQPeh0fPYJATrCCDRN+aof36t53SK4lMpbRq8lZVDpRiSpEejsbM7r3n7CMku1BfXZUH1DWH
TPXACtW4JC8qsRPuh3+diZSQVO8W7GkWtjIQFBh1SkGbvR6FEcFFCGrGhulMFHsvriTn2nvvWPqz
7dxZ6oNCQMLrlbf9W2XI+kj2ihGW0otvvLZUQ6ir1ZTgolwi6NfKte9Ii7AfmRU7+6zNq2POZHX9
YptcDjnJHtbgrJ+58sHBCRLBzzceRPNpVcdW1PNbogRG6SXTHyFV6Xxv5qZ1Gm3Tw6oeYNIefLP8
lOChbsOir3wReo0pqmga3VZENXGY5W0wDIh1Vptu/87gi710SRGcfYaT0B8IrZ2QBsdTR/9fBxid
YgzImkRxUGREpY7RRP47K3YXyN800P9jes3rB339b7vB/xv+AnqDLsS6/yzFfMoKMq3+3LX8/Ud+
9xb4/wos/6p0lFhHaQ/+n7al7/9LmEJa4t+Ief6/iJD3KHp8Gk1XR8IfTUvvX7jZ0CiBiry2M3Eq
/Le14nc5P1ftN6vF73/+M3jS/NlaIElsIcfC5RiBokT4BGv8LMRkbxX1VFOYOGNqnNZ+KkKiTy8O
AIOTNwPtwnvcRg4H8u3UJvOHbCpAvJiIfjqh08ikj0LTcvQZxiukKSxSjyRFzqDMWn2pQKv8g0Pg
Kgz9Q9H877/v1UDwJy+fayxQPvzFPARZOR0WB61iy/63kXXMuJsuGkI2IkIrXGF/uqV/caXsH+L9
v/voX6wQSDWrlp1lOWQJwKiVTs4tdHR/t3Zzs80Ho4nAdzM4NcnLKCz3br4GoNHBraLAw6mWo8Y4
LGuNI4px64bEJVSnfXqHRhb9fMvVk/Z8V7JPXmJNLnzmNdBc+loc1Jo9tmO+7cuMzpagR0X6Flrz
FgHOa5EZyxot3dTdN2nF8EVXw9Noi4T0Bo4TRQmzpmyt6lQForm4Q5BdeppCn9JhQhZgtM1NZlLS
LxWzu77VW1F/XcZUHNGL70k4MCiLUkq7yRQfnKmZjx5Rr/vSLuFqz0mGQW+gRxIoTTPQGl7bzBXw
cY18h9KcI1ECWqJP3YZc8vyDK+O7YZkeqB579opoKo1XR9XBWRNmelry4KNaLWNPGuO5XxwRLam0
bvI1uVQVtUuLBi3yl5xW45Dt7YlEstH33nTFYBFtRL1hZntiwAwOeFzuZpG6O0UK7BaDoB0aKU27
dpxnoHoMieMyu20gjVOmikOfNM/wlE7xuiCl7NtoRPhhkebW5B39z5g2GM7fHYaUOWoxtu0yUC97
1F/O1pqAzzFwI2ZwEc2WLwa6Jms1lY0Un6ekT7YywRu4oaG0oGrLHqYhsE+8NaQwD+d4ASfp+BZy
ynR+nkdjfMAKzDGscgTS4IFO+dSi2TSegbESJdAn0CjY0dFyNuldMJCdPdp2eYPgBMdJbm6VL2Oi
RqTYa9LJj47T+qFvNekWW3Ub5pl0adm3WTTO9vqMkuNEt2trNOMYjml1XO3ejkqqXUJVeZpnXMA7
TJ90S32IuDatsjO2RIGeUZOYPlZfHK9+1gVnNogee4CAmyD1n4Vgw5E00q2Sa+lyetkAZDtIGwRi
0dleWHuElpSWjw10aJkEx8QQBu7B5W5uOJ7spftS1woRsE2jMHVbxBrlkON7NsgzLnPMJR1KFc/P
9x3yCjg74mwk8LBw6k7RTAGwaVrtnZemLZ7IYTCixfP28+Q8XeWNUeHPEPPJ9caYnt9Kf4aelKKB
0A3tWJ2LOSJ0eG9M/R4vu7HFrPw4WAhL0amhMC2OsM4eM5+RTrfMz3rOyN3IQq3T25FDFtoi8pEJ
g5jVy1p2d15H2oQnhseU1gcFWJHtTC/YAvJ6KzI62zLpL31hQcOrn5XB0XYOdl1afRVmvdUctaLS
o8PKCSUNUYLeAoiCAbiO1D4d0dMwHnvzbvaSUx7XFoJayFMbTuTeLoll3VzNvOoLQyuX616Lp5ng
ToUh59Hg+LGLMxybdTDOTG2SmdCcXlZU/3bwlpZQqQVf6zivMMPCMnAWglswisZdSyMb0k5IiGEZ
zqSbHPo2I0qosIxNO6irl7VwH/zYQnNFzu0lh7l5KAkWOdmsi7QbxAcCaayQ1W86L2IanvsAZsOq
kfDZiSEgA8MbKqn6KTVrT9xANxDHoBv6xy6uhvtpsNtD1lge/Zicf5FeJmJ9tDq67AXjsviuhT/S
W/aydWXxvNS5po7S7A+F80LbknSm1itIUEygJ1o4wAyr7W+tzh9C4VOIaAJINyRSEtVS4KwKlMqO
yXV2nxu92JMWnm09gaAsaJT7WjES8uKV9Q63d7X69CAmP4eeLtdDP3nrxjCb715SH2h46b0rbSsE
N1QcVJB9spEUb50sfvAyGz1wGsNNQCIDOIcsUUB45pGWUn2LuOTxH/axn6eUP3ZQX5rs+zjiiZ7w
frFe+E095bVaEQGNBJGEwrGY7+DcvnYaUcL2HvqzziyeiDrVhwK+0218fbtSWlOIkuPuDLYZn5Nq
kNzn/QPmsQAyUs/Kl5h1fYv3Pz4UJhS2fCyTA923+mDNs9r2SPkiVYtT30FdRJfwHTmdQby5akJI
QQ/8HgZRV+Xb339fDle/Hhh++rq/WPJypywx0LnmgXyG+FH19IYXhk8R2sU1/PuP+tkr+fuV9a7p
Y/yF8LLrP//T2cScKLU0vQBoEN53TRMcu7rz2carGfVu+/r3H2ZfT2a/HEegaP/xaVfC958+zcgQ
4sxNbh3cbLxnEGh/tKt0OOZT8m5myEU6Weh7GqbpydfWetAGgz2rAGroA1a5BPlwyLmTEWX/vpTd
vMvVoE/IbYnfmDEDZhm3sHAnEWEKcSPISfU9mG5gD0WP9Hc2+X9DFkeTz7iZrxt1d92yoe6e//57
/tX9811Y00gqPA69vwzVTcNJTaO4VvxB89BklTzA6doMWer+wwf9wnX57fb9+ZN+OQoXeq5Tkqns
w5gMcOLi4Ju5KqBTjGJIYJdfpIU6cHYx1oOfZB7tQS7/++96vWW/3FJO/KbErOf73Nrrq/unW1pU
kxRgr8yD7EiqL4B7hpVtFRzdpHFPahd5HUNXFv/w2P7VF//pY385U1u6YXFrkJwajntNxXLfvcJk
Z+5jprG0c0/1Mt/G2CnuyVIgQnEi2ubvv/hf/grc5ACvGnB4hO4/f/NSmLNqq8w82BlYH8WWCO/s
gqaDmBkN16Js5R1+As6btvzMqt/t/v4X+ItXFzr5H5//yyoxTAH2qDpxDrocPgMfmG91HdunqpO8
xEbyD77Ma6Xw632W0Hu4x1BJ+O+fvy3IFaPXjS8Orq3yG3Mq4GqoWP9Wiv/H2u4v3hyu5x+f8st3
UjZusdJtnEOlUSxNfEGEVc5WI6X9h9v3V590/SoC5jrV6r8tfG0w1OsqxWGNJ9QZvgn1JTjy3v7D
N/rLx+TPH/TLmkf9MWhMzQ5vJ56YbNJ3OdmmwOL8mHTAwX4qEs1gOLkej2HlUgq0ur38/aPyFyWz
I4SHN90X6Iqo3X++e3E6Tx2jP/uA9qY9rMjHn1vLAXLILPTQ2vOHpg2KKBkxy2TjwvEtSbuQuYbY
eJXxBlEPhh6u7O56uqjPQOE/yt5G2Z9ZL3inmn8omH9AhX9+2KCBMj+FWXX9jd1fHgNCRYq4Wnt+
tWQ445hsNmYqsn2zlhgTjfUyB3LeYps6DIpkw2Qi05Ai1NhlJA1FrluX27Fi6wBFfOSYGm9zlNJV
S02jgA1iDe++t+2UHIEAc4TDymJ6Y0cEvUd5tviI7YwMKO7acLZq4w4Z5TcrEyaIvK4KhRydG6XU
b0ec/7Ee1J9bUP/7/yOFHciUq5H2PzeqPmj91v+v+/7t/ZtKf+pX/faTv/ernH8R1GcJwQlGXuEW
PDG/yew8ek+BTcEQOJZ95VuwQf3OwiDnl06VtHykeb8RL/7oWGE4hmnCT4KMMxmS/F95h3/eIwEr
UEuaDjI7ySiTDJFf9khd60D2gzvu21wHTzgbl7u6wdAU2oCjvxjBWpwnAVzqnzZJ6fy8yl0/GS89
6h9IPNCkOSn8/N4PijJ2dsdxL50h3mW97bZvKEzRSmSj6VSbocWcE2aML17LNkeENzuUoKHvlfaA
12kSci/K1rRCxev+KabNr1GiMTByzCXRod8zgBCqjdOwqEhdPUzWVVCGGgZmOdAupEZt4y9fsLBt
bL30UP4wXH2CwT+/LY0VvFSC0PQtWrrxYUEa0kYFa+E5S8sCcFAbt3k4mrRoasfLoNkwr/er6uxk
0B+nZLegr8f2VX8h/TJMNXk7a2M2kYqbr7C4zRty5fIH5H7ex2CVQOBjg/ihqjVrYGFQnkMShOIP
BmCfHBur0RwXsmDDOl6+eQ0BUghWdqA9rKO25hyLTnrvp4O3G2fkxjVhkqEBnjjLKlQmMM74ttbT
yGgXLZiFPbmrQzfHolVWzQBz0nbuSF1AhovwgAonoTlFbMLUd+4O4ifOIy3qjWwxMvWz9YZ+GlRK
4JyFqyKVliXdnH5fx+UOPSWczZhRc2cTTChxaKgro0rhyQyBwk93Uz90N2Kgn7PGkPNiRgE47Dgc
N1AxQpNAw5BBBjOFKfO2hQ+OXs2x3ms3oaMnlLkDEe0eHcFc3Ritbmv2w4DDRV3bV6kVrvm84mSv
rUMR58OOHGAyM6sCcSiWuYh6KduzuyB5Z4DI8MxMQJrWhvPemmNyGBwGG54hjdsVo+rRbLrscVlL
VUS1g6k9wWOUb8imu8Zi54LgB8b1VRI5vudQr/kMWLeT7ag3lFNFg4+V0UxIzJn3KRkc/8LM3PwC
erp6196Se+geWtfG/IZdPGmKGzETn8EBUWS3uRV0pMxjyxCOcSIloj2la9V8rGg4c63zntgssep0
3fbulBGjC1NLbuDMSomhQTb3FcGz17ha96qybArUFZXlYhABbRVSZZATpCpzP8OBrvaFkfpPlWv0
XWTQI4s6SV7IFti2FpvVk/5F9DaiFFQK44NF3uDOSdIlOSVJi56mE533SWmfFKwYkdtt59l0DzpE
fo/L5IsjVfpch5IMmRsCEaxjQTRJi17NT5jilM5z0/foF2EC4mBy/aucFfPXxOxYtqRpVc34Aq/c
TYF0eSh+5Gxd0zKdftr67pR0p2XS5rcG2vdeQv59Key0G/YaMhl1MLGVO8e2ln5jqw6mwwa8n/Ho
Sz3tECqs50JhV2eGZqFFr5mQg+guiUwaLPSam6wjJ6oV5q7lPzaRypn3OKyoEvn96FaWq3EXO8u7
TIovqkpvzDHft8JwdsOC6qMarfIwgo28g4CdRZ2DYkIDTSUJr7gJdAY12zQQYwiMRdVq6EPedre1
XNV9l4v3tGAs1jc9YYGaYl+A6rnUnlfsrIRvBEK33SWVl93T3tD72VD+eVhna0scTfNllT2MNMZt
t2LJ8f1XIMJvYkV+RVXRcdgwK87ONBTBEuQg12KiW5aRgIvFBTmJRP9EMk15BvdLB6ya6w1TYW1H
Jmlj8lvXLFdjlEfcdejXRsV7abyStAGYSikyhU33A0lfkFohzz7AvBTdJs1i/zoiG0/rsH5r7Y71
g3Grc50mx1FgLd5ltJ3QdYrVRlsJ8HSqkgzxUVrdGwKXGB6WAacAAc6PAAAK+3mE6A9seyn0sUi6
8as2Kqj5BNIXVyZqA3tOL3d+P6bhohuLyF17hrvqxj1NkTH54o+5ioza9Q+2z/kLhYEISS7jasyW
9QFEYUrrUaC2BaoYLkQfHJOpuAWDozCpxYehtKqQaPIT81lcQ5ZMT4N0v7M7ZbeIHdp92XdJvpE8
KeoI7mYOOZ7RDSaVm6l3pmjmRMbS9e/MF9AikxErboAFYo2x0NGqbdqTsrrBsJJc5nR8zJak+Iil
k2wTz/a/idQc9ktmz8zUeWH2bjdiFm5bmTvbcRz9204X1YvHfQrH2WQuUpJwhl/PuVdzF3+Bx2s6
T6qrWGb1Wqc6ajRiZapRHCtU3ggxaK7BDC3afr0kGZmh+SC+tEwadqQQrfvSMsezlwXR3NevBsrG
6upAtmj/KmROTFKlbQIbvLa96JH76A27TD9PheVAoIe0e+spD/H1IntSOkdmK4tfP8Q2+my8Mn1E
rWrclxrgw2wwZC1UHBLetBMMlFEJX3WvXYIcLDni7gNW5zv9OUfYZLj9SB89S/gK6SUYxXvnzYxb
LOc4KdqSHN+XY7YGBJkzlj4YBgHEGSkNkWWVGIbLebsOvbv3xwS/Mrkl0Zricm3SGQO5m7wkdpBs
Oz3xAMQTyzPCm82kHUWsrbGmj9XcLlcn4w5y0pZGirnTy2DBuQS7VhraRGHsZe9zQnB6PIz6Uiqf
FB3DhHY4z7ieFJqIROEHbz3Ix9yhactZ0A4VLXgmCusHgPNcyOoH/oMLW3Z1fMG4Roqmaj9MLmMM
cLz9QQc43zlqMB6Svd439AT2rEA+7fUWG0LRy60A1hHhf5cHmUOLRRN9r4yF17eynLuZ+y6mEq2I
1Y+zs4dkkm0L2uD7nhBUapDe5oXPHPfMcUFBYrre1DRwgY6rTN2D2wy2uQmjf9vU8fQJS0f56OmV
7mZQFt/V7Erm/xXwjjGYPuYYDSMGAM24m1zRIPBHrhAlnoi/i3QdDtJdfNJjSwuHb87Q0Rh9N0OO
aab3iQG6LCySUZwkHdT9bOX2G9Hd3c0oLKiggabuB/YRZFxvS56SoCJjdYSackrIboEiYbpn4Y/m
M8qv+FupYjr/LcEIe7+H0sXCZMbHXIOQTrjUwMznK8bTNrITrwoTSkEIUbIHzFLsK2GZL1CiAuSO
DvCPapmJGLHK5H0oakEOBqyPhptQV/e42oxnWtj5IUvVciYdeN3XpA28OpjIz0MHswF1iYQCy5Bm
R9h4AHJLEFmyJV54fS7yZfk25LLiNfWL4rHHJvEYwB7pwiKTacTRdggnjva7nKiYF39pxG2c1vUp
jU2xX1B54nddPPz+PAfJa+Z0TlRVogQ4YMzP41Q5h7HOxgcjsDWnSQktCN7XBVWZeSbg13s1UFRS
cnfNq+3ER5oejJ90ctv7ubyx/MQgvMtwR8lz5uDBzVJ006x4wDKtNSP+1F6xKff9vjEsDjxTTJKn
11FZbAaF/X5TglqCbu/G1W0ceOk+gPfCvLHmwFgt+lFqYz16Lb9BDXz5A4om7GtNr+1nJFYy2a6G
lZv3bBHsb2SmjgsLmCkjYuGu3GBoMAE4jZ2063WHQbK7HXChhV4ZvOWQa5hVkDxFXt2yt8Dk7Tp4
GO8cWqBuwHMAkE1qZrIZ5qXeVzhTj203qk+8tOujEShOm+5ck/bIh/iGsLa55xdbtyKBRwIYum/m
3rqdlBjnt8a2ZggCc9aVT+BvE4/KfYW40g0UeLBBk3zCbNrP4EotWOsbb9DAj6Q/MrolPvSxcqbk
eW7N7DtpItaeoRXy15UYg/3QC/XQLpb5aWgC53kgt4Ismt7Cy7gmGDfzLKufkspI3+cJCK4hHfut
cywNva7LMm5HK+dHwQH1W2836ymZGnReVTaTitKbrBVrB4yYO2qyqrm6S7D0FyzZvbIHNIqVeCti
z2EMLWT/7FeO1Ldx0zn2ds0nq95e4WzbpEKXOUK3NkPfTcgJAJTuITYczCU7tiQMzNGQGNBBBlf1
9NIWScpywdtLQp1vRg374ZmssWvahd21iGK9FCqAgS6fkT1IcP6Cdb8Z2+TYNYP9qVxBItcEfr20
6ADekGdW0Kza7rF3nYfMYPI+lypqge6f9ZLYUcJziEpLirfcS6fPSR3kR4n58SVfR+PVbBvX38pg
cT7BQ5pPo55AKQaYoa3Vlg+J48OkMJM5Jgal3HYL+D5O1OnNbDnToVPDehi4hG+jl4xkwRvy3knb
flcZpIEiYbrLvHw5EdZnRsM45I81YYGXQNtDsXEDDdkFYBMJB36HDMMrEaQ2/dqz4njxJUn9z+Dp
35Hxzw9DK2J06l1PdglqXGuD1i34DgrCC9OhynaOJRNG+lb60vvB8HHKeXNKo9Yf8zJJoniW9gUq
X3PK4Cw9FI3zPXGYStPqCx47jrP3ZUUHaibA6ZtjA2EgwsU6MFCWzysU39OaCLGF1DG9FKZNxAig
i1sVu/l9Q5Nsu/SdqreV2eqbOXZAKWPjOcqkSh9GGgCR3WZNC39oau8J4C2/dIvlPKRVrXfLin5Z
+U1/N5KScWy87uMg5owxum9BpspIPidrCkV+fw0yKAa9vqWyJLxhHq6JQDZnIOBbryP8pcs40sUo
ZRG8Zl4Xf44z1nwEx+oocVU9Lgk674yz2C3oefLw6BxfBiidT5pTXoH1HA7Mip/mhBcSipLikR8V
6z0hUMPnLOvrbbzq7G2RvuWCoqGkNuvRu/gexRo9O94uYtcY++AwwgbNnuJP+NFh3hDvEBe7tU3z
S43Q4qWErXhy2zh/MRqeK5XKikqQDGP/6mKvUtu89wJhneIrj8oYh/KZyATrkhpV/d2ZZqBAaKQt
bCq5vhUVe95moen+DracCmvoq/4sEoW5d8WUcTB40EwCAUdizbUuMNkh7kgivPztRz23XUDdNZtP
hbu0z15vqbecyOx54/0Q7M9BV78qYDZvkxbXzivyz/yscHbdr6x+L+sPuX/+Q/qPd9PpUXvg5Un0
RH2F3MT+MspavjRWtYaF5zVvaIDbiDBo7yPoaeL/iHm5STipoYVn7eAXyquoqDG2ZNfsxMBg9TZl
j+uBbEPE6Gq8rMWo34ZqGM/m1dmgLD/eEv1WHmhj43u4OiCUz4LRJBmgdI/RR1JUxqNbFm6YI2/a
mF6oWeKZTTVN/Q75VM63yJ5T92BIYgpdlISkkkyJ+VL/cGC0xZx9H4Xj75DoL1sIabPcxCuKjk1T
L8vHghoyStDcHpSXYULhyyecCX64PKxUOdWOU0B/s4gx/WQFmfnsEeAJVAY9Au0f1Twuja9mGkFJ
/eJU3Xf1w0PSeUv9tqIT/t5wBgXvY7AMxcZKFE/XRO5oGHuJF6VIaGwRx4T5acGJ5EIZZWsOJ60B
bV3NLBzGXlhkmhMIgScRT9Y+GTLjnFzNL2AukV0FpRsZElv+QNRpOvgEbCrnLrbj6kYkDJc3tnN1
1cxxcXR1XZ/hxMgjGDAeB5x17mmt+gE0Qmpft6lqVzSwpQO62GxVijfNWM/zsPiXLFnSiKYHxOwg
Fl9SHp8vrSmQwhc4zfn5sjvLVLiXkQpqJ0tbP+aLd4/0wNyzN0+PRWzUmDVMnOeD4aKlMgjawEfZ
37mWuLv2hD4JGEz4ENqJIWth1PkdJ7tr+jnr1SXFeEy3izAmLH6pk4SApHDnefPq0H9bCbolfeQF
Vk4pN8HUyweOBqUTFmkR31l5Bq9o8tRBE/Yc5thnIhuz7YaABN7LkrQGXYI522lCGms2vaY/Oz29
xNAZLAC6yWjtVN+qT/liiwvumUIBFUF0ogh3e7CzobuA18WWCAXtPjWFfRHE/NA4CxrvPOCaPoAK
zU8W1t0zjsr2nJHS9yjNst3VjD6TyKp5TxeyEe9orim9ZT7Gkcb3UGB3o7FMhJC1+TZxlq/BCgAJ
65cdrokl3o2V9KcxXuMnycq0kd6AbaFriU2Rq0/mZz4ku94V691V0bFPLa/pgOJX/mUmP/RhNWbA
AqT/8I8MNC0SitbbPJbeqXXb/ANMAlbBucEEaNkS3R3NK4bARqvuqAmsF5kuThMJQZBq6zkHW7GZ
6QbrGNA6yj0MD71lfPD1qDb5MjF/WaqEu4nma5vP5fzgxVYZdotvHHUpWwK+iBxfjLr7LJhpRQZ6
zEhVjNrXQJFoTFqaWXV3o2j0ri8wpJlkOywb/uiCacBYUM7etEOgh168TvN2IXWd2aJjp7zjSL2w
RPgLzPyi6002HohYZhmoFzxY5gtSBVIxhyVPN3Su1iQcJUmwXomTZeMwGXouMNOKHbPZeYlWb8zr
HamxojmPIEZoybaNxXNL8wPbWJEYHxHGqJMvMGfhbKI5QNxEPj6uS9pn58aT2VNKUgT0jcCg2buC
DCUPq8uG77lXrXuSDOTnwlrloz8Hjbnz6tIgkTWXuERcuE90QjoCZiBASAv3GgOwR4WctginIIPU
VfhB+3FwbIIWDbGsmFAn4Rznqxb6tNLqf86ctX7tCBfdG3nd3c2DfcWEup16QFyOjceC73nfTjTi
7NGpwLHrT66ZtYjUgWDDoww+G42d7toFkWtme/ZJ+Vb1kqtcExDhz90O9yHCytosaaToI1dh3SoY
AbCBrspMF0HDk9bjHEFWW59pX7onv7O8e3uRtBjyCYZYglVEofa0/Xe6Bqj3ktrCPSR6RgdknxgO
NvSpP9BDvmZaJs38mvmSDYIW6nLRleNth/Qha71hiJJaBs+FjuubBEu8U8i+iCzchJfYYic4QN5s
CbVacZP5ZAo2YbrMgyKEHlPJhq4zoq7WtudNOy1lEAEtwyykbTq10dj4dRHZdgOSZlms+9IJ9IO9
WOtHGufTgyGHegHVUe4z7Lh7rVr7g10U853dEnmUESErdg1kskjht7mDJL9Ql0++/KzbIv2UzbI8
a2aY971hFR0tSDN1zh0J3IJbgBxhk0JhB9nHKSvUnjG+LhiFaP9zuN6l7pxj/MnmuznoIfN4ThHU
YcGFeGjynmDDpCULIDZTbwgzxzSfkphGL7NLQVZK5oFlNmIK6ECuLtupckNCjCik5sp2b/vGVI9d
0ohHa7Lru8Vwiatb8DB8WrGm3so1J7VzJIfjIpSBhSGrVV4fMt2ZHyRRDucM6T2szy4TDFIH+p9Y
gCvvlC9G/DUrqvWtDXh5tlPKgY1Eq+7qPiOVPJILkbr7tR/LjzxtCDfrMmMnoOs53ylhx18nA3Fm
avESuSb/kkeW39E29XoB8uad0jQGC9VV6szazgakAvGunKFPo6Bh50PtaXyQRtY+zLL3TjMMgRtn
0iPS0HT4rgYn20se244Z/1W+3Ol5/ibzuIr6coioIco8JHCkPoCW8k7IH6po9JryycFXdCLX096s
pCG913lnt+GK/WXflqI+5I4319GckDpktri9t4Dtm0dKJLrfba0+FKPtPxAnW35dW897Wq2ev/Ss
QyoZO5KwGEP3BGYy7sg8ZZw0SJrtwDV8qielv7IDVRjnQb0+G6tpx2Fd9Va2bVR6P1SeemxQhzE9
YG2pN87gODA+tb6vbK88tyY/ZMYNioJVevdyJkByI5Zq+IxgEbeMMEfr4g/QNGOPqgTExFQ+Qh0o
gEcGudU+xXGzPmDH4I5wuMHVnckHhlv1EcFL+qgw54ZWMbv4kjtKDafpt31vpps1neK7alzkiR9L
IOF0xpcZX1/IH1/TeCy2ZtZgIyFQ63YgGfR+mav3znSjqhiSsEsbfL95sFykXqqnbLKnfd94TZin
wdOCy25byJK0RUnr8qjJVsxhlaISzy0hn+3pmnInPV6e5erpK3mvNz1Ax91I+cqEZqDDYWRVfCTz
WX/20kbex0Igw3fsuX90ONBTCZQuEXY+4I8Nkuv2lI2uDcEnSBSulrm/Ybr6tUH3Wmxardy7NLG8
yyQb52GmnfG5JgsBKD2OTYKZBsY36cDTNIlrEMwc3zdZ7YeJoKdQ9IP1vQWoCfMOnSkyykbBM6Xt
3l9hbtNSgY61kvNgePVHG+I8h86AI0tKh7MwLQKeHaYtyJvN9oV5qj5WXN9t2oHuJ0jJj5D52Vt/
IQtyL2zXYTdNZoZWWlefpR2rC7PDYVvKxf8+qhpitVGU9IJN/5MgkaXfLEPpGyFuqOAqq+Mg6+XM
rex1oIKxzHQ6K0vRyqk6ZO1Mc2j3tu5b6zq1E6ZATI4orngi6ZFkmPHR0uJ1Y5ELvK6dSYtKn9ya
mQ8IhumZJEvnvZmW+QsMaP2MQ34g56uYr+t/XA83MsjJs1zBO3zuCuaX5DZT9NAi5WiyVtR4sEBZ
jMfB95jDFNpmoyl0epkMIb6UNkgxzB8IORm+sHEtdSCPMf5HYJU2Ikr2YLDBLWjqxdUJO1edNMde
ua2DXN6C5pvH5fIRuKfF3CYNdpbVsufXXaq3eFebOGxiy4gj7WXrZchQLnNERfTmBVKdklkRuOoW
i/cVJ3hGL08w8cNw2bBbWVmL2t8MFrCN1dXbRKMNNXqesovBwSL1aSPlYHc3wTzzMSCdkkOsAF0R
V+SYH8qxZ45i1QX4D29uNjo2jCNN9sqL3F5d/4eJl24Tk8X5gZktSdkTA1EvrGrXfe+AwxL4Zjto
ElEjryXb5SZ22dqPWlRmEXnWOr/SbwZ2BaP1GV8BsBpfw+VNglmHDvPB7ZSJIpqzUqB0G633wmmu
m1iJoysuYBE45jDGOxcVQRjQHD6vlTBPqN/n20Uw8bbNa5O8Ssmb7HprC+/d5M0aoaPl04Nj0BlN
1UR1TVonh/DTEtclfunawAdpqmhauvGb2br5ZeA4cQv9jfVrBRXokQp+A4zcCuORv8Nch9YH3oV4
FUaXgdZNCRHuJ2vbaEE6I4FOBDDb7n+xdybLkRtZFv2Vtt5DBjjgDmDRm0DMZHCeMjcwJgfMk2PG
1/cJqbpKotQp616XFmVS0TLBABDuz9+799zuJe7r5VYPQ3lZYYthjI7+yyF69pBbrvlGnBhW2NrT
l0WPOgtUXKqDOhmTNQCY5Q0vX7yP4Csd9FLhRu3BMIxVH8nfhH7/1gY9/Dwkx0a5gqDlf9cGPX+0
3X+sPsroNf+DMui3P/ebMsg3fzGRGBGS47oWlK1/peR4krwb30YV41vozBAI/VMZJNxfUGG4pg/z
3xesLPzofwBcFqkCSI3QQbq/pqb8n5RBf9Rwuo6iwvfJTSBCiQwDpb6oKt0zUD9nPL/TcZ/hI09B
HEfQk2UCXLcr58Pvbs/Nbwq6P1jnzrLYfwnrfr0eRaFwXJc7gpHuizIZM34ITdKnN4pzdheJLD33
G5vbwSqJlZ/peRXhwhyMtrnZMtQYGL8Ak+/pNoV5wFpiU9nAxPkbMeav+sOvv5fwMPPh6yMxzv2i
UzqfcLG+F96O7vr3ruT3QJnuEQAj96BWjz4IBejFNiCoJJ/W8XySujePP785PNM/3RubDBzQDQqN
1letFMdSFU5p7+1quvM7Jj3h0aNmefj5Vf7iiRMShBPdtbHQ2f7557/TS7vcZBb71IMCjH8oG589
tE37kaiEVTNiMPv51f7iM0mbHgtPnMwKXqQ/Xk0LbZlT6vk7vwRtPHlnV0iPTf3nV/mqMuMtBqTh
+T49fN5h8eWtEmFmNaMM3Z2MCz5GRtMD5P8dJLO3n1/oL26eDywPvxGfB6nflwtJY+GOnl/fkOyF
VWGkn8hzmNLB8yGn4Or/cTGi1nG0giKS5peLTb1TVW7rEPdjQ07OPYuh7sD2VSwItqZU7X9+uV9z
or58BxAuorhyWBFYp748q8TynEW7EWhdw8lWeoABNbqheZeDtj5gBM/WNQ3TbUylsV+q9AyGLsIf
dOsAsJXMk2j/6p1dFsPaRoZvYYdCUahsj3wjSb3dgQ6p115con3q05L9r2BvXwHoi4dVNTZjUHcL
UxKZKvCoqbrVRaFvf/4Z/+p7jqxX4Q+lafvn93GEPjMCRHZ3URmLQyoN7zAPErP4IB+NuQRpELaQ
QKNP145rduJMPIxMgP7mVv/V++q7jnB8dnHJDPnLtyKdnVKGub8jj4v2ioO6xFTQ2kwajD//wH++
ko/umvOqZ3uYpb4+07imnGEcASOQVIVg6j36alXxvY2ZZv78SmT4/vnbwWTCtMwzMBLuza8//93S
0hSWbbiiBbBFZbbJBiPZa1b8G85I050yeBFE0z1wmimw/naMOzrPBJ9CjgQermoa96AW8x3Ow/NU
qJfqvucQ9CrpCOwZPXR5YAOZuMc361zSA6ouMsyhu1LDGFvVpC9O29zzJSNXUHJm4fYHE2Levo4d
RfeeATAhtc1a60ZsbKl9Jm+9SZi4jCoZ7sZOQGEqLNCPcSqvS2lNSJniVoFCnwQnci+5Ds0ifUVW
UBwcVA6bc8T3Hko9HP2hcQ+EpLkvCUk216Pggy8tmiIjZPwNy1vRzxPhyQJM7HNS2ORhXdDWT3Bt
ANlAKtLXD47Q9Yvoy/rVIyKe1LgGwkM8N5y9q7HduOUwn/HuwBzMLr03zLq59syC3MeJ2fkafxFj
w2m0m5d6GsITCqnwKfaXZDcUjfemxnNtHpr2t8xIn8tc+GgFjEpdpB3AWYiuV24Rr+nl7m3HKPbl
YMH00UMk7tD2krJgx8q7MB27vV4G+kdR16hd22gCQWkFB97AaSjMG1quC+Sx41AlE90BJnWXPh1s
1HYZQxsUISEBQD0F8S5vxuGDkol7QifoMiamAOx/byFxCkNumY29u6mclryWcngiCimljSXrluGL
Nv0nyra5O09rOjRdhUP+DHqMsUGNqZV0LptBFZuqMUMcwxEqXlJo2fqZF9CmX6WEV/TrbCCAWES+
3pYez1u0A7dvMFr5CrJvBMjjoxuBtZtsnFrKb3Et5gsIA843FIjE3HhmFl8PUQM/3cMqAIuuN1s0
LWE7sXI6s2aUXYz+EyOHLn/CblzSjzLTt0amfAY3lLzxPlq1+5zeKyLBeKw3MSXOsSBICRmX+7lE
zMTItiOoeG0Cgkl3nqgxcaU4ii9FVjTHRXWqWuPon/kKRTT1GPLuxEKBs2I9KH4oWw4+tg6kUL6j
m4P24YHYUdbvh9CcTopk3mSVOpG/qxgz6cDMimLtleFV1k8RLhv4QiuaN/y+8Yh0gKYh0uigQBTn
rwwjWS7FqAHqWc0RndAZ31EW93Y50iZI5u2EWOtBmP60YaTcbVt+t/1oVNHWbwBpepLwmqaaIB+p
ifcjZ7Dnr+K8V1uXtI4nelfuhT03HyhRmk3S64T6tGm++6HPEAEse3MwLMTFykhFkAlQyitrYSxk
oJ9dY/bi7qPgoctEkHk8zYzQSk07yyGVBJ9S8QpbPL1KS2vce7YO3zN7kSEkk3GEhWUi0+IREwNv
m/s0MfLNiLd/Z0zswpSi+m1gcHkr/Hbe+6NR7HRLpGIjImvrmaDnCgEmfaBAnBbLuYBpnW6mM/dR
96mzGupjJBOPIarXdLhfRywEBAUD0AsfER7RpNVWdG3AkbxAN+u/0pi2SVKQ3YYhvi1XOtTktZY6
3AtTVnjjO1gskr629Ayo3BmpVqqmOKbFHF9E9fDiecD9vcqkvy+ZbGJI7kEKLuWpy1HjBrUzLuuq
TByglRr6qmvQjHT6lAF8QeFty+WqtZt4M6Tuci8atz2B6kp+TAkrroksJ2CbTzCxZ9NNO1TjIaUn
8VLTZwKMtviPqnEQ9OvZWJezi+TQT1965atd1RbTGRsE5opGWF7cIYUC5hYXpAP2NkrjLCVfBNMA
aZXGtrLV+AFvo6OFUdOh5LtmWC9Mp+2Tk7enMQSK49UpeQajOQfCma1LyElOhLomzrc6dznw59W4
rfBZIggnxCVFfbyi4TUAMqvLZKsdtwVBT48kLY3PiSimYnTlA0XSsuuJJziPHZ5GhdbKwodIjm5l
nZyyIz1MX9opnXoXJkSwsIITeVG+WhWSN7Tbk63xAkZRBR63A3EFey9OFmcziZFGRD/aV83Yh3el
SSqDG0boxjzn5FRoAfwz8g9S5ATirW++hz6pXS4gx0DNyw2TNW+bjgigVwrJz0vpMhOz8mjeonuA
NOiZDKQDpwQ0RLJiWT9Sl023okzsfU4LbqcTMpgsFpsrmvZwZhvDv4/5vN80eULYzadcczdUQapF
S8MBpUPeE/eD7jQ0N9Dos2GjCEvy4TMv7k0OchzJOovX8xDr9gfARhyYjevr/hAxJPEIcSGtumuX
zxnlNTFWZ7mF278yV64O/HXLqvMmwiMd7QSYaEgYn/M71v61yeJD+oHZ7JYUrSiZstk3qCXNEZ00
zfseqzlBTTQP8ygmaQsVo6WwtGWjvtBLOF0jKH4a8E2tSZ94tCECBzab/I1Cd7FtkUdkzHctBJWh
GnlzszYPFtdp7oUy790ELH5V44Xz0Tjuu5YB7DS3uAJJbDz0gORY5fsSVbrkpRiIAdiRj6F2LCkG
EQKQ6EbwtZdzV4ib/szZL824/FZ5TrtpHLkJUQdflJrVYoJx/cmGRCOZNvgeO+DwGBGaXALSlOMH
sc1grCqzLNapbskTAu1IzSjnrWF4FTC4isy6pP2shCCXivSRe9vyQZKY802iQbXPi5RgA2zabMRT
DE8Y6aNPuWR6E/Nsrhv6tAdXNiERnb6+WwA0bdsifCekvb8ihi3a5glKReWlSNqztM/20wAICuY1
UhOod0i5zFvIyR6ghVhsSVQiVimUDq1/JyqPqeRN8CZhbi2771ZIOZdtNSXZBVRNRkYwV5IxYJYM
c1timRGTyC9gMmTdtuy4I75K811Y+tbBoTm/IujiInP6l1lP1Wmqpqspr9p3WdT9ZVPb9focm8CU
Vlz1EBw2fti2r3arJDLOZjgUct5llfGEuQadfg86boPQtjxW4G03cT3hh+lV8Ti1U3eFE4HeNZvg
fqrB9syFfnTqGDYasvp14w/6vSnHhZ2booB2apXALY7GdS1Ym7NKRVegnaNbayjLgMmlWnmFgDlp
mzBDaWQMN7TJn+u57EDa9JexGAiCn8dNFbNuoyCoN3k/rXXFQGw1VMsO9RVSU0azLXOck1gYGogk
SW4p7CXwxTRczwsmmFVpe6Axp/KpTQ3CQNxyM2TmW6mSfT9a3YH5NLM8JnGoCVwEw0hD2PsmvLvk
myKnOMe9Iu2vpLslrhYUXl0b3tGvcB4JO0GDkD8ME54AsOUItUcJUSuqd5Ty2caLUFCrOAWvx7x6
Z3P9lS7kW9fI8MUtSM2oyZg0x1mhGcRTXzePc9d6K3Bkx87on7xUDDcxQBpu7Te/A+hux8YboMon
YWcnEi7vo4EdKimsa6b0H1H2oUdv2CFu7FdmEj0Q0RCviqZGd+BeJtI6GWIh8Mbt28tcG5eaNwiN
qp8BwLYZoUxuuo2Q+bNLITith52tmuJ5sd9pxeVbTzRWYI1pEeRwO1a9nKHJFm3y0FcJsOC2fCQR
4UmRD6Ka5jWrw+9TJS9j0GOOkN1Fiwwq6HPNWLeIH2Ph74HlPgC4AI7dHBje5gHRule2IhfaFDgz
VD0wd2N2vupS+GPCANriSPoXcSMwLo3NdlT5Xcq36sC44wdth4MCTm14jVwhbWXMPRDhlcbhXlli
uC6JQb+ea7f96PLcp2kmD0hniqOfSLUdQnLOijH8gZqfgznH/YeuQZl7PuTzlTWkeosXq94WrROQ
aya32jfz45zheRUhxApKKdWgiUDaEudejz+kTNeehZrAL8uTcJhotOVErVKTTHHO7YH9wRGhHWGy
9NKghuEDpwJTzkTczspznBLDHM+bc2u1Gg33HsrCtWOPSaCE/j4Uy7btqPNLRfVZZEjdSIdZWXVE
QW/7d/Fin+w0fO7m8oroTAemEM+dwCKTwWWuD3G81Gz65aPZOVOgAVbio6tfUtCBaxwGNQD7H67h
PKucNKhFs2fPdctD09lTLez+Zs6H4mmiGQqRQubASSJrD28cdn8IrLBuIKImQ9/tYifGx0hD5OiW
5wmWC2GzKUZqW1d/LxlH7Egb5pOaSICLdLiWFlFASKDQ98Lo+XTn2L5mMkl1p+x8O6MM2RpMO9Zz
Zp5KzizblPPPcSxDiiNMg1LoG3iPaiVrr3mJa0Puyjjsd7RY7kHxV1jisNUM0RXWte66bQwklKwd
G5jK6lT5AmMj4TLJLkFUf7UIbH8a1/LWRCZJ9a+f7QzJRY8xeivgGJzxvKggRzU9CKPk6FLizhw1
+gMYz9XbxIc6utrN12rikQqrr/ciNvod+615VTcxBhvsaTAB9uW8pBsIO+JkkqK1iRjgnzJQbk+t
Vaknb5If4WQJXBvlsItz23zG4tbtSSow7ut60D9G3u2bTiMOwCIDl8m2jR2O6mE3FVNMgBuCM9m3
xcahjbNGQAw0vAH+hLQTyyF1X+s+EhYWGH3U2VvTArpJRSa9ILdbNO19XPeHtsBvjmL929xQKqJf
zd7IJysJ1LLmINaUQt1Z7uQjHqNXnVIrpSZuhqaUzO+UOta6m78RmrPmwKQ2OV/fLbrq/hA6qb0Z
U4Q6uoimm4TpMdViBizOBROG9+o2phEVDAVPHOCLvyfawdpO9FIy4PU9HLAWutyk9QG+/Qbk8rT1
+aJzlkLuiTllQAQOGQf2VHHygWVRxuakTGbWiP4hjA/1Mmh0dELtiryTF1znDPrNiJqSgjTCbPSO
EDhDei4Vs9aEap4D2P3YChv4NaJuNXUEQdrji5WRgOUu+amZ4vA5T5Z3juP6zh8bkmUibSAJMXri
vzI9XBhm+yiEfOay7REg8yFWpO60MeVwCxQ30CEtN4HngnjYRsdXwjToDZXozjdFb9ILKgziIYoE
tKVHPiyCzXor4yqMthz6nOc+Yl7NK1g/DynbdMgMd+UB8yUMAApwMKeqvKVXUT7WxugD24rr1zSL
7btkSMwb0TT2Jp45GiJ1S/RNJvwfTV74d/Tjzu57PECFU4PXDhfEGQSX0GDqXeBwpb5EGJptlD8h
nZvQ8NRNqHBHVMXOQDsbIDovV7ZrJcc5RlVDwkPlrjyA7kFaLt/H1jH3EZG1L3EF5y5PU02HQ/1g
kppSHPgzgT5WtGF8W5+hdkC3hzm5ZDyZEudppwdev1vfUTUcpjJq9hPzv0uY5tiHqyohAmUAgmqg
SV0uANNDxXfgFd/Oqem8D/CexdFASkJOImazwFaL+4KR2sw2zuhOcqP7OPnE0aDdwK7ntL6Mo25+
WArMgkFuGjrckNXUORCLdf4yKtlv0BZy0lu65QECDLKUIWd3nDOHDEl5n6qeNdPX0FPDJt6i8z+H
ABGZYpaqDYiGlo9hBsmhG648ALXH3EW/UGXsHXxX8+VU6gLH0Rlus3LIpEQbx/B7xaC3euJC+pEY
sOqF5Gb72qqKK3Ios21a1u6ljH1ri80qZpnzupLEkto+drIQm8XB2rgmBDjcQ9oeHsdmXu6zcGge
SGBwTiasPyBSQOTM0pgBmKR02du8zvfQoCfNpZOesJBwUcRxWKyJZ3/QCkuvVyAyxIUduefsPUSS
zsqJjZTIPRzvjRvRS5+bLFxnGZsBxo8exrFq2pyB9Vi/IliHA8czyR5c1p+rvvD6D11Ko1iFHCZ3
Pbfau2T/jrNtIvRdKInKsbI75fnFzh/iKZD0L1c18dKnUfY3ToSkhU4OYWjhANN2IIP5LDtKwhEA
bMjCyxxhi4aWyX+Gr9YF+1onaR30ZHMgKcQ+OWWyXg1+k50kWiayFNontyGuiawv4HZtUatXxVFq
7w9IKzQJBZvRR77nLl1/x5Ey5PtfgL7Gsgwotua36uKXcWb3E7KfNoaVmTtaH+9Li4WvnIZlVS0j
nLF434wdqptyRifqheZNe2aN2eSkr8qeBLE8QSdadmVOqkTWHG0vwTpU9hvkmcfQwV0d8LYAhKQr
TK5s2J/cNhU/pgrsyLpIi8KiBp/dHSxbEjVC4NsXjqv7neuC42fxMr13xA/+Dodv/Uz7o74tvba7
i0avewG/k15z5zkX07rbWoN2r6nlxrPx2dsWfPvW5iA+ujjSe3+xpmtJEnC4whsX/qAHS4VPv7y+
KO0IM7TDmkeQYeu67hYn2TlDJ2oADWSEiXWf0N6saYM3diFjbJwYOxayRK7Q2rX/yF7akwYCihsp
5ExkIQeOUC8HkutqXL6FyUjV6zCDkb9w6qAbPmZqCDdW7DWXbaTGdWieJy5hYnyf6/qcP0uwMVxE
Vv6xvZPkKO7AE5jXtEVc/urWp33R0tGTLlKtrU8t66NdaER+XWcs08QMr5j0wCzQ5RrpynAd5vm6
a1MiUu10wwkIJL6uP/tFP5bd5D8CZCzZdiPc8ei+2mLtWgtEuOl5aYE4O7Cmtzgo1kab4QivQeZV
c5Ico4qeEAOdQ5QnxlM7GsnaT+hd0nbH2hWThUYyK4a32AE0wKmrgRy/90yfw+zgGDReYm0fqGAJ
f0h0oZat2bErQmPz6pbWzoi+UXtdunLwGSOcNpBOrZiqGFckSc/V1jQK+jh0NOJ7BKvygqKvOohU
VRvk9vW9GuaiIshTWe2qLlqm1DQ8FGF4vehuWhtjKwuYrR7MqG72Oos4RGpOK9XaDh19xOREht1s
ztM281oQjRFtTXN01Qufa9miRQOV0PQSgP8yIIfixJKjHYsw1FhLY7/PoqHoxbhCaqFfwsmgs1g/
evN5sUQCSAs5s0P701EZErMRm+IuZYbA9ka/5BmFlPvSzbF7qdO5OuH/de8YfLoHJWz70ZQgANZK
GnFKVe2MaGrz1v8GoKY6W3yK8oBCuIO25ZjgbxZF066XBd+tdMBYsTaAdH+gy7IfURmbT6GZ1p+Z
W+Im6Py2uMaRj+xZY4gnwsV3sncchuYhnJDVQiFN7hNiryIYeUbLvlOp77PruNcIy/MfObC8c+RI
dN1PlYNOx0Zt2/ZR8ZpKfznWxN+hvh192hC5wYEJ7Snkeh+X172P06vG4O1Yry0yq/2ou4G0ei9W
N5kJ3JEU0Ta6MRaH3m5sbEVM4IrZ+t1nVYrqiSFS+ExEbvXN4Lu/MVrufMrtzLAYuQRrlsnyHM5V
/FJiM45WQNq7b0Ib6pUusPM9J6wkIGYMCcFZM+20lPCLjb6n5BU51objsKVU6aZAAP8pFo8UPvo2
QQk1b9Wi0S6CuSntJwPx0sGezPmkx9H/lqJnCky3rZBYeslR0WZWzDG6eltXOnxdaLLwBajy5ptH
QvRxodamqF5yUt4pAJHEFS3ZYoN8YPMqP4ayr27w5pg7hg0GGjIJjJUyLyXy2vie0O5BiI+Mgt6N
ibYWuMZuiLL0Ch0HQjeW/WZjIzK7YVzWccqL6HfJJKcoKUVR388teRXk3ub4nmZJE9IhVeIkujE/
OOPsHc7cjWOCcus9pUgjDgo2QROklotPRHhJ/tD6o2muMcFXJxYMD8RywpMj/lNXO47JkwgG0XCK
xsGfEjuU5GhK0aCKNyvV4y0N6/HGNMPmXiKw/ZBNn5/Az2ewC0L16TvSgyFcox93XMMIhDXYnxJL
wgeSy5EI2qHqv5VIT15SrVsX3JOr1dpLzhLKeXQcot1Lon14Vf11zID0oZUNyTAecFMkk2Fr3oEv
c54ityjey0g/WT5d0bKlIhlmnKJ4/yIL44NsMriE4/xKsknsBpreaU89hXXfpfW+7NuOtp70h7bY
cgzgJvf1QIFhqHoxj2ncOAXoQQupIFbT5GqeOolhiKkra0RUels7irsL7ATaXUNb7rbj0vDqFERB
5IHw2GwElj8fPLxhnobGgRDBKyGuzN6lYed2HagF5UavPXgHaF26fQHDU6frwm3iw1Do6i7mQXlb
x2udR5JtCRQxi8Z9pzRyhpWfFPNbit6X5kpeu+m+dgkTCJgYE4jA25y2O/zM584gSkIVuH6pvmMk
UsT+UPJfRKE9PqruvLP5atxFkPvblYEN9Bi58w+tM2KvyNybVhyt+Z5QI/EJGCZY5O0CekH7TmeN
OQ60lnzJ33U0hrQsOxnEakYqYlmXsqOFyV7gaLWzoT/FpIXPE6EGUjPwsPnBg9UNQ09YgwNsto5s
DEa95RKTQN4NrbPWSt/C1skPrpNIEeRRZ1prFwUz8WJh84YSdGbXdQhAHxjdzBdZZpDcMnbqZWmY
OjDE4PBGkEyR7XWe2e9p3pkXs3ZKDrjLbO3moSh3djaoIE8BtaBIrhjmeeVhhL7YbFyGaTcki00R
M8ie3aQN27clrYmwrYWhn3G/noH4VBNVXH/ag+VfSGJ9jylqq5txsQ0QKQ6nNexi+jTPvbFmVssZ
f862joKaYTDt23G2gUvGqbn+bLyBlAI/T4GVePI6Z+67E1ETPcRFYSeBaI1pnxZWPGyZ28fbsnVe
JRHMdwZEizcDJi4SfPMSa3P1DoozfbTdOIeHN1Y+zV+neYF8gKoyqqyrHPjbXWSIvxNinIUWf5S8
+KaDCoqNG9S845zlE79TLMSZ6dZ13HjnMz3DU07MN65CaZl3dcK+Tal6PVhG+mgOA1vpzwUTzl/J
JZCgMAUFyoXw5ou+B2w3lA9/8nYzcNFrX9V6P2hiLtkSz7CjibR0zmQMxs10eB8XthRNDOW2HjKL
CJn2LauxV3geKVR5beKFLxkwlUjqtyNlPPNmYd2U0WjTlimUC5WCBOS9Vk51HJ0UZXSLLhUv+mqU
9AZtlFo5AWAZJnq8tqSw5KQ5YFYTu2LKDNI3LG+tztynXvcOFYp8mHoOB3KcrZsmUW9pCVnKcIdu
T1o5Ii9I5tWKwxhSqQkkxs9vnfizjBAsmunDTbMF3UH3i4it4FXi9jlU62goOTeYN44zzRW+PnJ8
LSRLI2Efsw1pgBkRCO6k7eetn2+oAs4ag/GckxL5yJLjAT5pX6hN6qPFNjE4BNVkXExmz3k3zyiA
7RREcZq5fyPMOQtJv756vmSg5Xj8L/qcs3Lud69ewl5SD772d6au01+p0kseeMsUXyxGd2dNg1oP
bM6Ad9v4aJlm/8HEqz9o86zWo+EmrTLjKwaQ2ivRbfz8Bv9ZtkfAq0PsAlg6H2Xql/sb0cNTFrF/
2OZoVDGKjMjSIgHwby7zBQt5loPyj4Pika8AS7v15To1A2OnDWt/x/iTkMZBuMZ+hCC2nqZc/RAc
4FkjszoorbBcA1hRdwlF6LSmMQ6yrhP+NdanDNkMX5ZalsU1xnpIPFm4IKNOzIe6y9qnn98a6+u9
Yb02LSlNpJPAP1g4/vjgGnL6aEjw7g2tYFFYRCkD16Q5CJwDExvHkCc/u67MpAJUcEYiFMIM4gGm
8OzMcFEIonmXqT/9xkf9t0j7b0TauOFt1tDfPcT1a/f6Hx+k8nXz1Wvx8V//uatefy/P/uef+E2g
7Tq/CJ/cSkRDPuGpvvoXutH+RaHO49UUzlnUdpZu/wPdaKHdRgjqI+ATvAOoNP8p0LacX7yzpNs0
bcfir0Nz9yVc5GdhI+dvwB92KH4x6I8eYmnlIhP/Ak4VLsdWmY/jhgMP+CsS07Z4iERgWWzjRpFO
fyNC/tOy9Ov1uKBEnM39+EI+JaKHCjDHDLY4LS+3E30OS41Lb+Qg/btncPPbZ/i9FhxB+58/G/xh
ZFMs5NKV5nl3/t0S2CvJOTOOx42wUKhEhcTaBfjVQkci6lNGUOSpX+x0l4sOfFCj/XeVV8MNQ6bs
UPgOnpzGyKyjOWPBI5mgZaXK/Eg/OznOtRXiGXmlVGQde1O0P4A1SmJxLRc+VDp5+P9QIEwunYrq
wwh7aPdeZj0UHkfCre3S8r/oHG3eJLloo6BNFsw2qet8dCquNi25z0PgtYxv+smIPxgS0d8rydqo
wny58Rs2LWYFMzAVmB9B1nfDbYrg6qJB8T/sAcbhFM9iJjJ498PwGQYtO6sgNoZGXZS7WGpJZ+XQ
EUERATOoqdHzFPcoybjkDrSOFiQdu4P+LGDsH91WHdyI98EaepwsZF+Ws3oo0fDDs0xtjn0gfC4S
Icsb1lXI44KClYDa4IxJIAiJ7rIpblOsvbuSGSquHOAtPgy5poaJbvsGBAOY6IHZ46AJmRStyI/P
Y8gBNLuTTGKto2l4NOb2JfH7lDG0k61nkp5WykVEj1MIMnSabmkfYGZmObctxoTS8DdDiC6T8Nhb
gorBORh3GGzY2SjslTXFO9J+nDV9+QNT2SHIsEsFodbI4ixA+CQfr2Sf8i+M41xzrPZtzqwKBzqx
VXFL+8zh4kIVgLY8kxARGjQYOPnq4OfgxHoqSvJdwab8GENedavNvTWqmV0ymrdVptfe+Y5CHPTX
oRPfd6ThBuYk3mUfXlqZi3wtzZHqFTvcyR7gvQhbYmvDO4MKVxXWOzinrZ1xjC2YEdpm+onqP9tk
oX6R/AdV+5Vtp5+Zn1wWHbTFOsNYPoTAfuPmPuIAAnofoCBhZSGZbfDi45zgrdqHjezh26VpEjZN
dJnaDrT5lAPmddPJq8SoXkoGIsFoEz9gjzl8LtymPWc0PIRqmxU8PI0MH/4D6V6gbvwNFm6AhR5W
psTHfwvJ8krMcXRlh9OPOGyfp0iojRT0fzKbtFEVGg+hHZHzCVtvgReFjuEsz3ErJpZnRI2KOKpl
1U5p8UJkMR8gJKEv5HL5mPxAHoJMBjorWiRgHBSJDFqArZlcWqGchT7VDWuccGPAgwUTM4NPwqa3
MmA9rYizOIf7iuWhM8DMw2l5wKA+rUq3uBxKnoNj1j9AW1S/iZv/vbn+zeaK1IgK0GYT+N9NUKeP
KH7NX+c/7LH/+oP/cEGJX1jghY0gymIjYOf8Hz6y57OTSqjJxGmh5vr1J//YZIXCOsXVgVwgdHRJ
G/jnJivkL0jN5RlsrNhrXd/9v2yywv5CSPZMhR/Alux42F1896siv6f15MnCVeeRFY5HUmcUoEZ7
YfBj+QlsrSzPj53CmHuQturv6Xt4qF5GC01T5If2Y5OiCy87pRgJnpnHdFhBBgZy7PDyQOeyH/3W
tU+w3s3rwjBkd2OjnMPfOvkegboOYex7bJZw52jkNfWlaZAbNbc0iaSMYhQ7YRfRU0KqQXsv74K+
t0ADWgQNer3bv9QOzpoSo83GMgk7aErvzlwAKxJqdTXPcDV8hj3sOe2g36hga+aRzL2bgA8bXZop
PU5aBtbC+AwJ/nokRJSWau7tCEos9m6vQTmIROxD6U3rSC72fk5mBNRO4wdMyyZc+fmsbkfSzR88
gE270crGE/RFP8BVBb/Rt02GMphzcth3gcDnIAZH1E+AEMb+LqzQC69oRd1ZEEI8gMYoTDcVpgbz
UgiOasgfxuG2GTAOg3OonOgS9GQ67nCCoeuYiG5nQoDJM1q3VjghBoNIgum2StnMI2smFjUffMO6
XagB52sdeUyHoW6jPVnMhlhV3KY6PJA3ZC2H3uzgqIXD6LOdp6E1bHoqlWVrD3H+Ana3AetQ6E5s
rcXzvFUeC4eDGPBFwFxkX8AkVu2wczF6vpsVAVxBUXOQKnVvPclw9PUa5VG0rdL20/cnfNZjc0NI
hrisNGgxZlTG3pjIKHMVE+LYDG/GCd2FYjaGRmgq/JOtMcmxu95aSWZuFdHoSOdDzh+NNMdd65Tt
O6mm7r4SRozMgzRla51XJkJJtMEP8pxCiUilUvO6SDrvPreM+XIMoQw7UyLXSdvl9102N2uaQjmZ
PWXMBm1XR9NFhWi0aL3MxDv2evY382ItD2GZWNuhqeRRwZ0EO8kOyhH8OkJfzAipvSewM8GEr9pr
I7LCLcENEWFsNl0EJ2dcvCJ3wKWSK/j/IQiO+SXuPHoNqa2JeMqLy/9m7zyW41a2dP0qHXeOEwkP
DO6gC6aKZNFJpERpghAlEd57PP39svbuPmJJh7xn0qPeETtCjgUUkLlymd90LX0YhGeM9IHVOl7V
QlczD4MRUFIr5qkXqKjOdEmi0S9HpHULNPsv4mnOb5kiTl8G3i0e4XWEq1Ss4RVMLrtIeoIyM8bo
kmpXlvYnlM/K+3aF5DdLkTdXbJ/A6qQ/TE2Zg86xm4+4wfd7Oxkznnu27i1s2r7Y7mBcFMo2XjfD
+rMeRwjWSPWVAZx7fIAUch6rs5X8CRCC9XFGYDfHtii3v+Iwqfb0Ri1ETFHnCpdlGf1Ua/TAUrQx
gPIyhqAigL6CRkSS22SEqOp5WCyZ8IwuLg7Iv1yKcrCIMCVgflOMT4hko6zcx8Vd7AKT7fFCumzX
xL0FLx99M+YpGv5qYvzvsfjOsWi7qqoalHz/+lT8z+rHt/Jb9R/fqh//cZN+r58xEbjoC37bv65F
//6kv49J/R8uRD9YDLoAJUKH67+OSVf7BzQp3UJpXLNsKaf/z1qUMhV2JeRHjgmbtt4/j0mLUxcB
fk5WySvlX6j/zjGpnp+SloCvxp2p3BkeKXzaq4KNjn5vwe3p9slc6rvMLJ8rBEsD3SZhT6IOuN1W
vMASAQzv5s+ovTDJrxUGmLQZ17TGL92pesQIZ9OL5pTgTzb7y0P+Q1F55nZCniBgMELBpFrmiZAa
vL5FhKwocPO42ztltOwY5WkBVCodvzr3OAHZRHHjxuoBL8YaCS1Azneq2n9xAwasah6VDZX49Q3Q
Q24c3HqhAsTcABnE5DVqoe/0NEImA4WAEVwHaFt8oxAzh4vAfbz9DM5K+NMjsDgaVVijFoYUZyV8
b4ATKcqi3XdjLFWE7IcxoTRoq/cceeQH/dKb+PtCmD7IHrr7V1L1S/1ubRH4zLVu91U91QeMpZEv
H5qnusVf1yU0e6sFhonJhr6bGFZ6JC/08xft3sQM9VhGjhLoih5964HGBR1A8Q8If02e3BfI+S8d
zr71uu/QxgoUEpwdYhR2YFoNc2O0lgPs0GiGjNpdqyQF648HubbWF4YeF6LrKebSNrqMK4pADOvW
PT4FyfUaPW6zwWott4caBbsQrRCg5H3+oupbHvRT8Yz0ueMX0CM2x/2JxeMHfbM/v/2GZGPj9YNj
S+DCLFQMZA06wK/XiL1VoojTttmbeuQE6Ol9yaLIZ+6EirSmQd5IMK2028kN376uJlf/6wsbpKeW
TaatncLI6wuXjWs3PWCWvYOrQwBUJLuwnW040G/RfFo/PSpV2+RRJZtX5cqGRoGpAVeDwK7LfBWw
SByODmW8abOnTmIaboS8Sd3O677IOGCkpy+AJwVD+XfuXfZVz+4dTLJsRwtIQvT1X9+7GF1jWpkQ
7aGCVz5wAfMKWQ2aCRO4vXlE2sYeiv0QDeUNFTm+2eqF9N0dQYZSN1oXfwUgYwkBbFuMynZOTzHp
Knxpe+XbQGROPTw+v79937+/awO4hEYvi4BkGi6nxq9NrkFLFQEbs9jPSqeT6BMUwKbkfz3ozmpA
1Iy0LYAUaO/tzz88MM2gtymouoRJifTqyqNWRoBBO0gUU994EzAMRrBD77/9/c7a4QQBAxNGijcp
6KATcF5fpSqaUlfaotjjDVDt7a7NL7soeX77Iugw/OHLGC7zCLqxhutoZ2+/LjvAsrgjAoYtXiI7
6oqd1dNTiCu9R6SMTe4qM2fLNAxBpW74v5nFixob2z3T9cCsxoRzh16CCnfXK7FHg28Zi0OBNGMI
8w8gm0AGiarhAXuQFTi0fUOy2F2kuH7TO6GrNSH5Fyr6PASIzyAdU5t7sRDfoAprXtq6SlCn/LM+
MdUjTc8KoYNC+G7EzxsthcK60UIF2OHsWlToDqd+bqOlbgi6DQVmtzFQ+ek/LYPT77QGN81oyJ7L
LX02M/2+bLboEjsaxMjpGnXaSLdrhIgp3IpywRXA94QbFnX60sW0W0agSzt8Y6n4JpcFp7K+qxgd
tqkpnoGE4Z+Tx4/t1mzhVLgPCYsDCxjEtmz9vkpdhjAoDQS6NgARZbfPMnozoOk/NwttKUNB6GlZ
KriXBhcr3Mz4poqVsKxBtpNdnj5eHF9vWw2GX9F6tB6/Vh0o1ngstQ8wBUke0o2DeLMUlBKzFxBq
TCzjwQHGxf3Gw/Ch0/KfyDHB68XOJJ6hzE3wp6AwNn2Qc4D4iH7CoeyUJ1v6bBhR53puoju+6aBX
NhrgWohlqHeb6bNu8DrMFvqq0nMCF+uAiYdRHs2i+Zip7kOLQiPbsBv8PHKSPckP1jvjZAAO59VU
fffBSjf0HprxlgRjH9nVM6rc3UU/NjRp7QK+0UJ3vgQ26wFpsjynkFLjxQu0KjTD2umqHSakiPIX
mpPuHlPZ3o8Nvmg/lyYd6GugDRqmG5Pja8K+ySM0jdSWMwBgKi3KsRV+1LDOa3lkrjX5Va5yqXXK
X2gRs2J5s6sNtUtF9oieownTC0BbBXJ6pxll7y9R/IIkK4sAKVRYM7PjK0l9XIBIIjrJSV1s5bNe
l8XtyGDDsybF+YjtbbjBObF0AdV0Fd2VFdkPYij4jqSnRyuj2Xx6MWQGNz22BAHTwglNadbuOrNs
BPLcYBCAmzVJ+uxE5IxmrN+jCOHuh7V4dsQEPo0Vrg5sjdPC7TbuO6qWEHUu1MVLC3l756FxSWQg
Xud/bYGSFaaq+n0PUMQHzMOKNBogw4ukMaUy21D4vLps9J2TsIIgxcEAEGyXZqyxqdam5DgLnFMx
q0m9xmHR1kP6fLpxbpcsBmu+MFM40/Cy667Arfafab274TgI4nWD43BhJw10Chd6MqrbsDPdPNiQ
AVCthXuC8rVLBzfzsmU61jOC8Rl2ReGClCQM4eJF6WXAsumco653z9LN/3rBpTDvtaJ9qhv2lbVk
L61kW0O1ez6FCxSrXwaIyJDOiQRVFnOBno7uIBvfjcU0slMHutwzD5FigHxoI58iS7Z3E26ujqll
x4Iek5+3RCUCFUj2rXkytfp4Op0AEQMkg/weYicWXWpW9rKKKLrTEPsoSZK81IK/2vUVUHxUEYin
P6qCYKJrrFzILz1ItRTgD/vYUPjciVibWzUPZDH3sESeB/IrGc7QrCbkFdbNKSiNJuElGfon5jIc
jKN1o9XYAbeFeU+9U0FVYavAQnxelZRZhc4EoJh4uadqAjXUybNSXQnksWPV9s3pG85r/iK3RJua
9/IosC3tfmi4sdM7aDQX9qsyg/WmoZbPRyfOTAYDctlgFoHXkUn/Se2eRGaAC+po1Ddxgc8LS6XD
I+KvSOcYBBMT++56NYmoDHgCosl82zvrgA4m+zdjZwIq3/gpx1AOhdT0GeTbQSUz9cytPm4xRiCo
AvBHzbZcniJxushEzIppxKW06jnjGadszoNdNC0kUFRJuRNnCXvZyHfg1rPqxyZM63ELlbzEpt1F
I80xUU/DohMhNMETO50res5N9TJ5zi2ToUsUgKVecSZDsDBfeZByhS0bwRhy471JpAlhkKDvUrPo
OpfAUzQsq1KOGByUzva6S0Ih326fdU9pxQ63E6I+VVC1b2M+sJ2oCk7xt5DRES4AQ6Zc1XeKW9eH
NkOwWJ5xncsFYjxLGOmwgewtP1pQ0ndaS7gBwYQ2nEyH8ecqgnHu8mslKtZHkbT1wS7Z3ToY351Y
8ufTWqmG8jlzkpdqWx4AnuIYYXZMViYetTxtIpe4mA9sgagb8usFNy/fUiyxM2jvAUMG7msiBgq2
rmpDe9pAa1rIvZ2U50xV5udgvbK2TQ7gkjjw1qG9IUq2SDMnA1hGRim9WVrAJhKcD9TNDfNxRqG1
diOkegcYvf1M8ypKTIEV+BY/J7YcuemqkYaT2kwwotN+j1UGqQb64yiRP0VILYYLldV3xc23jzhZ
NVdgF2nGNsNHlHjjPXVOirq6qj4JQ0X3uFwrMmLEqpNRjXxdh8ccF21obpRJUx3L1KCZ0Bw0E/tO
HctBIsw0z5jpDtL9qy8cWcDlCXlyu3U3OhKyoW0sTFvd+HlUEMHKbA1Aax7pnjZvfYhX33YFq1xg
t0Kwl2VebTe5n9Cm9Dne+9A05+TgKmV7k6LI7sMeTJGrK5gEGqXw+pEp51LEBjlKO1GgMSKtVp7Y
pHU/s42EbZjgJagtEigiaoZAsw2A7+1TIXUtXHT0dhNKAdcTwhXoGOv9vlG7zEuZjXH5jA8b+DAp
D7hLNukApqpj2I3mJSPlr3ERzz/zoUtgeDuRPwNF9Sigvje2HLyv30e69Cie0yxM4DUBssaiRGlR
pGE1dGhyVCkDS8FACjVCYFtaasHS1Q9KxmxVB6MTTLHhkzzfKdicAAQlTRRjGK+M9JyYdxon1wq8
9bQm/hrT/AiC87KzCgd1Vnrmrqv8bCy2tD1reaBBkwvyUflmDkTdrFX1i2Ez7sHhol+A4VSn6PjZ
IZiIiNLY+12qKoc2TQR8zZJdKyufLWekLzbCUjqmL+pSu2GSkD+peLyhB5Gsj/pgtPINbzDrOIGQ
fY9e5kypwcU6xaeqHY0rYxNPk0aoUNT+CW9AUqq87b7H6EQT3iBmAL0dYF2TBCdLu9H4JWMS1HCQ
2hSNwCXjuKHkRzkcxVYLW3UVpQuAtsC6mo6fkhW96ZLc2Trb1AFdzyGj3uuLg4B1leZeV7Jua7lE
KZj3xjw/uxP6aXk13QNIhIrvlh0QUSgmG0eBvE85CVbpPux7idePOK2h+GfPo5o852b9BO2bHNkU
9z3GQLsBrBVK+v1yeUJbpMIeMaGK76piPjar+pUCsg1hk3RXvdC6R0gqXzLOtHhAQktb3cu5I6ih
AJJfZzN3g9mLg2jCQHYtwynY7O06HznxJge89mw6D0xin5u1PJJgLHebvXRkgfp105HXKKp7VLPU
om7E92aQQqyobn50tRmrQ0Ahg1bwXdPOujHmLLkTndp8SQXPHlbsEMiBdWGwwhra/YcR8QASLJ5p
CU3TTwzb+VTrFRouSjo/lK0CwLtjuaHGOeE3uHpzjkknbl46E1fynLxNlhsF6sK4s1wZpEsyvmlq
yL17RJOzmRxT26ZmX6XZrq27+gC4eR+Jsb9QXQb2SvISc9ojwDEEfWXexDr3eTrRh4UiTKY7rVyr
AD7x0DZMqjxyAoprHHj0VQkUbnhnyDOzWmvGH7Jq2RYaRLZlQjWOu6e65OiZ5nG+jRu2lGYKXjbc
of0wrtHlSmcShkex3ObWkH9oxwldG4FXUAwmYrGRWy2o6IPTKYfndHVMJ5AHroHQZ4wQ3TFuuEyh
sYYX7Ju+luBWf0CidT26Fozn3dH0XDQBkDpiNblrFH0r5p5P6coXsaEOW0bofRaceqfVT70ZDHYG
z8XYXmhC8K0KKd+ObLSr3aMLS6kXcXJljfJTNqpMY2sPCKJO1yaEgN2ayzNQYhXGWoP1RQ5FUIib
+86tEBge3IbhC3Q0TSRIfhPGaEbmsAxARefmcKmMW0rEba4QH98Co+XyEqDvZQYJVqpot0UHRWI0
ANQoyaz6LiT/kNXOETfyiqbKuD+dve7CPk2M6OHtwt/8U3vBkiBZFf8sIc4FBKdsgqGWrfkeOVYK
cZ2GrTkMT21DUzATUMQ3kN58C97ysBVbmGjlSKhpPpntZ+aoD8JJVfYwha5MM0ZbKIFl2w/5FN8J
DStRvQRyqBVADpMZa9Jmnu6sEhYc2EMS4CF+PDUyTzUSMLEfcCCSF2tBk8EckKXGKQmjokFqyOIc
ZDVLeVwUlYRukkmpTQ00gCWiXso16muT3Avbw7+KsFHVnQ+j84PpVHdV9QxSjVhmgYmEzVDz+mbs
RPhpqsu/3yJnIqAzKAC3RldAQtd+7UhlsL7KmJ2CxRw1pWPP0WUPjOlgaSRdZW5+Sk+BV6o9ITYl
qySSxrdf6x+aYhBW6bIZKmLL9HNf3wI6da2Zavm4z+weeou2JYe+I09KkAxCmCxDP8eaBFieVH+n
XSXtls/biJTvrvRcJmDQS3p9aXa2CvfZHfdOu0w7k6Duo/Kkfkhnq/SNrWm+jiKLgkhswOSlw9FU
Th/dRtuv+qI+vf0Yfp+nQP0XtgrhFrafJc76wKM2YmhRz/nekEFANgyMgS1tI0OC8yteVjHR9e1L
yq931kWlP2oiPgiOVSXxfv319WoQlJvoBfSR7gRFi3NAG/Mrtagflr6bwB8pM/jaDqG5eCoPb1/9
D7uZOQE3gOzsaZT1+uolD1UfQP/sW/jmOOqikVdRULyzwv/wWOkyS2SIQ9/ztzEVpyniquQS+01N
DW9EVcWHvP8VfNpN78LuH4r0nSueg4JlFxQNXZeF6wJW1M/1Y1skI0lLymEfp1l/hey3G6bgBy8I
CbRyZuch4fjcNYLumUSclUsBEXtRG0hSLfh9Js1b8Q5Q+Qw5erol5oiMflnsNIHPFhcezl3qioY9
lmdf68Zcf/6V/OYZOV6xtO+olZ4D2rmeiaisDUMdJVY5iHz9bkew21ZU5f0eR4GbDpVdHweMKqgj
I/UEWTPoROsb0MzHBvG3QtiPXWopuymdr8FO/BicGd6qiZz5OytORrPXC95EQtkEx8vKU63TSOSX
IZXuLM0a28zuS0Qp8QUkebZaQs0oKo5MTbtA9OCY0CT7rA9NIyVwyGiTkpYuWDq1W2hMkceBKtAg
AmH6RJKh3yCpAyM8y75b/cEcxOJvBinIYF/oQAA1cpwxTjB1iccsUIY4SLAJ8+wtTjzsFv1CTh1z
rHt2mpB6a+WA1KQua2shcE6NqtITiLbwaGhlybHd6WDLNtFdvP1szmkUvDI5SQbor4NkRs72bFjq
qtMyUBgi5BNRLqxmG3v2EE8A9Ur6YrbUUUiwUF9wRdlBfBKnr0lr1TOKFrsdx6ZVG3HSbVmXXzZi
VAITiGQwybx5y8lK+zLermlJIJfl0AmNy3fj2bmi6+k7AE9FsNa0GEqLs9OMXgZxviPZJCnFKwjp
NJ+eGgLAdvc0aia6hVZ5RBe0C9TMxraqQO9tFs07YVVupterzDYBg1vweHQEV42zJ1lmm97gANju
ISNeaggq7CQYFJKH9c6FtN9DKKNDFeIBE15bs88jDVOQCAJ23iCNRVcwI+9RV1g7rT1UL8UG7NW2
6UqlsruMp0G9q5AG3Wkj2hJRCdd/bpJnjRIeETjtaJfUezkl4AmbWsuasaJ4p7997HRm83pBG06J
qF3eXnh/emkM8BiAmujfgvI+G01VVK6auiXNPkEAFUsduLpdtTReidPNDkEXeKTz+EPWSydMKSJ8
L4hzvxOxfg+QKLKbzBN1sP2/HxNYYfd2o6rNXhj1T91dUY3VMFJAvknz4KO+czXt9wmWbesgFZn7
6qqwnfOTFzorMEStYX45x2HeQP2UY0lkEGLPVWOTBi4JtTRJge1qxLfICjzVS51fW9KuwBBYpjnq
el0Y7XaYKLx3OdY8O6OksleifrrO9Pn27df0+znKHaOHTkJsEdHPgQSdudhlv7C1bGVNUW3E2wRz
0jwYBfUTrWyA1aJ4Z2j5h4Sfq7EiBB7ChO3znYQ0rTPXrYYBckZjs611g0J80Y5ZbSxS8ZJ+alyV
VLTo9dCeunJ1GpWyZ0i/XQlKrRZ+ilf3PmJQBFd4QhzS1NVLWitq2JLNNpj9kl1Sduvm8KRt5Fun
nkilUjhJNlQ42DKapSb9Wjl+MfAVvs+pqLwS6yokoGwD4TOYWSmwzwIs8k5VGOo1qA8ivIB7e4L5
rWcA9dubckIJ/+F+memTnGYbdYHCCDO377IStgDghcMimFBEX3XMqbymwTVm21iGb7/KP4YNC51w
lYdrYEhwng04G2YfaA7t43VI7hCnpSlA+RJqpjFAPm5qzkCKXGD/z7TN6WabvGhoVo4/jxqiQ1aH
0NNKj+gU60sNr1wQoGhtGUi5+MOgfTmNNo1GdcH8lN1lybj7Biu19+bNvyewUEbILkAzaRICfBbv
u9hgBNvZ/b6yOYyxw60k/ZgtYSTTVYzIrec6W/nFcCLbhyKRv3NmGr/HX0dD/B2kMgm7ioP86zTH
dZYcknGFRGDBFK3WuuVOzen3OwWdcB0pg09VY5Zeqif5xQi/1c8NTshFoY+NeRp1Y444wiiweYo3
lilnFxMlmwEQ1k5fhTpe5mv9BM4SWUE5f6C1gXIjneoFocIogT3QyGmASZM9oym5F6Xs8S2ynbs1
6X3XzgZGhqbfCPfYTdIGByeuEIY6XfvYfeF/hh6FIn5C7yn2lQPAJrcZN76z3H7PujBCdTCQht7H
qWzJp/hL1jUxq6uyOan3LUOK04CgNORIWGUiBLhXCbahmHdxvl2gQAQYMyVjQGyB4UFzcRrDbNKt
pelc3eO0vi9kfGutB4irKXPx5kvFRN+PV2YRtijX/dt3/3vcczSLjIJ9LyhTz2ukcVAagNcYeSqO
sVcj5osyVOQr7chTN6rAHvPtK/6WPNusKfJTijJ45RzsZ6sqUfHi6nIqQVrbzW5tBohAcnJ/msX0
p9c7MhSaiC8gOQCNoH3BnHNonZ2OfHjQIcYdmIBZdkA13gse5wfl6eZM8lr2m0QNyb//5WVi1pRl
Sl7l+zQBRzAA40YqL2EKwLiskE/l7Yfxh8vJLQ5SSVcpJn47dvLG7BlE5vvZlKsWaseqkFAZPWuH
2vG9itg5X6s2MY6IAqITIBuMgrO1mnQT08YuTfZJkphILU0GsRCFhMVwQ0ZNLgqJORkJStycGaSh
h9Sc0ZBSlerGqA3782yU7l02oQSnj7e95SxBizT3DsBtG8zsUZ/uSn+Ft2S1h1tt4d9VpcdKzyAW
ST5/ug1V2Kd8eDqhCcLs+j6lHX6RjZUqYeJIqeCh62eO0xyoYYzEU+p09g1UbjyhJxO6GXNIR7IN
urhFwAd/z0uwHAoTlfy2X4XhSS+Qva3hRGjAszparZL56N/Gt3jRIts64ZhdVI7jj8hWIV6hPKsS
bafO7XiPAYsWIl6QIalHpRYhtkTbEInxkZwbm2jm1H6Vl/olAFUTHFjuZr5VtlVYNUZ6OWbdhOih
gU7arET6XreR8sfTMj0qTRTT3/3YDMZtnKSar9AdvnIsdI9zHOe+jqDv94Odm+9sNP08UQc7ThKG
/wPlqiWo11+vZVfSCJWCUx4EhXM41T16AWqk6gWTbXKpTCvFbdO21T5qZsPTt9UItEa+wBppM+iB
6BdnMJF3dmdnyK8n3wst00MH6CHswxldRhZQsCoO2pgESChlXRUyRDA82ZUI4ZQoD2s9G0dXfnxW
D7dDoj2YNmiTGenpwDVHPYBwUR20rHfeaTidH17A/thQ7GDyGAKNOFvqRE646G3uhEm3IamOAyqT
2Ld373nwPF3CBmFousJSfyN1UoWZNAKkLBZqm3490X6d0CL2c2ks26PowrNR3quKzpMCLkrshG5L
h12GjbMIFSP8nllJZ4dtbbcBwy9ssmB2MHaDVufojPQU3ewv6k5EHjJT/TttLfU8t5ckJRJkpG/o
rEoa0etVtbZlMWVljaCX1SCRtmQ9b1vf/CyTF4xM96JxByx3VO2BtkO+Lwxrenz7uZ8QcL+WoKd7
oEWOkAW2Za4EiP8apdk2nS3lhsLMyhVUZdr+UBp6RyEukI7uptTFUF303xaxRTc8SOOmXkCdoqvu
fFRyG3fpycaQAnGIcCw350n0Go+y7cnuEkRh86T7MCNGcGF2Nl9nQDWqbQ3raDdz+0lD1BDqX4Ua
PFpwd7odN3jVKMU7ydfJAunVdySBpWUK3Vqncc3Z/Po7rumALghHaDiyq46z3i2haGLVc6d6ujx9
CXdMijsxx/YRqUnVY/AYee4mNr+AtuFtpGA+Qi6dpydRfHDjBO+2OlPY16K/WDasEcFiHJTJAkLm
oEmcxvp9rpV60HTpdLlhMX4oWqsDAbA5e2uxJ6bafaCYmPWaG+q4hTVsIHxqOWOvlLBstM3vInMX
Y1wc5l3b3yz8ZNhYExCLJP6AB6oCpXIu7tatQa8XoVCcuC7NGdrwZuAeErfJdK2l9vCk4Fj+9pI5
GbKcP06a8GAqbVrB0NVfP87GdeH9UDdhk97ROxmVDr/F6ZjG88eyNCJE6g013AYV9WVrheNJx8vL
0J095A7qkuh8wG1mvuwVLtssq6bkqs1j8a2V+m5ic7crPsU6TkgnMRE2qgONpBHmaWLtczFJZRr3
iipPeNLggoFKb4St1laA+rTOw5b801isY4ju9ENJQ9rPcZx/J1gZv0UrxHaoNmkbmegN0y59/QQy
NAQs2ikmmn4c3ohO6181XFTgMBssAawdtGCsnWE/zIsS6kqpAMRpkysVC/XDamBsjPTyCDm7Lh8R
FAHekbLt8q03851jZkiIzQ0L04oVvwMc54uONbIONYJaqZN5o3DUYEWEEI8KZKc14+M86U+GgoPi
6tofoyT9Qa2D3hDzqatyUOxDDGjjOq5S524gnwzQYW4Ddyoox6uk8UskofYWvYG9wcgvZDDJQp+4
5OIW+js9nN+yNFlLqqhy4ngl3bDOQu66pAkzStbOVJgvsA2cO7lXOqjG3qzC3H97qdq/nVwGr0gH
oUYnF8WFczBzOdKrEuNAhAVO5WO04j4BLEuumq1SPbGVS6iLKLtJrCG50pyOgNeRfqkzD32ZWjJ4
BzYm08TPkxsd59i6jjaUNFVQPot1ucZYXrQr+xpPzycGc3hRkRP6isu67DKOD21mN5O2v2Bovt1r
NWA+td2mn3g94C+uswcaisJj1gsrgC4XhwmQ+McZpdIPDPwjX9WSCb8IybLTwGnkhkqLy9raIIbH
fA2Yy71gIns/wI85uPlK5Njc8bq0KrT5YFdcz4Kw3Dd5HvbydpiYSpmscno0V9ZWP3HMKMnkYN6q
oW+OAi67cFAyVHVrYdBbE1/1SOqoTSrj7CSpldDtStrOU6yELQ9yl9iqFST0gshA2RDbOxvtD6uF
RUIvRuLR5Sn5ep/1llXkZQwq1oG/Twzh+XWNyeFU4wJvm2yIt9fL79djqgginRSLQt08r9KtHMNi
ZavNsED4k/k2uwHYnHsB5sg5JBtiWW9fT/09saRsQ0CEiheYOkJjZ/vBAd6GC0xshOCY9CBdQYbi
nWQdkV0a9tUmkqsFSUJ0ry2k+cbu0PWECytHiBhrNdWz54pRAFLsOCLwK3fkoBITr1rUSMovtjrs
Gwy2QGDW3QdcgkDGVPJwN6OOkyct7syq/rbKMBJjLQbimkVnqcU38Iv4v1ugQrM6VeCe6upD7XDY
bZZzXUxSVbbXX1oMqv1tNlFoLL5pCfeuiGEJVyfaruhraYE6LjRW6u6hh07qqdIn5nS0NjmpVodU
whOIMj1wSwD3KiBfMCLsJmwTnX3CEryqUfa6mgdj2NeWPE1LpPnihrwkTzlncIfadkLuVaSnMmA9
4/pcbcQ3pM6YCrUs8RzVvQPIYs6enLDbQ2f+hOmHEvLcMNTquKHGRoOAjgtOAkrCFGBt8U85/W3B
ek/RMwshY1LN1yBD/FGbWw+zbqR+5ambJVp/YaS5zWYhXKTqTD4wLBsPcekvkkE412rLAH8s+K07
xM6hx6bsukr4JyImg6gid/D7GvA3mO9h38V9d5PiIgbuLKo5F/iaiqlmN5OybX4zQf8c19raw1FC
3qJMeXZY8uyLzXq0MO5FRxM9iMLQLtid0xFODa7KM7smNldnP7UFKUtKGn3a7q7F4wNpyhUUToEG
UqyHmQ5DdFcfKNp5HafV/j/G+5QX+l4zCknRG0QN5+8LS+GeV78JTiI+9wgerx9+wjcf/ktIR/7L
/9+//FsK6B1Kp4rMDmUhu/Zfczqv063uvpW/8jf/+WP/TeA0mP4yCeVctM1f2Zuy8kQ8lbmNxib7
b/amZvzD0AmJ/EcAUW2TirSvxyH5v/9HU/+Bmjf6BoIwxs9a1r/F3pTZ3K/ZHkxQmEWIJSEkRGF2
KmJ+aeMsar+BvC2nQzUZaLPlVUOHpcXBKlNvdMLRRQpdOquRoTTj8acWWdF1bILo/eWR3f11vV9l
f7Dm/MN9aPAYUA0m5ySXf30W6G6s1GodTQcL053DYKuhAbW53jwLP5TkymgPLbZQwJjxhwGNZGKu
rsXRdZYsw67t9IexhW6ABWX/aUtvdFFd6RmjoxQpR1qD9KstGxN6LFFmcmzDHO4RgKOLh6msCYjS
F+Pj3GdHBEiDJaqCrOzvlny5nXPgPnoz7iigor78bJQYcWXwuTMzfxhTvQt6Pf5m2DlSz/Zo+aY1
LQ1Y+Q7bWi7kjw6Ngl2dPvV986BLOd9oheOj380uU1zDQGyVB9vrOp7P1pxDSN9EaMca5n9kyFWp
Im4fe6t2XSt1aLU6bJfPSr59iLPsIwzKSxg1B6YmlxUi87RuwLy1H5fF/AKHz96tS35DfYqORDyZ
CEzWzkE308/04W86Z7u0MFeokxRN5K9KLx5txBLAKF53ZvcBA6+9NtSBuij+rGntTrO5DYBn3jrm
gSRp1MX0I22RNh031LWr3HrR3C266E0tuSg3vTy0+dj6i71dDep8rTi0o0Gj4futap6+Wh/LIka0
7kNf2R79GIsR8vwRoYY7zu2QMW3G03Jz4JxrALhxsObLNtMfSwBCO6EYRLWPbbW8TCXysL34gu4a
zVGBV9zcPMVzGq4muvetbtJtiLEORpPZdh9ZXrvchMOlozGg0mkHrxWsYrqJsSeLUMefLP0DVSwV
qz0+qjqnhvqjLsubXkxX47RwEI+xXy/bvFMHvB46rfLyqPBx5fia6YOnGRR5YimebJZmm1iP1NUC
SfHqR912CMGisln3GUY9gM3KbPguhibhryN4kVjeWFVgq7NnTslnxDEfjPKz3XXbbUb39/O0lVd9
btxHC+5nzjq7u86K5wtDs3xGGVeQh3zsJg5Dkj9ZY/QTC8frdbtFS783MEZTkV6EOibuNamro8zb
RRNnn5EqnQ8jpif4/t5tkX2clhbfPTOcTP3WWO87p7lmGuf1XYICv7HWR8Mlpx1RDR2t5G5YpGh8
NhwoH0EBDAsaEZWZH5zkbopV7BBKD3OHvtJRKsFWjXBwhzNPBjBg+dxALd1y6xndyCCbq4Lentpd
t66KxnWcFyQzeoBGrd87sNwKJ0T8lnrNmxv1vsSMUK2NsECJQTjlYdIKrOqTGQ8s67OS0lVRij1L
w/YFkL8LvUZPYlLFiAG7dVOP6mWi2fQ3t8d00kxsi+wvKbxYvAlNKC8mZDadLgcmYVq/B8jpVRuO
g1M1B9Tb363JuFOjTG4n7dYVuPe1g3mbuvEFs5+vVd5epKP5o84RKqMYoMMKQUCryzAvqoNZiflY
0GENa5uBBxD0D/IM9LYISQywgEGl3nXW5ole8OQBgsRCuXCa9LpMqxmFTZ3So5tCLLJALlvmndlF
92h/tcgLNw+pU+0x9jQ87ABUuDbNc226PqqCn0p8oSz+wMdeB50t8KnrUpN1dY/21t0Cff0yrmVz
SNQxIU9yPm3z+vH/sXcey5EraZZ+l9njGrRYzCxCawaDQbmBJTNJOLSGw/H08yGrq+pWTXX39GZs
Fr28dpPJZBBw/8U53/GkjFZjgP+hO5ZRCJO2ueta8DBZ9Tv5gB8mjJO+DE+66t9rlb6mysu3XcXP
gW5HaeW6GdR68mLzpmztFvh8PDnFpu8Vh65H9NPjKFnUKOJpLppk5/lyL3Ufr7G1naDCW2m+LfqE
uFN2OlKF+6IS5rkOefMLLFZLo/a/mFy8jA5FFLPXNR7jDcE/6FnJ/VtDmAUlbxQ7fwp+gF9hV9wG
PH8dCWmuILIo0Z7N0jrNZrs1b9iF1IbXOihYbzIitHO4zXreEgri8WIQDiA6+U5veMVHcdekf9KH
bo7HAS2eeJjHsZyYZbSfIvuLctRZECGZrYy4PU18rFoYntNBbpqUtCC7lBM1Jd2VphGNJhpW+9CY
15aeHnn19p3RF+ve1q5NNSDfFRH4tEQ727pD6lsU/2rKattO2Q2nHQYuLXoEM7etPZ4HqP/CS9eN
6537wNqXk32QraT4PbiC2E2E4bsSspaOxNl13klSfA7zdh13wL4VyRMSNH7JIaSX4aYT4bYCYF2V
H4JAKlI+XofG2I9ZsOoy+yjbbieHClR5sTKYLyyZOO71eJxTMrtF6j3VoVzhZAEDdKnL7lXlLElk
tsMNhPfReKOUeyDlkEkIQbNesI07eNFOG+4mTcwNeXN3w+5Hk5IZJGzQcW7z6kPGcTIU5ZhDiwA2
e9afDO80TtYKq2aMjL951Ih8UiMnVzW6iyDhldcc7+qM4qtSxwiWeunpD2L8zofpwvh/kxCY2ujW
NxU47TbRWn1mHKnfkIbH37FZ/BKR/WC5HYFczS5OozsowbXewwZ0muDNTzC59N8dlTgYlesEi6l1
motTj7yE5RuvyEutnIOXfQw+yv+h+IjYn5AVeOr1/sGjE7AQk23NUJyZDb5ixXts2vLgARzosQaq
CqiSk3/kkZatlGZ/Bl59GXpzV47q7EVxDnDQWiaBscutlplK/6Of+jcsUusMkC/ri5/Mwz5zSx2F
hjkiJP/KZOhUOgsXa2KLqjLPYN4k/kLGT2Z+sDgUBHsjjuWeYW+XMwnv1yCFttI6Ewi/l+Q66EH8
NfjD2oJPgKeW+7NkojSizs9qnKL6GedQiOO3BpOePjaFi23IvfXEjQh0Y3HevYtzkZ3M9jlBOmHV
2qZqk0vFTJWGCmbhwI439sgum8x1IfixkiuT56L3thn5z2Xe/kK4dBQxUYOzj7YxT3ZOzIo7Zvug
nrvn7GiTScdQ86UZm0+CCsN1Z9s5hkCB5Ftr2a93E+nohPkBX3iUU0B+kSBuDl4nhQ05OdtysJbY
HQ8pAL+0g6RY2M6VeMF3msGfZBS/QoHYIhbNF57dvJCSsgMK9JJ4zRoH09I1h200UsxM94FI0p6D
F9Pw0nLyW10h3QvbrTKctTfAkI/Og3SwT4vxxKgVREW5DOR3JvIlkpKuxiHC5jDs4oekPWixWrmZ
txxv4yQ2ZYsWunioQ8yTGhoDkhAE90dMX97feq6ilWKoCgGLmNXIM18jqd/iXuc88LdxdAfuDzTQ
2fWxfZ1Y91RNfxr1/HEwriDX1xnGrSn+0HSxGGvgSiWpIir5lLLbweA7xVUTYW8aD2NA+oSsoeMX
L6TzAtSCxGVE2IzKXRjQSFQ1MtdTbEBVyvy7i67Jt7sfMY4N9Bv9igDIeOFTP/Sa95p2Vgmg46We
Ipyy2r43j4j1MGhxZNmUpGPoHurcfTLy++Cso1LZBEO2aY3/FXkSh3X+HOmetoRvGB8CtsK9x43M
3H46eOhOoY25OKlATrP/mcp9GFp4/vQm6N4cmZYvdUei8xQ7ParyTn0XXedfg4S2vkmt4dcgS4KQ
0kDfOg55UsRZhLAme39p+s64LsEB/3QJ1Xr0rdw96iSMAONO3XwXmFX6UrJtW4OCDG7TQEqv0jrx
kVMN7zL2o94ioe9fd/hQDqgTzX4pCI9eZxaONAJY9oanop3X2PoX39L/yZBu+tRyV9/ljuowzSTG
U+k21sbwgIT7AnmhXiT5Ude85ol+j/qYwmxcDE3RPgLRsu7AacelFrCpV4mQe7Ra1bEc7Gjfa8rc
eNisrwUoglWoDH8f1RohYzmCpG1fVvW5KJNozV0Dpp4wjb2G++psFl54YALdHoLeg+TDpglMQUPW
BhSx6tyxWl8WpjqXvomfO1J68sTI3HvRG139rMgCIWXcDTeRO5HuR6LNO5CN4JJYRf1Mo8P747dR
/uknbv+mZZYjF5TGyYM9dM7dCRJxgzqhHlsZVBdDNs5tsJPxoSkDcVT2yxA7i9Yn3iyYuhGOnGE/
k6ShCACJlfnu+JrcjHXFUTaN2WMzeD0uzgnEKRfmBzEj3i4ve59x/jh+Js1UXPtMdlcHE/UDaeTJ
Po+hGjACn7cWJNSI0u83hiqI2aGuX7hWxc53IBHKCk1jWdoJkUyCXMx8brCLFEbeQkQh495MMjSz
hPNqIQxejhxPH4mTmYBKemtnJ55xZCqkOFMKsLRZfC3Hj1GQLhILZzl0mXow8ZNFiypXwxO5Tktl
kLWu8m1ZGsWqr6efDnhYOt62R/kTDvdQc5/9Ynpw6/TdjbOd7ZA3j8rHnnpiN7p4p7njkUyndVxJ
4J6es9R0P1rZIFkdxf2re29Sq/dA7yFLGDbcXS4zM/lhozKBqrdkr7oh75uMjTlfj09oRNzuB+7F
j2x9W4QNsW/l3Szsfaz7l8zuMV5OS5FY/Iv77ZAylyYCw+iCdaW1b6zVxEJFMRVl7t4He3gONeOh
Usz+NE6iWKQwabU9TFw2NNGwr4zaXjmame1IrmCzPJkPCogiuq1sWSbFOqjFuY5li3qCoryNgdab
9mZoCJZtNXNVrdv+lcC/RVe2x0AAb0UOEGXFd1W0z//xsAMd9T8MO1iyO8hmkCW7qJCZRQf/pIrH
tU7F5Lhy52avtPnxcRr78WGUlYmlL1MH3S3qy1hG0yPnk7jJ2HXuBta2hyasSXhu3YIU73TIP73f
r0o6vzVqfn+c+U0S8zuVzm9XPb9nxu83bn73yilKnyRx7JTOvJr9/I7689uKhG86gKxrX8LfLzMZ
ci2MnFQ7RCHvuprfen9+/3FkR+s8n+pzHrTBFi/dnMwNXGQP51ytCszjVxZr5qaazxZjPmWgRch9
FHLy6B2pULUtrbvnKM4lo6U+j4TonvSkbJ/g7OdHNFjNoZqa7iGa6MaC+aQzQ4blqGJ1Pi7OQWLa
fMyxpfFlzqdko7oYSGO5CEiWXKe/D9N+Ple1OMKu9/uwBfcjdyr1xQdpcA6OCxXc7CQN1sIy0xfy
KmgYpOT41oV0j7WS4tEOSuNnGGjjOke4aVUJl/zvS4D4A2NL2jdcqPmOCOfbopzvDdDD6luf75Jm
vlWY55QvxnzTIHLh0uG3We4jyA3rer6T/Pl2aud7ihWM2I9jeSrnO0zMt5nBtRaHsUnw1NROvxgS
HmEgkalam0b7Isn0evNV36EJg0T9qhyPoVbem+pdghzhrbH8ZFNFDKBSns117xKxOuUUcCZKzoU1
FhevzYoLyqYYFYspLtXAk2dhBCfDBMuXJgLU/I0HHzB3gMqwGphobsrO2LSO7jWoan9/RxDUOflE
Psk3YwhhmoepEGIJsTS7lkXi/vBr0zzmCYfE1iXvtsYPbVMpsLQsJJYJO/209OpxsDK2HhXC33oj
Qou6hG5h2YPxZuCVI6BNOo+pmlON66Gub4Juc0cm33tTMMrpdeLZYvIIVhOPr8rgf0dqXAdaeE+S
+p51BL9pkljOSSvyC24+RJk07F80Ma+arztnqw+CdVvZz0NM6TlopgWCcSB2oBM+BJ8ou/nS1U5+
PKcaW7iNQz2N757eiQULlOQgXPceG8ndx059TOog3RUeZXaf64fIMuAOEccnNu44UPR0ONzxo3/E
hs6sxIi/lZoz7OpJUBWnPchzdWqoPxYy548T6CCWiTe8Ob1RHgrW1ZvCHW2266W5rVXWrBBOklQ1
2VtflBiGCqkBB63JAKV7WKR68yPr9UfqQnOhu2O9oPp4rsrxBeVY8SS1inbMz8TW7vvBx02bIvf1
KmJcUlSOMNwqIBWGQXazW218j2R13x7azWDyrpU+c82wLenAIkVs29h+yGLw9rAs47d4Kj4cI6OC
cKpmmxH7hM3Ggn03ZT2PFdmedZ4Tvmu08aKrXJLOwgmZPVyYZUesLbdjkFNaVDrt/NXBjAaEjIqJ
ZE64NH5YvpRhx29Y0bXiCnaXbTDc+TpnH1lOxrWLsP+5BeZ6LDsn3JtVoO8qrt1zGXq/DESc99TU
Jp4CDhQCy37RxXwnlks+jYs0xIg9Apcj+0JGZIKNnM8uC8QvpLcO0ZwtV3tNRB1VARRDFX8qZb7J
7J3w1jNCfp4IQBCq8K5kapmgr4tvt51uioAtSuEew3bWYYnXiNgA/BBHl7Yxh5WVcDgaOo0HuSNc
Vuz2ngbD1J9xlbV0r8bPsdSttVMnzx4OPAP14VpjHU1nXDULWPbkfXrWUXlSMEvm/QLqTd6VRjnA
QPoC/NCELUgG5S7ugDug5RO7SEbTW+LPTWZkqc004n0leB7N9BI87vQRxmm+sgJ0hV5P5ovtMPTy
uoS8VKGsfaS5+lHIINlnnd0+hKXXXQf8yFcn1MbPkPPnaJi1txvnimqYa6t6rrKsud6SvyuvuQYz
NbxRmiw1WOpzdcaJaz8DnhtvzVy89Xzivy/e/2cbqj8vqP7X9qucgyTa33uqv+2t/rKp+tt//n+1
xkLm8u+vse5NXPXNj3+xxuLL/obrtmDWzTv031bZP22yjD/YHSGSZevrIgCZBZR/xXXbfziAvFmC
Iy70gcL9aZNl/kHKg25jtfDNGXz4X8rEQJfzD1WV588kVBvMJ9sxbJ6BPv//P62yqiLVNDK4+h0j
CsWgkUacmd0uJ8dsASzoDX1ctBhGMcetw7eZyu5rNM1XNLRvuZfpt7BGN+PU8lenOARSZEkMQtx+
pWmGht2tLp7SSm+Ps/V8PgBJ72ZhyyI6eUTfh5gVgtSOWpKjNKouUE5QNsZKUBo7byXFycbt1a2k
pctJa6RfgBYQOVhdAaXB3tB+2ZF1IcTTJH1Sqz+QijBwYp+04yR2GeFYId81Gj5i1mOIGE4stwey
+iSck9yNrmwxAmDBuLL0msbbsJLiBMTKOnZEOJAkWLknUYQopivPzme1v3oJA2ZbcfpDYiBIGSxm
SMcVzjzkPWt6H7ItkCQsRc+YkHDl/gbJbJs2qX2qWH/vzdTpNxPRhoRwBBpZmAa6n4XXq5H9jWP0
30YfXFoVuWujsbxHG+HpMqjEWtRtulWgcJBt18XZS0ooc2MbflqMUHcuZcdBtGa1QhRFcKUMvH0K
tuIAG9P97Fz10YyBWFqUoLMtv12aASi5qrCqz94NtHOIQ3wfSFqwuJPJasoc+zylTb9x8vIrMYiS
pQn2Hho9QcYdIenqE8Pk8C19RqWevU4FFBgZ1A1Th9G8+VRfVQWVqUTs/cD0MX2zSvVm+xXha9wp
i3a+rfNWP9nz/V2VxMNN852ecqnEhZ/uvDL4COZ73yW1GbxHRuaZNLxuPVAglHOlwJ8CXlM14hh7
2Z2FxN2b6wp/rjBIBo/vbQjRLPWw3rQo6bA8UJPIuTphbZui5AzIEZ9rl44ixrOwqXvMos8Ecb3y
vAZf41zz6HP1Q059s8rnimioWtrBEAPyuHbLEVoGxVMyV1HDXE+xuJlxLfZ7Rhb0LunamzFXX+lc
h8Hgbjd5X3YvOinTPKL+bVDBHTTKtbBoN+l4aE+F7S7agbHSIhgAt45jOy9rLbNuiPmFj12E7IOo
1JrqartjtTYcTVuJJs0eAhBza2Dukj7bqDYuz+BD1LXE+UZ2jNQNfXImBMdZ0G6nrjrPxnzBfLmx
jqhdklub2P6WqpZwCKd9MaJ2fMqDnBEV6/ad0UXFsrNdWDqJSdrlkL9kCfkV/KqGtXTUwBw76cC/
9Fr4zsx9WIepWZ8AZEaHSUm3XoQD++uF4TTmqg+br7Ii5Tai7GUaSf/l5vb4yCCQ4FXiTlgC99ay
a90D8FXrQW9CfGehgywjkPGjNMhHV5XfP+jJhARSc6efnQq4pCcKZemVrGaTLl1Uk/EYph3QKDqa
uQoqNwDnAOO0ITNrNxKrtJM+ZImKUb8pnCIjWDAvmDjp7iqQWv+q2sB97qPe29W+IqJdR1Ck6UjC
nEFPtrHtiT0uWHWsPSd+hufFHLesXWsh4ELdssnQLiBzJoq4LHl1C/NVF3TNsOIXURsVu6odr1VH
0vFQGcNMTJArLW5R8SAyxLAyltPBFxoDfzZTdEfya7CIevUqSx4CRQ9M78T4IawYN3hZCkA/evXt
rLrAkzzieDZXHuHaEbtI0CUEyyqrXPpafRyHEPO1QRTbijA6+odBeEc7yxNCC8PqFBpd8iBIF1uW
en/q3XjY5nZXvxbk1SzYy7H6qRVjNwVTqI/xf+et4uNMpuR5CPhnzGFxt1BMjyMJYivThy0JWz7e
V0n/yD3EpLIMAWeRh/tJFzTtjEy7R2OtryergBdnFt1DmfoOcv8pXkEQ7VeFGZ+IGAItE9nlo5Po
6Elj1vONQceHLGLuzJB2QeejotaAWO+RAferTqsdgul8MmWatIEk0s0RT7UHvhZAzuBZnMKx8wWM
qFgFLo2THQSPeeP+jE0fe2/C5oTVLVttHZB8OtDHWn07rQfSLRZ5iHuhLMIXzK7civO/AdmrtY5i
2HtlF5iv/sDbnDmEveDpDs4gfwB2moODBye1IvmpAe9MFglK3LtZ+d8O2a257Dl9AQtKYax9038Y
0GyT95NaGn4VIW+mFAh4/VRbOFpy8wAesGp2k5cKN/q6NtFgBJN4yQt360D+X7ncCcXS1YJ3trx4
moPqVznyQLltdh9qMviSUQGnyPTLNEzMJWpF9LGbPAOCxMevacGymX/TfqrCjTVQz/s5R08XFL/Y
BH9SF38MnhnyoU4WE1ikDmuScwHKwO86gMi84m9qzr4e4UzDVRobrrVUjCCWZTGYK5QNKCmnogA9
5Fm7dkibO0rPbjW1+L7drst31lj+0DVOITAqq9AM127nfKqCZZbt/GLjCPa8M9jyWc5flNz/Xe7+
56otVsCzrv3fL3cvPyLiaWZt/F8y4fa//uf/MP6Sa8PX/Vu96/xhmhSuno0IDFaza/5NuWX9MVfC
MzwCqLyn/1m55VLUQnRmromlllYTzfJflVvOHwb2F57iOfKGv/K/Fk8T/LP6GYqJZfkucBE4y65n
/lO9O/ktm2hFwoyKLbUuvB+RR/pVHDf5RdgqPMUZg1/A5c9llaJNgg63rRGo/BhtxzsnPhz+kcUQ
GacA7CrJ7U3BYRf+c4R1DdZ5QLHYzxZMBedLpvbwODROvpAmGRyy6rOnVuAnS4KmQfZhs+qkGGvd
s2qnjnI1hm+R0N8P4WOPI5D4c+YqBF0tKFCeRxH6m2aWcXq5c2Jb6f7wYoPcaDrbtjRpsv1gOmf5
lC872bHHQ0e7GNgXAimTG9kO1cJM/M3EcJUdU59bqzoHXjca3gz60lZlIB9rYVNNBr+kSZxblZ+I
AVmr1rwhvT2WTRUtcXAvoWN9O0Y8HjQRzmvh1J+2pmieYj7bhzLOS0iXWrUdvfh5ZC/mavLUO3yY
QVdZp0TxI8dWerEL2DVaCMOJZYnl9Ky79TLfxmP3kzpkuoQvbQAxo61hqIL3P9iGyC4shF5cR62y
ul9nNslouV0vDb/47mwsJoGLlhxp1ei78MySe81WS1Rcho2HPgM010JnkrbSpmSnqf5RM52BPWg7
Pvfx5OwtL19XqB9WcVquVYXwZvTqiLVGJJ7QQN+ENZC5xTUTkUtMzojy8Zzl9oPzm6LqEMeucJwu
Favrrd8hUkWF6uyReKm7lZcA+Wsb5ZrFBD/JhXrSs3Bi9NB21RZ5efQwuucgd55B+EHbSdziKhvC
s2GFnCPdfhBs0NPUfY0ydYFYqZZdPxL/JZtT1LR7DbCmTgkgI8B0Y7xWjiI0uG8vTdN9p8WTDvuT
Wy+wdo5XZUtFU7LujLU9DksdBSyx8Za2DMcJ4qRZX9Sgn1JHDgsw5AuCeRDBq1kzhgbixcwquiGB
e2N05++d7GvijBtic5/hN8ZLctYcyFsLs92gr2Nx7ktjW4OyLBzjhx1qTO2N4DtLCN8hZdrWczaO
9dXqfMY4yapMzVszCeN9wF6mA4mJ1zaw9afAxQYZQjxdmIoNi4Ui/WESlnM15NRt4sAQ2wLHw8/K
rvsj0NG4W7bKca9ZbVUHK2zVMbEb/4fT1AI9eBEdNSjsxNs2/R7UfvaakMoKbq5v45Mwhb4XSdTs
FAu+e+uRgcSj2qKL0tU74G5oLbUsr8Il5dbziuyDK9J7mmwMCZmeplSUhXsUbhkcUQ+7G8OVctMZ
xrw0nMYz+6z8PnXxeAfC2B8Svcqf80a1m3owWdA0VdD86CiXV7UhBgCEgXOG1led0sGXj8hdrItj
TP2hg0r4biRZT9tSjuBMAybwmZvuGxE4D1NTii9i61B1tGQP/EIjTvfKpDw4T72Mz7iF5MmBJn3M
Qt+g2ANIc/X9Ub9Ja6gvsCuNU56W4pmyKkBk5jQnHhXvZGlSP+XoGAjYns1KYOu8rZGZ2SXgB0QI
0anHJBN68Z+YAq3fU4i/C26ZgYAoQE3CLUDUZIDF6h+nFClNVGm1U7T3oyi7VHZTDvukHdpLbRWs
7UK4QZUh5UKZRr8yyF5eSSwcawd08BptxjMmMW2TWWQxDV4yT1BbgzT3KNY37BZaZFBx9N6FPZgM
6BbO1S305Njp+YWISxxbdTBdad8pV0I/OysQpwuepGcnHEuyvgJnB9ojXzLXcBZCOXeikMSi72X+
4PYR5lWp+vBeSWlqZHEohoWtN9XFShT8xQvqOtoS1yNWo5hwQC1btMMjMAIQvoQ62uU7sNQ6XtVD
VK6dySieYST676BODoQ0Qik2Yd95GoDIrlgqVKFVoZxl3XnFCmglqvicoBArQl+UGx3/KutWjd1J
VM1TCHscc47eMd5xDtB8xuVEhwl6HDmYBc1w6clEkbKEkHKyh2PYlCcv5vWPY4VwqI2wBMSwE3qy
6XMmBYtautFPMTjyUAzS3mho+WEHER1aqoRRR2BkG0+kya2aXGLU+yi/9JP0tkGIGaOf6N+JEHP1
k6zm5Mw+aU+AQ4Jz7+jiWeiReYpit76kaLxvpeHqV5Fi0V1iMu+O/K7HE/izGHdPF5ypNnneKaXb
X16ERHtBaLn4wlpWLMcmHDfN/Kao+Z3x57fHnN+jfn6jstbvDyIcrUuqFeNjVcf1ydYL7mfRDpeK
EcQKfEeLLS9Hr0qMBrDe+Q0O5ndZn9/q0EuLO8aE8UziXrRHlyYpvjkHcJsERzWxKavskkVJXczP
Qe0/IfLLPpBvDvtpPlem+YSx57PGmU+dbj5/pvkkiucziUw3fZ+yBDkVkcuRNeJcekWY3O+TlHDP
qpPRMetQJg6d6/9IMlMdq1BjEOSm3lXkhFbMTI/+SAHi/qS/FtsRRwsqsNi98qe1h76O3KWBYmQd
xziE0S6rWd4XNvCx2ymgQkkDgx/bD9LMgAbqJXLjxSA1VggN3XxpRFajcMuKfLgUXuIvdad2MJ7Q
yE4rM0AKgXwpCJNDQa1fveJPa1D3OmnV4Xq00m5XRs0QncxMj2gI29huFn3nDz0yqgLQc1PHaI31
SENA6wuholWgxprt6uRM3NeOM+kE8c09Q1UkJWDCznqwtME8+9HoPI4aCvkssNp1g5nn1k6Nk2JL
D3N9Cx0+y9ZaY2BYC5muIZOsmK4Nbi1XfgBnbNF4k9DWfZ5RAdHxsv33ODbfpgyy4nIShcHZopIk
4BEzagPqU2fe0q7mcynqRy9UE7yXBE1cq6plZxa7lkDfTeJ1z91wchGK0ivqZ1hH1dkGMbww8bot
qVHFAl9ouEQpny+MUAHeD6JxlZeVXOBzYCY5JB9Yh+RGJfKnUVj10m8syKnKvIZ6LS/g+M2l2zaf
sfeJmDY4KFIAOW+UuRo6rgGrhBNJACmBbCX7W+OWoMFZjZmPbhc2gyDJkTzhRl/3te0dO3d0d1kZ
QmWJrQMZCrcy7bnzYsM6adz/a32qfmZtqc2/I9RNqgJ2LuSV6/x5Mqr427GlIOyBVa/MyumYMIVZ
jJK5mOHrapUYtfpmo8EzCIa0slBSd3qCKTYmyPe/1xq/PT7/d33ef7jWOP8o5r3Gv2jz/r7WsP9g
ZMcO3QdfZNg4fv/W5rGgoP0jNgwoKC6+eeHx17WG8wcbBrxBLKwRNCBp+HubZ/0BxxJ1h27N9DmL
RvSvDqV/c8L8R1HfYBL/j7UGMW7QKZwAQZmBI/kfCwanbotK09NglzRxvlMIxYhoDg7YDSyoIRGg
MCca7yk0862N7XYZiWl8zttOe8J5/9pEQX3Wah/TSJiPRw8B7q0dbHjXeQ0dyKCOl8xVTVaMzMgZ
WixEE77Ypp+fwYXs2yYEW9X7/TFL25uGVSgkKFt8OthQkGQlxHYO2TXxWaKwHsXAhzhFId2re25N
2lFcbSwx7oGixSD+MFygMa/OnFmjWLHaZZ4nSsQJuHS3cZV6O60IbGeHtmR8oq8Tb3FVfaWs7r1V
1Fk1nsc4+YhNVIlwoHaxbV+SwiWQWWTpUULaXLWWDQ/cRojBwHtl97OOxpHMorUwvyWw7s9B6uxU
T4qlzAlebGJ0cVODEmuoY1RsIn7D6kEYeFfRTGjFDGVvZb2QjoVorpkVnwHiNL2PNo3JZd/yiKQL
etTqpsvkl3RaG/BaiEteKASVhi5pBlv9IzdG5mSsSAeyS0j+AJYZPQ1yBAUstaeh97JHcky1bSad
sFhVBHE/OtLz0ZlFkoUV62bIt0Yz/52m5A7jKE0JPf5docZzsRqaeNG7Gm4kHtBmYFicuSZRBCLS
9g0n+7Easy7ZhJPJuNsGGR2izAlJQhW+FhyHEvVTZzYh8TUYi8SW3fZwwOBQo9MPptpdDQ6e+AWz
kCEkXqTKEAHnNvrH2hpfimIshoU/Z9kubK9mADfAYA9geqjg2nk0e4u8tiPA5YHncFyiv9WJH0ri
N2bjzXnqOpsNACLDeEkYKB0iLDdj1aE+wN2R0TxVDTiyoBgeHNtqjUeVdj6i2aQFgY7RN/PW0ibh
dRE0FM63BOGK2HkEltckXepWtARdHU0rShQTQLksvssqzo8eQXgRZqaqqbbcjWz2E9Z+h+63uFQa
zazqlcEjZui9n+qg++H7LCLCWTq9y6GzWzq1mEdNbl2wHL9lrXcdkxlZHusmlW+zEx1NstPo54w0
h0Vplbdhbrsr+6knq0MZtrrEcxubQ1yXfX1KIhIZ0nLvCuB+TDiKmf9Fmt2ya0p+ZaaEuZGrfB/p
qXWNlaV98TivSgiyrFiuZoeRl7DrR12viVyUZA1zRG2CnFUaP+q3NT3mZGi3Pl8D3vAt18zksdX1
feWKeCUbVi/4CGxGOIlL88o6Ms5SEMfEpLpae/VJhm0BfVAZN8wfHD/aITjPFr0l7rk1EAebegkX
oRXt6tlK5ro5KYNKI0I9L9ulmiad9VGp/bBt7C21twWWJpiVl3IxQM/fFb5ezFy/lWeTocFUCf9V
aBTlWY8T9yNQ0RMo+3gVI5XdypCEpqFPNqlNOrtheXPwcej9nOyJcshQa8MfWyKCEzJoUKYJ0mj2
g+M9cfSdowSVl1Ur85DGUPZyZ62SLNvYynS3dcByin3M1nb1Xxl0WCgA6itKwwdLyBJxNIgRu8UI
wt73S3Z++tlP0fefppD/wghp/maX/2N/iAgK6qqpW/BycIb+43FfVCPopdgIdloESE/kgAGCKWP9
EI2V8yBQpBBYNfVOxao6bc96OcZvkAqYMWAPcweWwexzqaZd3jq3DIFQmVUfrKMxbRTPZexTxhgp
cRjxkKqXsimMn4MKeZ+NRkJDYKji1QtGb/hAUJOzjh6xHh1SQ/RiKzD5NPvGcDgsiio8UiUOwE5+
nyaI9zlZ6t+nDE6V7DjmTOn3fac8k0JZDqz3moK+Tbe1DWuQ5NYlGiOorNa9fVOj/W7mpssMkReZ
XbRBe9+fsrDdyADhUx/H/DbBkOi2kEcHfyeeJnFkKZ6sgTONy9QMBDlhUbA0iwBcAd3hNLeJCcfZ
yS1CZ1vXJAQGCIhpCuKWpVG4peM2D1bvdV8G0rVnyvVyXVu40tdpW0PhalMs7tuE8IkeGW6M44dB
V7xy9aTh6YYzQH9TGUn6FKvWkEdVJ/n/Zu9MliNH0mv9LnePNMAxL+4m5mAEyeCQnDYwMpkJxww4
Bgfw9PrA6pKqU+q+6s01LbQsYzFJRgTc/+Gc76zzVNM7k4QEXwO3tdkYxSYMY7TyS+/tLV14Szue
VCo9TbHlXHqHRBoE8XH5yqHQIgfz551LPhQQGghkvKFNejvUUOHjzu0hjqV3Kq/ElWcm5aZCc2xd
MwvMsOsspWX3R5nZAbY/F6g1TpJW4Zb4ImPvs5VFdzgYe6z63SUykAVVfhz/iJqEp3VMmv5tcjm9
8HqI28hdtGPMaDeVZX04eWQdzLEtmM+6KBNEoS45s4ZV4op9XgAMpFO44rZTSACMgW4USKQ3KmBn
sgUgJDYJDQmWuelcd+6LjOdxyyv3nJNkQOxcEvGXhNPWCOSAWdF6LMKuAjQ/HpSzpBDlAFJH+zM2
Lb3zGuMHiQSsXEvH2teyu7JhbkmLFCthndoieo5iexM08oil/4N9Dbba8MYcBqaafe/uxrn/LORo
3YBZ+Mmima1WXzsbyzfVLhiN4ACT9d0N2vZKBgRltV4mP6cw1FeDF7R3BcrZY9uyxE3rJCAmOsN5
P7Q/KBbddenan4PDlNdgAbdmWU90nZUkJyc1Xmf4+vtiMq2bsgmv0ZVPa5tgkW1JVPqG2N9qZ3d1
tG56dnWDqzA+1z1LQ2xWIW92RoDHtgsYfYLLqOq2u55riyzseZr2vlMznRzFAyr+8Tq3rAR2gGBW
Yk2EzrUW4SOgIu7Ix2sBQsRbOxySo7FsXWNmDDkZGH5y5YWu0CjfcucnaWdIRXur/oUoDKJs5lU7
p5+rTdHCeLMLsQhJ3XiT2lm6b/SYcsMu4lMYX+hQvXESz/6XOnVQCFUTN+nwWTgm4vckTX/JL11r
ESF5T/sYJJ4rxrbeGwqH1RarbMHSlztaLbd19nVx11+XOFkKXOi2jwfpEHxd9MPXpT9/FQB1HFEM
jF+FgfNVJHhLvcBwqPvfbuuPFdh/q9taaFD/eKu2+fd0azKC/nPPtXzzH6s1n87KEizc0BLRKjmL
Ql7/bLv/+3988xuqJLQYkBd9Ltpl6/Vnz2V+4ysQEzxkZhaNEv/cn6s185sNM4BsZ9OFL8fa7V/p
uUKat79CERZWmo19Gioe7R3Rsr9t1mplQEwtLQcPZvKr970bX7n72gsf06jGKpla23xiOzagoEFk
Tpio98pca9+Hb1L3iM2M+IR04CnrvT3I4J1FqmB6hpF71Wmc+D7W6Wi4JlrkqcH2mi2X3ezu01kh
A1pXMtoifzhZau31wc7TfC+49zxVB6fJj5ln33nKvXE9e68b586JLICTqyU/AOn3bqpDoLPNQ2DU
DzP+0ohttSM5SgtzlXcfc/4wxaBfinnvjt7Od/S1XwdHBphn8I43pTM+1TZQwq68eK65rTld8oLK
mBBMhi2PMykwKFicx9ZDeK/T2yJyYBnLRYXsqsMcsWmhybrrYv9g4/HDkjy8dSokcEW9pA4vGQsg
guW8I+LuLf3aD6Njd8d2ziHC7S+fvP+ikvodJ/7Hm+gTqmrzYeJT81vfPAEMayW4APIssLaX9CDY
w2Ld3LrTdOsrqKhSItSa/a1BNg+evP8Hbeh3jBgOIGa8vmeyOWaFzCzg7ys5RuJBFQoSvjmZ5rpO
zkGvdqPJsHGYXBepmbh1oszb99F8wTP+NJSJfXZRQh0Lj3Whv/o52Z3azR53CeqJZOdbUbGNqvk8
5urQN8uGJqC9MxEJFUDeUenmxWZfakZraOZIcdH5VsMwJ0HNW1VV5OLPs0/NCG9fEru97VvxY9LR
tNLjfNebyX5uWYXw7D3bjTghFrwO0v5UNrK5qpo6Pv3rY6vr5Ieq2upX97uK9u+ktv/w/1qkEP/T
tLYcGXiKzH86lVpL+d51SRu/K/l3x+R/fPMf52QAB8Y0cXlzIDEwhUr35zkZmN8AyizjKYo7xkLL
V/48J51vlsnhSgwplGUfQe6/n5OWz6yLDVTgORbf6vv2v3JOMtr47aD0giU0Bjwu2cucvih4/05y
y9iGrL90GDlJKil20GTUGpCKQCITlqA97Xpu0y2UuzIgyTdii08QAUZjZ2Rcseq8Dr4pQopzqb8M
p1UNaT8qmjNSpPwhS7Tx6FqRPMZjNVy8opQnVfgmoxfXL/YtNo6tb3Mgt2UrPwc7mFmJckJJ2JQw
2aPRy58gUObYbyHZnmKrdGhC6MjIXommO2+sCoF25yHu7Wk9A3Yvij5YiYGmsE+UOskgZMvC9SB2
dELMhqMx7jrSQiZD70uhiSysJqq1Pp/Nh8hN8hd7HOOHSlQlLQJDKtR28fWUwwFFjDfMH9ShLhY+
x4eYgRZbw0sH8p8d3VSEZB0QrIBTzSIVKiXv4zK2bX5bz1m6LUmzWpViPMVAQ8i/lUQ52ErsLESx
DOcgX82VZ30E5IIWq7LqMRcSFpmdoZBkH9oLaS8y8ls/48qIvwsEnIutJMTHnfiGoLEUQ7npXBPd
lZ05K9Om1SJDQlylvAHoqCtn3XnpcBor9TQlLK83vhjJb5zbcqTdKc1qPY9NuZXOnNkbm5Ts697T
6XtSOsVPU0ToP9Uw1caqKQdkgWY4AUgIOZ9qtzUICCxmyI40ZvG49sq4W8WGXeXcaDrGU6FDDMdl
/SrbqCXZGfgjLosxqRqmL6SVKaOSL8gdoW0AqpYHu+XnWJNdDsDBdEDSbIxwG16QwkRZEXIE/gK+
5YHBWf+JdlPLnS2qEU+0Ee793mfhKGJvwhbVV1i97SCrtzkf6++dY4tLRnDkOfL69lGWsnqHmyZT
PB8U9CeuPLte+wTL/Ggw6b62oaysDWZSNpBhquo3q6dlXs3WkrGVpqV6IAAqvDgwGaPNXOvwnGZV
eylk0zSroJSAckIiDe/wsYxPrUNDgeDPNH6CUnRRFVpg4B0/Kz48UGD7YOS2Q3QY6se2LG0sUF3B
lkt1uDUOCGBQyw2GLNGCo98l4wMVdIcfKJZaP4Weru/drpqPNjsXntusObBNMwZaW49NjYmmaYO3
eWzWkSmyj5iHa/nWiHvMUXneHMyEnNetQ3vEmIXtW45ukU2Yk4/mc8wE7sXjIzehS6/mZUPKGxj0
Fb+1PQXuKrAbMm9akxHsym8YK82tbOHEeD+jXMyvOh63Fg55tqD2j2oIiTk0s1R9uP5YoBq1nPF1
ZAq9aXo5go5u9SOa2/osifs+ZEz1r0rSDFEpxx1f9pN820xj+zy3PkLtuO2gOBMswUS7A8FgzniR
0CLV63Kqy13GCpoRUBAdIOjhP5xm2hOA/YMGqVDbEodKA3t0Fn70FAo6/7Jj7Q+9L/TWhsXdupo6
VTdrHRfNhnRRIiucOTGtdaHHotoKtJfFWrAQ/5n2tfw++1KezMzK4i2rPsA2BiO/F4MHhYgKNFf9
Kmua/rWwU6l4RDqGo1ky82jPhdtc6okWntD4lG65mOtxY2HvWnXwmPG59l5/0zTZBNWurKpjV7Tt
S7uIgNmof2YkGtJnKs7pIc+ZF4TZotvsDXq9OWy+m51IYVGSibEKyc1+dqJYne1IylcLAUKOGqaY
t71AbM0HljXamjLLZBDUzP6PFj/TIabMM5vEIWa0HKorrhJWlXGaN5+OEbP2o/NDSFB2Wl8nPR0h
0dTx5G5aKwWYbEBblWua34pem7B2/8DoXgbwV2LL3mRm2P6cnLYiqHb0V9Vcc8s4BJSpQjVXkZeU
twWv1DJBBocICTXPur0g4E4eKkJDdk7idXjq5xLhBFiuOCEH0XPZi/Q2YAOm1CwT+Gg2v0aiX9iK
4+my2rbFVTyPHE5hXj6UBo8b/MMEHIZumtfEhxnOZjMI7rpaiafJryIeuiYTZxOz9fdQDc0LdOHg
KkjzGI2130HsC+rYvq0Bfd567JG/NxO7d44Nj4+PD3jCpq63MGS1yXA9+R2kIGd04qfQ6k04VjjE
fpkN8UAnfkNp4zTARY5TbgpeuxElGheUaK95bt3iEDnCXcKrXO+Rs0mdhyJMbzTR8js7QBIwRgJz
+Wgo3H65kRiSDPjc2hlNlSB3i/znKTX1KscxcJulobnORQNdR1fJhfq7XMvZsihlvYoRm2yeekbV
3+vQrjcWtKDa9O3HDmPwJSMfYNNnqX1o3MJ8bMzK+EmaOCAZEQvSVO3KPiKPRhYtISQ+FmbsX/wq
eawq07hE1URIHB47sptlml2MFOlE7NQYIPVUuhjwQ6zj28QsSQLpeNkIKfVTYCBRjiyIT0Ju1+8w
kyKkRn2M+sPPUKrMlYaDhNmkiykdhlzPP3KJgc7A3qPWZV/J28rL23NRA5TBHp+8QdB5LRjP78c+
HPdRgrbA94rkPeonNNWBzu4D4Dp71NvzAXZBuWswIzGPCYTxR4TK1EvwWKJthbr23aJ4y+XARD2w
xBhszTxDY1Iq0znmcc3h0rK+PPYy6R6bWVeH0lCSVZaptt2iWy/IEktWGXN7bAGOTXSg1a+xeQ6P
LlfLHVgs1iCthmcHrwWVdcWk7n22Un0dtMxQt5wI8jhUkbyJzUE8mE5fX/DvpKROx0hYcHp4D7Yr
SUPKncX+3NpinwZjcDPNZtyRVLkwPUJT5tdeCiy0nsLotZ+y7L7z0cipJrd9bmVKCdrbGoG51Szb
cmtSRs32si/zSzISCLBykaZxfxes61XbJaDFnGp6FjOMTSyc9SWryXog9MFvkhWbIPvdGyiaYeLE
8slzWqmYFgeVwc4PO40Tp2x9WNsw6JU+oJ406Sd9DMnuqHBVpd7zQIjCd/z3wz0pXc2+ywrrVgsp
mnXntiwre4PjAdxuvPeKvHuNp6y6U6giw42Ie5IMGuK9PZnxrM7MYc/+ZOPfRWcxrA1UR3cUsKwO
m3CQL9Lq0MTlesBcAvbPfjTTsXnGGF1fwjbFKeKp+SbovXgAUuc4I8tRxTuqVDIXq6nwPyvHgTtI
KsB0YwxReRXWpblXc4juUenOQLPuez/mOegssOXO9N5hk2beX5TG1pnq4SMVOYpZBCNLEKpkmYxg
6W7I4E798Vc2Dv5tRIfDazj4j3aKeU7Dfn3m4cQL1CRlfQkWr5lsiu9ult/Dq0nQVsTtOSykwzNL
oh8EY4bLZeGG8dqYCIYqbcEbH0Ve+My0khuE9ISYrtWBbbqiZbefUi9qziHA5HuS37177N71Nc1L
fm7jKX8xcMuka69ogx9gw+Qemxx44JEsgxuEsQMYrrwb34JkMqerarSH6YCkZ8iuZCmgZXtxPB0A
3rg/ojzGflyaCI5LDKcA1Gt/WTOoIGQaG+Pe4Ob6SRS09zOOI9VvhzRDhNPPzC02Hol9JOYMdiL2
ogqT70PYip1R5enLbBjzvRkWmNYHRFjcbXJ4srJQ3iNKyW/KoZ8vc2J3P+2vy1dF6QJUn9kl6Ti6
n+TUfoxV0F77JRw3pYeT1cSxx9KHUERZJc3IYjOQCKcj4Ndr4eHEG2Zh3waZrzfw7PH6y2Ri39rm
C47ELJ0sA9KXEqAD3ppDo6nYOjOcdV/M2GrQczcdE3ozUdDrTLP+4RgNTK9KYY6GUHyXFLp5hgWB
37lB3pSz7n+Cn4fgZ5zG+EiOdtvtLD2yjyzKLoYE48zGkewi8yD8ZDxlyp6slTstHJUFvIETuevP
ibSLep95Qccw2QKzSUuQHDylxaEezSYjNQx+leVK6tBpwNQo+7KuN3a9mPxS/FKwvH0M7Wz626ui
SCPWOyiy8yXYvrq0cCsOPYJIqhtoXnvXbNND4JasHlkgi3u8485BW175EVRz8bZ02R0/wS7yTe/Y
xoPZq/4CFEs9Y/GbjpllF5SqXPhrLJfzukYKyVcGkxLDEBWh3lN9rsIY7xaKpipaV3mVvhdVruSB
HWx8i7eIPyHL8FnyPKTpXR8Wv1TH+JLHBawWvs2LoZLFypX31VrNrnuKWUcQsIhjCyN7FN6PIiV2
OZiFswZ272VwBQYKEhhVMD8TNxAbb3acxX/l1Ye2awjFdcvEoDWVsFlykRTuQXUtbw1lvFmE0wkp
I9NHbqT3JEP4tC6TqI1W2F8hH5eWjwAdyWvE7sWF8DzrLiU6qvVYxigABPRsmbfFDyhPrcAzqcDb
fBaB5eEbHwlbp4ws6q3fSxWs0SMmxzCjLhvjrLqO1ZcNl0gVeB+++b1wl56iC9wcLxC3+BrYvbp1
ekRXhddFBxwN5WHI/PZY9pNs4HMXI2oUT5j7IvWqo9EMERPFIGnWmIHya+QijTjaSiEZ9/sRJMbg
63b635n/f2/m/7d5FGOdfzz0/94B5XvP5O9umv/43r/NsqxvJrohFNDw4r1lZPXnLMv3v7m+zcbb
Wrzjf1FZ2dY3h4E//hbHtuzQc/hF/pz4B9/4whJp4ts4vpfv+hdUVp7/+yTLIjwEADJGs2VAxsTt
7ydZMkII4tqe2KMQKPK9n3saHidWbFpW331vp0jcWRPFdFNn5pqMMmYfZjZ5FM4Oh6J2fX0G6ks6
9kCFDCe0Wcv6e08UeDkM6I9JLdoQZJ0ffUrgD5n03dFME3tRGsVkD4ZEDmJxCVzwWoRaZuvAT3Ck
5xbMj66ZbwXjdFblTndIy57fgtWAXAHHGjHVaFRTtfoZM2RZo7YBnxgWCQ6e0ApuzK5PzjEj3e0k
UspZv292hcDo5nRFsm27NDiltoW3Us5q3YCc3MNjCj9TWBjFyqV53xFC5uyrqTcffLqc26z2mj3v
jL8p7BEwutPp+QrUhNjQi7U7MfsliF/WuslKCgAkpB1BgYzzdF8EqJNW8TBlei2dAe+m2wd3Ok9j
8LV1dRkCp/4wCY24cTL81LP31oXm9Vwl7H+d/MDugdAQ/zS70500SEJxnf7iA9Gh0lCb0fG7na0Y
YXuxOsKaGXGoGl7OjtMoajBwo+42Mou8x46JKXrcfIjMjeUkxDakJ5WNZDUGhbOJ6CCYvyxIL1lM
7DW6UIH7LHtRvVPTTaCSVPQWpqN7TOegvsytxSE+C8N7zFGuXKl0asFeGOb1KCXOdLOzofIFHXF2
iPyyo1eM/mFoYWPkcT98H9gaWKsaWVFBqhvbU9uwzqYfGMdKsOZu7Q4OfuaS68knrV31pfafNcKu
UykA0CKsR68LuXbaRtAwPxNPq63Jp/LA8AnDS+XKcm9Wbvk24OC89eH4rHKczx+qrl67YPJfw3D2
95TG2X1B7XahlfCeyBHLVzXC3TOqfv+MojzGwuHJjWrHc1SN8Xkwx3KnGts4hCbpdBizxR0XNC3A
iGUKzVrGJ9rNYCVaUX/DMCu7zkeHSWmeQdWFvWydJ4wd08olffep86m4gbigpq2aZHoYk3g8Frq1
LhRxvbON3Xp4t91AX7EscRA5tylGsbl700WkzxG9+4HUUPuxNQNDsvOoNDrpVL3llJZqnaVz26yJ
i3Gbm9DM8nEVaVIoQY9x8yFNM7aZreE+RJokNRLSRrwLBj+mBM91GZAxPTmVQbnUGrwVTTZiD21j
wd1eDnZ1ouxv1jZG9ys/xdlpADa75bhA0p0lIrlJJY1LMDv5RXdzdx6QlF646RnNCRBYD+FcWVdO
1rWLYNKqfkDYiG/NbgKULaxUACdrILWOCBNWtuUbJ+y65IJrS1cWP7RMbwVm4+tomLNLqzS0imgs
t11uwaANyEX1fe3T1Bi6vgtqHd0GCAXOsmCeMtQAnFctpvRdAIpLrTAOJ2eRRqAAq8k7W7IdTyZk
5b1pi+5cmrW+lkxZ39yazph6jUpkLabvNaaOcO1S/D9aqhAflpiJaNUAs7KpUQ8uYqZN4jBdTgha
2mPx49madJHdRHGu74LeGu/YhGn8gpXq1jURGnT2ACP87mA0pgKeMEj8W5FJ/Ik7XHW+0VwsLywu
CXS6p8bwNBhos/qpbRrx1TxW4hDNgfGA/EDcDq1wn6yoMRD8kBFx6jTVN+SqFPkQqMymtO1fJZRO
9C26fnIr09oY9aieEtljDUCb0a1ywItbGxnFLkVPvl8kRzuzlRotWNyCMlM0yAb+lQfHL6KdlEFn
LJky07HKSvscF8m8nwrP3QfkfLFLVvMmtlIA0aoPX+jgSSZrRX+P7mwhDKtoMT34L4m2in0RK7lD
W9/cCK/tb5DhLIxi5JrIkYs3rItQJYKiuPTekOzZpdCLzSwOMiwQ22JQNoMGwxdHKjUSR8AtkfeX
Z5IY0by/YgTTbHQfqKMzW8WlbsZqDQThh1BjwAS+vaql4oznVoOd/lbbczNinvDv4wZ9ZjFOx4Do
8scmzYefZWvCp1b2uO/UgvL2e9FYW2+a6RTNXEI4Vw6mMWOyvRgdo12fa9/o1rOD+V316GDzgCBq
5sowsglhwRDvrhz7RQG0dBnJX1vVcChiJI5+El8zllIHjuqtNdHMF2nRHHCrMAFR7MqtMS/rrVId
eEWLOLj8KrO7FgFdgH9Upn0JtVP2EPi7ND9K4BiL1jQut2rEX4My7Y11GidzT1TcOtD2yKjedPWD
aueJPkHMW9Fod1eGxXBvG/hgt6j6wwPedRxDuHOp5sdwpbGzzwwocvJXLwxi6o+6tzO2rqJelkHF
1Vjz8uBqchlqEaIwj7VzLYm3RmoXMSVry+lkabEnf30+wH6ZWeaK/IXu9JOqnX82epej3x50gYQg
KI0DsEJGJPG6cavoGFpOBeffsO9BfeMyTSvzAa4SmFtlQMeURON2pEi7vb1ypels2CxYkDwSgRfR
NH6NkfKuLBAhTzwfzRnxcX+w52W3HPfVZ9GRERGIGoWsqGf2moRZmbK8RBncdvy58zYeiuiBN6Dg
NUU+vmoyfIqBIAXXaRt5Y8U4a/gfbebuI7otc64u8E7NM5rE4kXDHdkOYDLJ/TIGINOaoMOD8DpG
diEqkV+FYdvrCDc/44vMwcNiE4uZxIFOtphmPWfvlYk8lk5pMMvJYuzHowOLdhx7kyFy6QHvDcvq
nvoiKa/zmEyUjVEAEllxDKzl0WytmaTnpkn1bTiO6kqHKr+LOjv5WXDigOx0PL3OR6JVW9tLvtv0
oduUcheugGXhrRzw0Ypy7vhv3z4UpHTt7FQAcqgSE8XVMhEPRHIwi4TwMJ+VC9O4W4MdU4mvhB/Y
HhW53pseTsIqMEeaYkoLGvgsXqtWj586Gcdfuhaf9H/qzc+Hd68eTCZmTlzdhkbsHQBBA9b3k2Rd
VrY++7bCDVubw2l2hNpUEWNCv4UyrHOup9bs7Su7CR7FrDHFCZ2h+DJIFIYYu5Gtb63yuo0hjLnl
TrZ9ckrLUt92VmTsowrFOqOybq9dy0OYjKnMYzj8ySrH3vGMxvtSzjZvQ188Jm7lXSd2EF9MNHcg
zIduZ0BWB7+cew+xv+wSSq7OdSrmdOM6XY61ewjjK9Jdh13rM2RQeJc/LJbMW0Qt0aVImM+YuvLX
iiMKY1Xq3vRVkq2NPIJc0RjxJsptnE06KImEYDDvbuccU5KbMe5bi0T7ZCabcpd2PnGjfabRW4SV
c/IDNcAqGp1DMXrWQ9SFcqtqCIE9QsmDOznZPpu09cQgr8Jc3NqHzBv0Mcmj6uLrnMFH77HJXNj9
yYubqO7Q6AxbAOkem1EwGXCS0idWfHaeuOjouD0V0B0kntg6OsiuEqsIDn4EfruP6/JXUGbBtde6
+feB3CpQEqW5RSpLxEkG6i5sJmfnE5N3LIfa2jhZFHLVTHAoqAZs/JLleG7N7o5pyI46FRe0P6co
g9SzQfAQ6iZ5M0zGK+5GubLjCrN2iUbECxRwx4qmpfb8Ja3SHK9qV3ZbFWEbX41OohGNsG2hiTeq
FR8MJmoFoc33ZsZGwXRmF55cF/EXsI4BdxNd/aWz/C9EPeI/iWp+79N+E9UQqj6n2kzkgT0fO7KF
X24Moc+SOEjILSeyDRiJ8b0JxfgYWFb4MgVDfSvkHJ+CSTSvEfEx7Cop8GGsiHgv+6l+HO1w3pmu
0YBZytgTkQZ7KQclJA9tAgrZ4R2AXuVQShiRSF4cUFMGRU0JDlp05Z6lgLNlfn0KyF/6EXtVvCG4
vSIrJm8PSEGf+qYF59LV7jbCPPoi+h4DmuXiFGzI2MIszENLgu6NkxPmBoFFuZsCzw4eaN9/o1KP
964Ao8zA/r0a3Evf9Q/E48DeJoAZdbGYNu4sp7uhL8+Q++Yz2m6fChy6I/tbxTg2G6T0dvmoZo7t
WLmfomsYQRnOshidCorC7WBY1fMsihwYbhJkHLHSG86R709HyeaejOdYeHdE2w23bT4TYzhyHGAn
zcRPpMLJZx3NA84VAzcGY+r7as7QIRmyWc2I0MxtNQ3eyel640CIfLRp07lqAGnDK4CQZo4/h3Z8
aeXcsMR0k52jihxheZPvoAqz8WdpsLLVnFxH2g0GcA+q81e9y5qqr4Z2C0g4uZ2zkhua2e9VRP96
SeAtoRkHvHnPgx4ex3DUR1E5uFNZVEAOmtpfqIcpBQutx0dZaFI3e+oFvQ4a4PPrwDIqoPXU2cNX
yZ1/ld9iqcS5hSnK01q3W15IsTPp5fOVqeGx20slj/2TsylY6nvrq9KHN8b0dan/tRF053DpCbKl
O8iXPqHPBwFGJjaC2zbVFllwYftYLA2G+uo1PCozDqOlBbG/upF+aUyYpelL8dWtREvjopXksobV
voYITlqbDUJ1G0uEbuFXyxN8tT+Wr8r60DX+iL3Ss65G5eLUcWrorCrjgxtmcC9jMqne2TDgPcBX
thLl0F0cdGP7KYDvwSFGvzU380ONQ3WTG/W9IZLkUBu8YLZRV/fANpx1lVApG1OL0qeiFL7yR2jE
g6RJc1SE8LdPe2I7AsowDLBdSFiAaT2LxnXXPeCTSxho/6nhPSCQeGkZs6V5zL76SBQA2bXMOiYF
NJlOSQKp/uo8va8uNFwa0tqys32zNKn90q72lhefGzrYemllQaPwti/tLb/k0ujS8qql+c2XNhil
Edu7pTV2jTh4LZ3mdWRJ8+EtDXS/tNKECJZv5dJeQ16l056Xplsu7Xe4NOLTV0+eL+15sTTqiLbF
qVua93Fp47uvjh5bbQQinTZ/Xhr+lEO6iHCOd2AsCow1y2QgW4YE/TIucJfBgej6cPPPT1Tnd62r
5QhEtpbHCHXxnXzZD/9CTWxDRD9gdY391AXOVcn0thNRAPEb7LcQ1Okov9yL6SyCAyvEgeuSc7Mf
hG+9tviWy7XCQ/A5Db2+KnJnOhmBhV2Iad4LhUH1ZAf1uU9Kgu3McK4pnvS9KjoATIVRZ7ynqb3A
OabsAO6upRXoUtbQXmz4V20Ql0Q3TfxWdigGKqtoLt8VduWGO8cjj2NeDrLs60yDhcj5Nn+ddc7X
uSeXIzBcDsN//oJ9ARr+w6DjO3/cQBTTYhlz+e5vutJQsZpyQKbs0Qc9zC/2S/NuvDT3+qa9g/FS
3hr5zT//ic5vDtDlJ1omAZKW44Qclf5vP1EzYGE4nkR7JDbRR46XvMMank432ZjMgqDTqj6pqemw
u8eZ/LDcudtiIcx+zZY7QvyfkmhXphr1nfCpqLdzZHOHi6rGK01WpPEMucV7xAjLVeeVFWbIzPED
nG7ZpIjcqJozmBLyWPCpHKlkOJ8Yp6w8H1zDOGN/oPxk2FCku9yxmt2EX/IUVO78hgiMTDDsWseh
cYM9wWHG9yLR6owUKrtjyxWfRN5bRG9RED/I0JvfHZ2kgDH1qDfpmKgnoJjL+VWI/PnrRf3/Bsf6
Hyw95ePzj6f1V5IEnX80q+c7/zar97+FOI0RPKAVXcbrDN7/0OcH9jcm5Q4eCvtvYYZ/qk6hZQU4
1sj9RYoAC4PK7M9ZPZGFPCuo8wkyRKDv/UvqfDJmf1edIukGJBtgqcGz7S2kr7+CXs3CxCtpTBAJ
LYexNZDrquRsshhrk3XQEwviRt4zj6mZb1rlJTwNbQYhEdxkbG0QXCBaj+pmeNCmDu2V73bursuN
4joY+2W/Kbv7Ci0Ji7FKr1kHzKgPpjw5yL4qT/xCBeFD6EV0iMwROH6gx7NXmeoEdb5Mbl1ETGAv
PRunWJ6nPqJV328FYaJVfg9/x52QbE0T+0V/tnGJNWYZ7iuflmlVobhETxoz+1gFKbGmZli6BCYN
UXo/9G5zaGiLso01li+wLsdw3UcWMkZsausswLbDytvuH/3Ww7xK1mserXRhRXvt1j7BU5AZq5UG
xLVzHW9ARWs3frVLZk3abjtGyU3S4VfGA82cfhP79WxeUaktgH8SpLMV+7rIP6QQbcyDM9MPbiPl
JJyxnvbGdSJL4w3paQhvIp+ScxWxFm2YLpyhlDnmSlWVn5xGgcpuQywuhJcliNpDpanAx1dDFBDd
V/Wvucg0CX99V/0Us2H/ko4PO4rSGaQjDrzrUYNrWXVu2DarvsVXToDjmB0sQ+iLMRvDXWqr4odd
SIMY8lTG+RbGkfHSNs4EZxozYLV3MPteIGYxcREOEQ+ruf036s6rN3KrzdZ/xfguztXQYNwkcfAN
MJVLsVTKuiFKiTlzM/3681Ddslt22+OxGgeevrI7sKhd5A7vu9azqOfNKWomV7mRtOw38PgS5z6K
Iqe17mivolDdqZWgJffQXQxvJRVYQmTQjPjWgUVQQihoDECfiOFBSA9LtYZ1faUVCFH1qp4Eekqx
C1oqWEaTA7GPHPWs7MHCzEBOpt0isSxnGVtpcVDrpseuFhkSPNMAA7ew4yOlavQlwPwCkV2BKC3k
VDMbh2xYN2aZr3JLG1aEhvU4r7zhVPUzFypHXN/0RR7emm5E98gYAYI46kQ79prxUsv7fgd6hTjM
BhFJrLndeaQx6yexhd24KONTqWFlk1yLdlgP+F5DzwTly6EglqmTfFJfdmOl4/MOwQZTEJsUtt4R
ER75Rk8Dd5UZIqMhH6Q3lYb+L3eMa+IX0ZQKkh+mYLayPWYnwZNPx2pAloZqym2x2pPuUcw7qTo4
fsP6uPSgdBKJRMXZz0AMSdkfGU02qefGdl6qgo6vIMQCIq7J+Mc62EYNutSFobfOYsiofvGsG+tC
j+xiEbB5e3U6s7mQXqGT5mVpl6PfjTeIbEGC2M5AkSkq7ZbDQ5HdJJwobnEhFjdx3shXutzRja1Z
WxINQE3HXDtSOVXOayI3doOelvelntYXWWpqB/gwVj4vddu91EMqUVmAPXwepRxxyKsYYOT3kREt
O2OgNEz38dCNUTPMCqU2r3W9pGbQgg6uujbF3RPZ5wBRxEPEln4ZpJaHEVvU1CMdG41qEWpb9sDJ
s1171KvyUtUJM1Gs4TyyM3RlRGkUr3pYajfTg3BljPb4GthdVyycTk2uR2oLF0PaT0I7pYV71qTV
nE5Gx89J032R6I52bxgcJ9bS7DNr4SaJd2YYtjwamCP2Hm2blzSI4UhRuBxuYzdLmlnN1LwxREyS
RWR4xivRBehqoOHBP6tjXVxJN0PpLDkFzmE1++wN/ewgMH2+6Bxmi1nuAMtWQ+LraQ9kpN1pTn/C
ub1B8zeG46ovGrIOYQLNTNA9qHk5ltERQ7fAhmjFOQCxBzjw6ohqbglUOuHIQ0yJHDcJ6uOSWmwg
p91q0k2YHCTpwiKk0Gn0eu/rSbkOQY3mszaU9SVxEuFSCKOkcQtvyRCJt/cT07ynZhYfkTDtPShd
fakWAJwiX8JdJWckugBPFKeEhcXhDPW7jg7R8OWWXSuEYo3wpa2GXP1ExE5zmpTwJ2aUG4Pz2Ord
M0CTnMCiUZEMREKIdidqv9voAB8ukdAkV0Hrk8gYKd2ybX37mFarekE5rTsK2Uhih6UvFcYyRY1F
ss0yjnv3PM2GYdPmYLI4RCm4NSQBNLNE7UIFKWEj8GaHZWjNsQ2UMHwG/VoEdX7hlxGbtaYVR0j7
0kNfl+4BUSEZhKj+iKowjOpZaxobUWWoX7Va6CxHM7OX2HAd2HpV8eR7fndwi4gCBDkNUPJihW7W
bGy7aiMGAr/ozUzWcy17JViiiqlU2w7AxwZtFae4YaFbtbWlxZWfRF1sQPKbRnQwSGCyOwsmMlbY
bcCu/wKAuYIzQHXSYkVqB+utU7h0/1C7T5hyKyXXsWs7+rkJBYIg1T0yRQYQCa2VynMtlhyjc8eM
IVWkNv210IwoSoTDRQVskJW9qquLLLdT0lE5p6NWjOAmxBRJTxB8lSxerYjP6rr3YYSl+VFg1aDV
TarBzzbCxnqmcCRU555hhMdA1Dp3peutei3sJLxhzcZED6ofW67t5i1nTMU6ThIH/7Ow3Gs3wAvG
CR6xqQMvgwRaXSrHSeiN6jZs6+yKJCADSAMA8eOxVFTzOMgG4zYvVOL6EEVuw1qIYmbVWX7UTvv0
Jrf1fa86+pHpEvvu1SrpM44P5iofu92Y1QyIy6Q7U+ymubXcMn8NnHa8VbtKrBOsFdt6dNDyjE62
d73SPLErInXoVtfittGrANBuB5EQAb5JFgc+CKrBxM6cJV4Z3+auJoCiMWZrj4oLUsnaTU7cQTr3
7ogJpQ/FnYoXcj2IuF/oisnj7JvAMavCvFKwH28DdJlwPxBH0JBFAnlN/4sgzQLM0poORXKf+Wp3
ozN1FrNIrwqSnTRSf5qRaF4SovqN3ifBkQhzuR0GxZmKOWLteQTDA7YoZ0oUgX4Pu/Zh0DH3z8LY
FHO0rPG9M0wsA2RkzqbyVOfMQM2r0yZX2xfPqsncIS+4YmO0VIsQXLhRT5wiZwP6JJ5Jzv/HWuNc
AWmt1p3bXmp2W9xWZlKtW7NqCMdsHWasqLXUda/UMDLyxE8uQx6T27JXwdbR891gzmnTpWZo4V4f
3bY/QrJPgmQugQItUV6ad27dDI+FTd+BkL6QvlSXuMzqUerVEp9FATedGFoYBX5CtZeveSTHR1o1
03aR3Iel6BhEF5nloLN8rr1JaT0GMt5Fb/Jrd1Ji54Oi7ATibDBn9s6f9Nrhm3Qb4ImxlWYHxPBN
2l1MKu9i0ns3k/I7mjTgEYi0la8GyNzC1rjqzK3HkMN19WYFZvPTOlUpiqiduezSijaJq3LmzoJ0
m2oqcms0ibvaaYqFIrQzG1z8mWCrPCsrtbvwJsl6PInXESOgY2801thZ96Zvt8vOXrST6F1O8neN
9suJX6b0QJR6EsmnmIZOq5HNIkGhlrix3gT145u4Xh8yBUAlG0Tk7ZVwFsakxC+Z61jBBmtf2HSu
FhNTgnS+Mkvamac4LqjrSddPB9g967CT7Hx7kv1jdCBYrR16EOmTL6AWmrh2EjGcEPqIbcDMWnFT
i9y6YLKja5OWanDPC6yujKHL2EK/mQ8mG4I9GRKK2MImwn3qC2otzpHOD/7qihYuUtD5NtVt9pvb
rEsxOiRvpgdUMzXpOJMXwqgnW0SaFEbGrDloykLWdN5nPhp/xHa0b7CB+T52YlmTWIx2wNJRL5rK
gUTb+jKDDw7rnj37okAOeD7aibwn32AoFmU7ZKfSsWmYOwKcaaSwxRnMVj13apHc11QxGsxjUZSe
11mgGqhUy8RaWIGJk4IgJw83S9vDJlEJBzU2fUGfkzfCxc3Q6u6tR0INOcW2h1onRndLzY1yO/lf
iUkqBwxJFf/FqN3WNdXudSNU59gdqPjScvLD61xx0gGqQzXIFR1T87Wu6KitCyrMw8pTG5Aa6HEA
etMzrIPzxjA5ciQJsX4ULbWRRY9sMdaqYc87Q0ohCVFAnYKRvQaz/3ETtJtKptlxj+P8lmnJ2ouc
5SCMPPc4a4fmsgfESg0/GW+70bcVTDZhDz4yj6jxBGqC2qIUhAn+/61+fOu7/d+UhDNV71SdfjEE
bv5DZ3/6Z8WSk8MzwsZvHbrfvcDXmgkMAgSJBu8oJRCqI5TpvjIN9J8tKnhTcdXkP/RfMXKG/bNq
21hIDfRGXwlzX4smhk6hxaYGQ4OQCqtFJ+x/IHB0LCo23zAN8HGCU8AN/9ZQ+6a+ayYNmeRxE2yS
zk6nMjh0HBoXgHKcIi0542DUPbaVzFlLo6oxOVn2UY6QHam5aPAGFZOgIXMGK13YfYI4QEHTVbvO
cIMtxUUohZemIOQ6BSAVIv3ZQ+KuL+xYNfu5HaVUzA0bEV+Jys1nv1m0mresDRXgfh2Vuv8IbEYp
8J7k5imCHeMIt2V3aL0heyyC2ALoZEbFOk+zKp2NVkgrK2lrkru6QYiHaiCqbGbkbj+sBw7tiOyS
pC23UBs9ZV4OTCoLCWamPIocEV70hW35czgL5ZUFhPKSOanHrydBmvVDJe71IU53fa8Nyrxv9Rhn
RQTIaMXSHxArhmbivowGsGsuChAkm3Fj7/ssJFzPoor9FFlKf+RGqXmkQRbbs3HLllP78JKupLyF
2WbtUiVI93aK519pTHfD1mZcT2K6JdGctnfSUutCCcKxxPDZr+mcvJxVKyvCQfBFBU8udZhgoyQ1
IYKJLlqK6HE3HheKMF47ULuXZNCOL2GXpqw6flHeg2Qyz105AKwI6sir5qkZ+de2mbQ0o2Ta7ALC
0c5AfZLZQ12BkD/pD+06TpDgAXJou2uKc8oN1FcaZkSSqNdotghgcQXR78uQZgtgsEB/jLSuxIzi
ADDXm5ggMdXHypoJesRYulN7mRZMd2zYmhO4PYQhlkaVbWwOVPXWTNE/4QvImocU4SB53ywwL37q
9VdWmwNCrs0GtDrSKmduE757SuQKqTmU2pJk0bgmMS5lVLvnGCCSknZBhDCXTQvstUFJ8vC0G+0e
iNJQ5uYyarHrragR2C8Z51FE70lpefMiyopxKUqd9AzFTaOc+hKOXXp0wR2naE60adhjJbR66HW8
NWDQcNGm3cbKbEkP16t6OQ9p/DB+LSqKOaCqDOUbRoi9BfK4YvSFf5ditXoNo8IejqpE915QozYb
Jyql9lQkLVsbNvdauzZSb+SR6vHkEsyLx2DXAjY6kS75TZjYEohmXVc/SRH0UF4LmS3UMOX/a71W
TjQlJJmylaBIzHwcox0LkJAzs/cQrHZDel02vvk84Ia8R5/vIQ1C3lygQsBNSwqStYpUJTYx1mbd
tggAqaKdEja2OYWq7gI9WgIHN485fiPSkKvBxQ4xC8bBeXHbSuiLuHYxj9qJhZi5b+wLVXr1FixZ
jb0hlf2lkrj1o1tZ9W0UBeoZyb+wrmTdABcKeoEIt3Lbi2lDcdtVljWrrA6R5UhXoU2Qbi97J5qi
nVqvXaa62xA/mAd4eIssYSzA25OwFLGVhmkcH2dabAVLEYnamEUIFbc4VnDuap4BuZKnEh8jMhLc
JmzvCBewxZLiYPsEbA1rtBZJHDfNMHIqx664x1QYQI/38sIjaX3o14RVWWutSNStXcQUbXW+xvvK
jcfnRql9wUlCpQ6XNsqptAP/1KUah8wqN+19lxbhZdsq+CCSVmhbtRPjxiTkaR86Hb11uuzItLpM
IVdIZnd5HtjLdsSoXsOVvGokUw52aH9cRTGqk5nlFuESnxpHQvIQogd6mfl5lFTWsi45eNF37rck
FY3PcjBIuRoCfOnrOM4xZol24LuXcRHAbez84p7Mw/je1nydaB5DI2jH6u1qxhzeXPPt9O1MhVh2
jheboEwOf8ORYvVdPeswEVLCdhBfeKECKEGlzVfwrEb5I2IGcdWYkoewVCXxoxBYogctN4s7otY6
d1aW1eT2lyZFeBMBTUDWVoSjrrFp9xPkpBY3dQRjba87eHb5SgwmHV9FwmgoNKiPg2hAg9gy/CMZ
1c2UNVEMxKbpSWeY20odapy1ZVGdUi/yqFRk7hAvbF93z6rSTh77wA9eA6XKF0Wthlc+xVpqZQlF
5BlpRMRjlF6EC9bP7SXZ2IQi+NCyNtQ/aSArOXHoZlv2aGhA6B3JrsWaa7VJCsUtb/IzQqYIYSWD
ikqd4/W7riiNcaEQELZu00DdaoDawbjLxJz3Kb26VWkY0YlRaQhN9Lwx4AEZwbol2ZpGm0/SdI26
uqJafTJERQHBOc3IZS1NkLClSKNHu4wzrKPGcdeHHaltCYDCGYqH8qLI7frWSBBR08dVDVohjTWV
4Kgzz3L0NOBV7fyI18bKb1PEu3jVm3pjC7p2iD3EbKDyjVYTzoGYeEBx6ZLTmbnJUWB09O/Rtpbx
Iqw9S8WFPWbMQ5ayrjRqk/2FrgGhdlQ8QwmrAQs1JtYkSyByjPkkPvGcuZnVzT7zZPtqsvisCdBB
neaSCgITcDFi+d6MlBHof9f1tdFbxsaJLZtXN2Er3Tia+QJMmwRsVP3uTmqYJgjXloBdETEeaR6S
RCpMEh2mRrSWQcGeBJMw6k9Go0Td7OcqXEAPkbrFRL6MugxTs9b7+TA30YBQwhCaF88DBDLrOhrc
iMT4Mt6OYZ3v9chMjnoetRPHaai5uKF5LAPplBiNZX3n8pxhQc2cJ4GBJKO7apbnZpo4ewRFNFOa
JiOwqfBwPveK/kyNVl94tZZdlBFY2TIZQ3PJadTcqFZTXKsZjB4KdiMGtBLsRRDbUx5LPKJrFr46
0+zIPsvgDzyRxQe+qcKZPRdVU0wMJms+NiXuYQzHT72vFTsBAfs0w7DgkO4S+We1VdtLg0YU/SKQ
DjOFo2DDnku3H9LRAJ+fy6S/FmYIyNziDPniBWUAAUohCUUWNuTDlLdw1hWNxgIKMOW+NQd7abeQ
4RXTICO+VD3/3iboHn5E2PYPigiUh1iaQA6jJgI9heN9HTiFfe6qwjhCrxO/cr/VDhbn8OiOMgQV
XAw127OQnA7i7Z0GtHAHyTiqO4tjtw8gdCYAPF04fuWswHl0N2A7IV2VWXpwdcFWg3ZZRwep9tCd
e1WTVXO9NPw1X1V3ovl+w+wQetVFSKm9ZPsiYBo3Y8JMBSekSchVCaoQub8i87VsaPpsYcypPmh1
eDOrRAu0s7oozFvd7ohU1WuUISty5lrSdioHw3+I6/Q49O0xJRu+r5tFi9SUALtR5fyMfFq4c2/o
qvuuCatoUYUBeJVwTLzTUOhAUS2UD1ueEHfE3x02Bz+wWdQQRWn7uLUZf7j/JlFVaSQpbqXJjWkG
5b4okzqeVZyH9tFguotWaykK66p9HNaWc66hkn0JtdJJZjwFmb5k3aUqbOuSI23sVNYluvEQU/3A
lmDWVXWQkRE2FiGYCY4wO8dKW2/VtZa5sRM9z8l3MQuA0OTZGgvaak17qofUmyDApL4/793cXgsq
YPsk0YtyMbqdM85yNzFfo1RxCS1yFe3atZQBo76iPjtOIiUl9JGVnH5hI9ms0n+clbLsCwg0EYyW
uglwFSX+q471aN+MiJgGt9DCFXtMLNSmEy5HO68upIPAtUIDdaJlhASvBnZt0cLsSYAj9d1hnpKx
A7629g5uV+p7NWOLsWTX6yrzKnWtZNkXAnkuDgblFUT1yB5NVlvEQjAXxpZenOJl/bKyDV4Tk3UZ
c3pP9FAZqfnBcMtC30UtXUmvRdDN//W7XE1wamdF3hHTXFTEsvFU6XMwSMGOcrC5NWKHPHc1RYFJ
XZXMdtRiJWFF+Fbauc0l/esoNLknDYH9TdHZTr0oXS95zRGX7cEKDTFbHVKLKLqSZhop4wKrJF9y
1aMgN6pmKTwMFOBd2AHOBp9em581zVKOhO55RRhbM0v1i0OQKNVx3I80c3oNgbrS4O0fTAIB1uT0
2f0ptDzlCnotV3ECivU+IhKOZJw5J0m79I4g+FdPQ+KyaR6JL9qzcheAe4glPybXOcP/oMYFaujc
WKuQP2ByE1IIhKdf+pVeLoVOf2mWRfa4NSPIOwpRAks3p10lh1qectPmEZge9Y59QLnEhArEhYBA
hZcmyekSeCPWONRV0I98DBNRLPe5KdGXpAaiGsKkURbhZQ4vaFInS61w0RhZjmsdq6nOdsqKvaUu
vEf2qe5a5Z1c5rJBe+i6/oNepc3joGI8mCmh5i38QY8f/Dq3L/xRQ9fE6SA66nIlWY9KmpKs1PRX
RKzusEqTfoNV4gLFMO+l3qMm84TVHzll223MIvGPKfjFjLsIyVEkixqAYGit81jVb8tqpGOSh7mY
dug09gNVRdVpf2EF+BG72ThUHy2mmE3ItpTEiz6qT3FqkBbekpwoq5akSF0Jo4b+45hsc5gY4QyV
en5FWJSzYgsndoLU8UtzpJ5ri1rZ5TUEhw4zNgbkSLRXpVL43YyZV98K33GWdt8GV7x63n0gdJhc
jidpMro+CslatgBpkgwALoyd4AiOjNi1pi6ItnccAlINocanlmLITYBt/CzUR5x5HgK/8yopfWSu
KnlNsJvsrZf6Az1pGTWXeO3Da5nIdocSyXri3dV2WlC5LyUsoVXlRl46E/oABUnpTCSGTc6uXouj
LUCZ6NRWVaAMakstI22Yr4DQ6GCKnZR060wGC5ml6dpzSqqLrtJv9UIUKMzN/lhJ+GFjm4tQ482g
TDV+LpYWXbHbiqUu4NPQr6oqoJpQbZJLT0+cqyaQhOUOskAHWASdWJVxhArS0PvTnMhuhBzsXKw5
mZzZlZZq0UqYbbTLTf3V5jDIqgz0uV709MVOUKHZMCbNatnGMf0XPHbdjWBR5rscy9xZyTZvnmO0
avP/4HCeFF5mJBtjsNjRJFXfL1QR5dSLh4CcJZYUiWU0UusvGMQfLbT6XxSnbb+RHeGw6KZmEf4A
yPTPioiLw3N1+Al39E9T6GD10+bQviThT//Fb/whL/W7H/GlzGgbpBLaOn4z07IoPWsIOr+WGSd0
KjnceKm/eKIpAb6Ls0CnYqGmxzBVPU0KoL+Ks1Rs2aQvw2MFl8Ul/0cp3JoxGaW/lUd+YafyUGtg
PCyk6x/FWRyXusgXo4mj8loO+al7pa38FUpYdnmkvzgTFHSl1nvjmpxUuNojSZ1luArTW69vFiF1
O6c1sVanD+zoF3FAbgvGV2WFPWPdsqnw6nQbOI9DT/WmIIlbhreye2ArtFSo4ZEdd2kUCrviAWp7
tTKUI2JJKzh1G7y/rX7mP8ODB1p1MiBpyrrTvJJzT7xSrJrHFdQk2tCagMiHa8yF1cz0uBig4CXB
sE6nraCg1NPTEOZ4w+tTrciU9qed8VkfPLApY4ffPaLauq4b9SItR6TGrIK0BYZiWSPCMrOnJjkX
TssMA32FgxPCHGbPhD0xTPHO1ndwry79BBybUa3UQd9MbU8CCBI4KCdGr0VztpfntaRDXvrVQsKW
FZG6w/UJqT1iUTTyFwuBzjwrzXsVQzdf07LNYSu7iDC8bmXW8WogIL0iUjgS1YJgj1MjbHaNMMhL
M55iW+z6nHulUWXNCk2/6RHe5Mq40lM48iadj4iy9SwQnD7g7/jA4MKdnxac8LGAT1uts7JGONef
fvPafMf8wTntt88W+36V+djWAAfb1NM/PltY62vQfwiT+zG9rhrsPKZZ7/rW2jCTLi1dLReJLY6a
OFsnxTmS6bWlmcew8OQChjRs/JrEas9ztyJMNrGi0ubtVlUEFUl6xs5oc7IQrUvDtND2R2yi6NCX
2bEqzXVVZMdIrDR6xCxc2KPHCysJNgA1SBxwzxq+QhBsr2Zl7a34XmGYaaTOieJc+VG88rVgzr4V
3w3bYdLAHNdekLiy8Ctlg8xuV1nVqjXM3aC6J8L0T3tAL26PCzRoriKg4DyS69E9MrUHQQWSxKYj
ekJnak7dScn9cmbblCBcnkqIGquihTRLsHqJ5Y2gECt1HtNm2CSJuvG7KetLARUby/Fk7Jul43iH
obBWObHnKRcEzz8d/bQBJyBnGN0nYOVKr6rTCopKrXVXWf8wRlZ/XOgDrlHQIfelZ+ClCaD1RMYy
KLS1iHhEOmGuNOFuqPQ+qz332KbDuU98HKT7HPUQ+8HjsqMrIMaHP39M9EkO/WEGmk6HYH+Rsukq
2nZaPN/KQ8dcdWA/ZgTt5vGLT/61x/B5lfZQcs4a2wpLRrUvvfhslO25X1cURvuzENiUBvV/hTMC
y7EbLUg5ITnFPQ/0lLmr2deOS9JdQ/c7aF8LK/tvnm5aRL+5b0DY1DBVJnAWGA3j8sf7rjmk0R0h
v720Kxu5AqlUwMtGBGS9RMBVJQgOYd+t4bSQCyI2Cp5M9CzyoCO7obBSBpQDbYUqflUCryiIdDym
lrfknLixJTkSuiB2NGwvmVjXRtLvwkheFpy0RhgF0JKffYuUYpONsOE0izyoOB+HdHUq0eRUXh2m
xlZ/VSlvzPymURCFc4KORjiDSdHtg7bdoYg7LoTnU47ITgNUqysh3AfyDLQZJoMroSXnLTomPBTF
K4CeYGkZxVXXKK9uYCRzJxSvGDguaxHdEV+wrtoaD5D2WlARCnqf/G/uwC+3FWKPEbQnQLsb9K1r
HNfuzK4eO+ImBkzEedotCbdF+UEkaDDn/HKbFZyRMY2ZaMRSqznForerG1aPQkWF4BC2oUEfC6S8
jarmGuncVKm5G+Py2g/7c4mxc9FOhxal2RhROS99dWOV2aUVdBsV1QQxQU+eWlwmhBFIHQIfVcwq
shYicnZ+pm6JONt1Jv7SxLlMNZ3zSioWGCKWLuiNEAidH6grvvoTVYPY3HasMuEtZegNtcFlY8NI
o5acnzTeuCQMdAV4cJ7YKMXqu2i8nBDfhJksAnnsFvE2yrzbiiFcDxxy6E1Aj8Q+6MTjMpjO9JVB
jGrAIaIRO4kJGMzYfZkS2QuGLNvoeqLORwN/LVX/5jZK7YucGDx2nSWISJoxbtFivo+eysTE+q6/
hk6KZsO9Namaekr+DI96BeAX9kTunWS8hhy48l1Txht9pLmQF5dpJ/axHx2bOqndWMNmJfwKzJsa
/75ZuLlcYYFaeH6dsTLdRXpHgHa/SWUA1Jo2BQ6R9NoIsju/tk76yrhJyAKaWeLOGsurPpXNkqd6
W3r266gbx54MxLKrpZglmn88QA5DfTMMi8p3kqVljicYbGbwCs9x21Vru1IPJtklS8C8+9wYDnEZ
wEGSzR01VYKy8LPMQ3fYVWZz3Y7OUWtjcDdUyu/xNgY2AHUmQ2jSz/UgugImdid1eaz2/WPaIyFX
MrgMibFROqRYqrpLiY6EbXCTQsJzKqKoTHcvpHLqx/dYq1CgybkLkK9uwwsDxCa79Btaoa9jCFiU
Eet7F+2AgWEqXOcNVkGt3HvKYxs7r+6oPvR08Hy9X2nSfYpM4jdSGwG8Ze099yXl0Gi7S1M5q5yz
QjuzjPNM7qM23FWElUgDvYSxbwcowpFznfY14mB0RXibM4FaBaaDHr3EISmfHeef+s52rzqKyRD8
ZkbySq9woen30r+0fWyrTjVzzAuUtcCqun0udR4X5TRSYVyFU+foREW2bg+Q/lijQkHF3l5ZZrqM
37i5gvXhXOueXKuAcWjcNQCaxcB7Het3jrtL+w7m1YU6AdqYK29LT4/nMrQWfvjYQaNJ5Wsf5fO0
cB97w0hWbls/kg2/CSt/g6Dmue1QWdBY42iXu0Qw07q03G5Bw3fWuLmzjaiwzrCX1gvHT2/CgQjW
Xh/MZ6XS6Uhil6aL4qw60v/gC18Ffmkvxki7cmPlPh+G2zwer8Y+2o1eY8PcoGdsZPQkKDEmS+rf
2dIWHLraLnvK5bh2RntD72hqNiLJwn3PvoqGmUnaSqUWyw4xTIr/s0GVJLUKWa5H1miDel3Yj2nb
HgFQeXEGeQUtuZiXkb6JIkIlcxSjMySb8dKzJzMXtOGopf5OE6zQqIuP5gnphK+xSlVEW/uNODKx
A2h5dRp3BbMvfILSOhuGZo29W1+YqFdXlTng4essZUG/P1zQLFXmtek2SMeVYfYfwchJlxQYd1lY
7i7WI5UWkkQWlt6B6cpmaY7A0q+9vRFoR4xNuESwPMW+QKLPbdKc7EwCsyMLhowxcfm2O/gBx9FP
OHq+fvri0ByWb8mFF/KlGvYvtUyaX8L+pj/d5WHWXOV/7y+9yz++f6GvQfZfUjx4YLJmugM/zLNv
9Stve+oP7qC3W3q73z+7QnJowkY+v/z7Xzq6FAudCw6+L7/YhBM363/9Y9t9S+LANGSob7++CGy+
GaE/GoM///G+DOaf/50PP8DhOSX/KKybKnxqvh0CUwNA9s2W8pfh/P0g/OYavw6C5v5scpxA4+Z+
+SmpAHw7CAICv+Oisfw6RhySGfR/0CBoKuULUik+OQ6687NgI8uGW3x3HOyfYarhFbS0LwPxZdz/
QeNgEx6mG5RQ/so78YePA++EoHnEoZQDx/TrN4+D9jNJ36pgLP6hw0AFXvutEu4PJoY/HASNHFVs
qrr5B4PAO4GFVLN4XN5+cfz5Z70Thi7ElxcVeaP/kv+tiQHIoSY0lbPnxxnBIcjDVnWOeP+0H5vb
xU3J1/LJl4BsEUdVcSFov/nR3Z85hTuEx3+dDfnjv/rF/4WZ4pf1FRh48vy2soYv9fcW4D/6C++L
yu///OuCsn3+97+mhfPDX5wW2i+f/fJLWPF/fng53ub7b/7wff5/+5yv//zrD/j7j/7wWe8/1ftv
bsKX6lA9BcPbHwxfb/PskLI+U1cOqDfvqsPzSx18u/Bp1hSz9esN/ftfH273m6//T69f14f0/TLT
yEzK0vf//7L7+DuXnYUYk98vM10WTz/T8mfvdnOohkN2eL/Q2zdpWA7r0KevHKaHp+CQfHekiXti
af3sRxwdSJz56f8c0uL//nR8gM0UfhghplKXl/azn3J8qDK2pvHHQfqyIHz62jynyW8ubE7C6M9e
+OQQ18HhuXt5Kd4v9vbdTiLq99/4+w/j6eE5GL7/Dk0i7c9/wPlzyO2/X+ftLaLm9wO+zJ18lk/B
S1UNHy4ujCke7bODvpNZdHh8v87bXUOs+QF3vT9EBwQahw9HlanJ9QOufRnGcfhhwqIwPK3Cnx2N
q0MaJvT0nuX7taYR+bqJ+OzF36DK35taDFp1P+AJv32pm59mL5l/SD7c/bRHff+Nz7w/TOZMWE31
4Rn/evL67NisZcTVP5zpftnGf/ra+Yc7nq4LGOfzI8Kq/Es25ln4lD/SCN7WCV3h+v3i09PD/ljT
fsRT/19YQP94eULIA/DnBzxGp+GYVx+3A1xatXX3B6ywV/hciUH7dny+XvwHvL3f78r/7rPopL//
3t9/Haa+//RVv19p+qa/HMAndMlnH9nTyToqP+4M3k73k7fp0xd/8dnjHIbffgsUD4wfsJlcvCRB
+H6Xvw7LVJf47J3/obbiy8i/ZdH+snH/e1vh+cTRCX8X4viltPIDnpu/EhP5yR/hbZ35c3j/Jz/h
vwUOffL6Vy+8Wv5v9/i/nmk/+xz9VQ/gJ3+M789Hf0cl9Kc38r3z5i+Fyd+fQt+rrt/7Zx+P2NPf
eEpeDtV//j8AAAD//w==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2</xdr:col>
      <xdr:colOff>14287</xdr:colOff>
      <xdr:row>16</xdr:row>
      <xdr:rowOff>104774</xdr:rowOff>
    </xdr:from>
    <xdr:to>
      <xdr:col>4</xdr:col>
      <xdr:colOff>85725</xdr:colOff>
      <xdr:row>25</xdr:row>
      <xdr:rowOff>171450</xdr:rowOff>
    </xdr:to>
    <xdr:graphicFrame macro="">
      <xdr:nvGraphicFramePr>
        <xdr:cNvPr id="2" name="Chart 1">
          <a:extLst>
            <a:ext uri="{FF2B5EF4-FFF2-40B4-BE49-F238E27FC236}">
              <a16:creationId xmlns:a16="http://schemas.microsoft.com/office/drawing/2014/main" id="{EE8BD9F6-918D-4CF5-A814-A868C6F72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8</xdr:row>
      <xdr:rowOff>133350</xdr:rowOff>
    </xdr:from>
    <xdr:to>
      <xdr:col>6</xdr:col>
      <xdr:colOff>0</xdr:colOff>
      <xdr:row>14</xdr:row>
      <xdr:rowOff>76200</xdr:rowOff>
    </xdr:to>
    <xdr:graphicFrame macro="">
      <xdr:nvGraphicFramePr>
        <xdr:cNvPr id="3" name="Chart 2">
          <a:extLst>
            <a:ext uri="{FF2B5EF4-FFF2-40B4-BE49-F238E27FC236}">
              <a16:creationId xmlns:a16="http://schemas.microsoft.com/office/drawing/2014/main" id="{3A748496-4DD7-4945-BE1D-FC513846E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157162</xdr:colOff>
      <xdr:row>11</xdr:row>
      <xdr:rowOff>95250</xdr:rowOff>
    </xdr:from>
    <xdr:to>
      <xdr:col>27</xdr:col>
      <xdr:colOff>38100</xdr:colOff>
      <xdr:row>19</xdr:row>
      <xdr:rowOff>104775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89AF06C-9C19-40F2-A865-E695CB4D37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426362" y="2085975"/>
              <a:ext cx="2100263" cy="1457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128587</xdr:colOff>
      <xdr:row>10</xdr:row>
      <xdr:rowOff>152401</xdr:rowOff>
    </xdr:from>
    <xdr:to>
      <xdr:col>30</xdr:col>
      <xdr:colOff>19050</xdr:colOff>
      <xdr:row>20</xdr:row>
      <xdr:rowOff>9525</xdr:rowOff>
    </xdr:to>
    <xdr:graphicFrame macro="">
      <xdr:nvGraphicFramePr>
        <xdr:cNvPr id="6" name="Chart 5">
          <a:extLst>
            <a:ext uri="{FF2B5EF4-FFF2-40B4-BE49-F238E27FC236}">
              <a16:creationId xmlns:a16="http://schemas.microsoft.com/office/drawing/2014/main" id="{0AB226CF-3EA7-4B6E-ADC9-5249D92CD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557212</xdr:colOff>
      <xdr:row>10</xdr:row>
      <xdr:rowOff>152400</xdr:rowOff>
    </xdr:from>
    <xdr:to>
      <xdr:col>9</xdr:col>
      <xdr:colOff>485775</xdr:colOff>
      <xdr:row>18</xdr:row>
      <xdr:rowOff>152400</xdr:rowOff>
    </xdr:to>
    <xdr:graphicFrame macro="">
      <xdr:nvGraphicFramePr>
        <xdr:cNvPr id="7" name="Chart 6">
          <a:extLst>
            <a:ext uri="{FF2B5EF4-FFF2-40B4-BE49-F238E27FC236}">
              <a16:creationId xmlns:a16="http://schemas.microsoft.com/office/drawing/2014/main" id="{BA4366AE-1159-4416-9534-16CCAD370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28575</xdr:colOff>
      <xdr:row>9</xdr:row>
      <xdr:rowOff>161925</xdr:rowOff>
    </xdr:from>
    <xdr:to>
      <xdr:col>21</xdr:col>
      <xdr:colOff>590550</xdr:colOff>
      <xdr:row>25</xdr:row>
      <xdr:rowOff>9525</xdr:rowOff>
    </xdr:to>
    <xdr:graphicFrame macro="">
      <xdr:nvGraphicFramePr>
        <xdr:cNvPr id="8" name="Chart 7">
          <a:extLst>
            <a:ext uri="{FF2B5EF4-FFF2-40B4-BE49-F238E27FC236}">
              <a16:creationId xmlns:a16="http://schemas.microsoft.com/office/drawing/2014/main" id="{C2DF8527-B661-45F1-B4B1-7DED6AFEE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76200</xdr:colOff>
      <xdr:row>2</xdr:row>
      <xdr:rowOff>85725</xdr:rowOff>
    </xdr:from>
    <xdr:to>
      <xdr:col>10</xdr:col>
      <xdr:colOff>114300</xdr:colOff>
      <xdr:row>16</xdr:row>
      <xdr:rowOff>76200</xdr:rowOff>
    </xdr:to>
    <mc:AlternateContent xmlns:mc="http://schemas.openxmlformats.org/markup-compatibility/2006" xmlns:a14="http://schemas.microsoft.com/office/drawing/2010/main">
      <mc:Choice Requires="a14">
        <xdr:graphicFrame macro="">
          <xdr:nvGraphicFramePr>
            <xdr:cNvPr id="9" name="Seller">
              <a:extLst>
                <a:ext uri="{FF2B5EF4-FFF2-40B4-BE49-F238E27FC236}">
                  <a16:creationId xmlns:a16="http://schemas.microsoft.com/office/drawing/2014/main" id="{F52018F5-1B53-4625-81BC-BC8C02C8C62D}"/>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7839075" y="447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5</xdr:row>
      <xdr:rowOff>19050</xdr:rowOff>
    </xdr:from>
    <xdr:to>
      <xdr:col>10</xdr:col>
      <xdr:colOff>590550</xdr:colOff>
      <xdr:row>19</xdr:row>
      <xdr:rowOff>9525</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9A88284C-1F62-4CF5-B201-597F5987691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315325" y="923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6</xdr:row>
      <xdr:rowOff>76200</xdr:rowOff>
    </xdr:from>
    <xdr:to>
      <xdr:col>8</xdr:col>
      <xdr:colOff>133350</xdr:colOff>
      <xdr:row>20</xdr:row>
      <xdr:rowOff>66675</xdr:rowOff>
    </xdr:to>
    <mc:AlternateContent xmlns:mc="http://schemas.openxmlformats.org/markup-compatibility/2006" xmlns:a14="http://schemas.microsoft.com/office/drawing/2010/main">
      <mc:Choice Requires="a14">
        <xdr:graphicFrame macro="">
          <xdr:nvGraphicFramePr>
            <xdr:cNvPr id="11" name="Sales">
              <a:extLst>
                <a:ext uri="{FF2B5EF4-FFF2-40B4-BE49-F238E27FC236}">
                  <a16:creationId xmlns:a16="http://schemas.microsoft.com/office/drawing/2014/main" id="{587F554D-C42C-4417-BF73-44BD474C9AB6}"/>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067425" y="1162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85725</xdr:colOff>
      <xdr:row>5</xdr:row>
      <xdr:rowOff>57150</xdr:rowOff>
    </xdr:from>
    <xdr:to>
      <xdr:col>12</xdr:col>
      <xdr:colOff>314325</xdr:colOff>
      <xdr:row>19</xdr:row>
      <xdr:rowOff>47625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073A1BCF-06B7-4D50-917E-D78E27972CD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639300" y="96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104774</xdr:colOff>
      <xdr:row>0</xdr:row>
      <xdr:rowOff>76199</xdr:rowOff>
    </xdr:from>
    <xdr:to>
      <xdr:col>15</xdr:col>
      <xdr:colOff>647699</xdr:colOff>
      <xdr:row>5</xdr:row>
      <xdr:rowOff>0</xdr:rowOff>
    </xdr:to>
    <xdr:sp macro="" textlink="">
      <xdr:nvSpPr>
        <xdr:cNvPr id="2" name="Rectangle: Rounded Corners 1">
          <a:extLst>
            <a:ext uri="{FF2B5EF4-FFF2-40B4-BE49-F238E27FC236}">
              <a16:creationId xmlns:a16="http://schemas.microsoft.com/office/drawing/2014/main" id="{383BB190-F24B-40CA-B5BA-BDBFEE9B8005}"/>
            </a:ext>
          </a:extLst>
        </xdr:cNvPr>
        <xdr:cNvSpPr/>
      </xdr:nvSpPr>
      <xdr:spPr>
        <a:xfrm>
          <a:off x="790574" y="76199"/>
          <a:ext cx="10144125" cy="828676"/>
        </a:xfrm>
        <a:prstGeom prst="roundRect">
          <a:avLst/>
        </a:prstGeom>
        <a:solidFill>
          <a:schemeClr val="bg2">
            <a:lumMod val="50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76200</xdr:colOff>
      <xdr:row>5</xdr:row>
      <xdr:rowOff>38099</xdr:rowOff>
    </xdr:from>
    <xdr:to>
      <xdr:col>2</xdr:col>
      <xdr:colOff>28576</xdr:colOff>
      <xdr:row>33</xdr:row>
      <xdr:rowOff>19050</xdr:rowOff>
    </xdr:to>
    <xdr:sp macro="" textlink="">
      <xdr:nvSpPr>
        <xdr:cNvPr id="3" name="Rectangle: Rounded Corners 2">
          <a:extLst>
            <a:ext uri="{FF2B5EF4-FFF2-40B4-BE49-F238E27FC236}">
              <a16:creationId xmlns:a16="http://schemas.microsoft.com/office/drawing/2014/main" id="{F7DD66CB-6E43-4DEE-AB6C-7EF7F2A75652}"/>
            </a:ext>
          </a:extLst>
        </xdr:cNvPr>
        <xdr:cNvSpPr/>
      </xdr:nvSpPr>
      <xdr:spPr>
        <a:xfrm>
          <a:off x="76200" y="942974"/>
          <a:ext cx="1323976" cy="5048251"/>
        </a:xfrm>
        <a:prstGeom prst="roundRect">
          <a:avLst/>
        </a:prstGeom>
        <a:solidFill>
          <a:schemeClr val="bg2">
            <a:lumMod val="50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485776</xdr:colOff>
      <xdr:row>0</xdr:row>
      <xdr:rowOff>85725</xdr:rowOff>
    </xdr:from>
    <xdr:to>
      <xdr:col>4</xdr:col>
      <xdr:colOff>28576</xdr:colOff>
      <xdr:row>5</xdr:row>
      <xdr:rowOff>81863</xdr:rowOff>
    </xdr:to>
    <xdr:pic>
      <xdr:nvPicPr>
        <xdr:cNvPr id="5" name="Picture 4">
          <a:extLst>
            <a:ext uri="{FF2B5EF4-FFF2-40B4-BE49-F238E27FC236}">
              <a16:creationId xmlns:a16="http://schemas.microsoft.com/office/drawing/2014/main" id="{CD66E063-F501-4CB5-9540-475B1EC8FF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6" y="85725"/>
          <a:ext cx="1600200" cy="901013"/>
        </a:xfrm>
        <a:prstGeom prst="rect">
          <a:avLst/>
        </a:prstGeom>
      </xdr:spPr>
    </xdr:pic>
    <xdr:clientData/>
  </xdr:twoCellAnchor>
  <xdr:twoCellAnchor editAs="oneCell">
    <xdr:from>
      <xdr:col>14</xdr:col>
      <xdr:colOff>285751</xdr:colOff>
      <xdr:row>0</xdr:row>
      <xdr:rowOff>66675</xdr:rowOff>
    </xdr:from>
    <xdr:to>
      <xdr:col>15</xdr:col>
      <xdr:colOff>523876</xdr:colOff>
      <xdr:row>5</xdr:row>
      <xdr:rowOff>85725</xdr:rowOff>
    </xdr:to>
    <xdr:pic>
      <xdr:nvPicPr>
        <xdr:cNvPr id="7" name="Picture 6">
          <a:extLst>
            <a:ext uri="{FF2B5EF4-FFF2-40B4-BE49-F238E27FC236}">
              <a16:creationId xmlns:a16="http://schemas.microsoft.com/office/drawing/2014/main" id="{9ABEC5D4-4FFF-4E51-BC6D-E6820F199B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86951" y="66675"/>
          <a:ext cx="923925" cy="923925"/>
        </a:xfrm>
        <a:prstGeom prst="rect">
          <a:avLst/>
        </a:prstGeom>
      </xdr:spPr>
    </xdr:pic>
    <xdr:clientData/>
  </xdr:twoCellAnchor>
  <xdr:twoCellAnchor>
    <xdr:from>
      <xdr:col>4</xdr:col>
      <xdr:colOff>638175</xdr:colOff>
      <xdr:row>5</xdr:row>
      <xdr:rowOff>104775</xdr:rowOff>
    </xdr:from>
    <xdr:to>
      <xdr:col>7</xdr:col>
      <xdr:colOff>285750</xdr:colOff>
      <xdr:row>10</xdr:row>
      <xdr:rowOff>47625</xdr:rowOff>
    </xdr:to>
    <xdr:sp macro="" textlink="">
      <xdr:nvSpPr>
        <xdr:cNvPr id="9" name="Rectangle: Rounded Corners 8">
          <a:extLst>
            <a:ext uri="{FF2B5EF4-FFF2-40B4-BE49-F238E27FC236}">
              <a16:creationId xmlns:a16="http://schemas.microsoft.com/office/drawing/2014/main" id="{6CB52102-A770-4D7A-B385-8C191529DA1D}"/>
            </a:ext>
          </a:extLst>
        </xdr:cNvPr>
        <xdr:cNvSpPr/>
      </xdr:nvSpPr>
      <xdr:spPr>
        <a:xfrm>
          <a:off x="3381375" y="1009650"/>
          <a:ext cx="1704975" cy="847725"/>
        </a:xfrm>
        <a:prstGeom prst="roundRect">
          <a:avLst/>
        </a:prstGeom>
        <a:solidFill>
          <a:schemeClr val="bg2"/>
        </a:solidFill>
        <a:ln>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390525</xdr:colOff>
      <xdr:row>5</xdr:row>
      <xdr:rowOff>76201</xdr:rowOff>
    </xdr:from>
    <xdr:to>
      <xdr:col>10</xdr:col>
      <xdr:colOff>66675</xdr:colOff>
      <xdr:row>10</xdr:row>
      <xdr:rowOff>9525</xdr:rowOff>
    </xdr:to>
    <xdr:sp macro="" textlink="">
      <xdr:nvSpPr>
        <xdr:cNvPr id="10" name="Rectangle: Rounded Corners 9">
          <a:extLst>
            <a:ext uri="{FF2B5EF4-FFF2-40B4-BE49-F238E27FC236}">
              <a16:creationId xmlns:a16="http://schemas.microsoft.com/office/drawing/2014/main" id="{BC7BD79C-7CFB-40AE-BAA7-778DAB5C106C}"/>
            </a:ext>
          </a:extLst>
        </xdr:cNvPr>
        <xdr:cNvSpPr/>
      </xdr:nvSpPr>
      <xdr:spPr>
        <a:xfrm>
          <a:off x="5191125" y="981076"/>
          <a:ext cx="1733550" cy="838199"/>
        </a:xfrm>
        <a:prstGeom prst="roundRect">
          <a:avLst/>
        </a:prstGeom>
        <a:solidFill>
          <a:schemeClr val="bg2"/>
        </a:solidFill>
        <a:ln>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190501</xdr:colOff>
      <xdr:row>5</xdr:row>
      <xdr:rowOff>66675</xdr:rowOff>
    </xdr:from>
    <xdr:to>
      <xdr:col>12</xdr:col>
      <xdr:colOff>495301</xdr:colOff>
      <xdr:row>9</xdr:row>
      <xdr:rowOff>171450</xdr:rowOff>
    </xdr:to>
    <xdr:sp macro="" textlink="">
      <xdr:nvSpPr>
        <xdr:cNvPr id="11" name="Rectangle: Rounded Corners 10">
          <a:extLst>
            <a:ext uri="{FF2B5EF4-FFF2-40B4-BE49-F238E27FC236}">
              <a16:creationId xmlns:a16="http://schemas.microsoft.com/office/drawing/2014/main" id="{BA2729E6-6707-4150-9BC7-6FC309C5E46A}"/>
            </a:ext>
          </a:extLst>
        </xdr:cNvPr>
        <xdr:cNvSpPr/>
      </xdr:nvSpPr>
      <xdr:spPr>
        <a:xfrm>
          <a:off x="7048501" y="971550"/>
          <a:ext cx="1676400" cy="828675"/>
        </a:xfrm>
        <a:prstGeom prst="roundRect">
          <a:avLst/>
        </a:prstGeom>
        <a:solidFill>
          <a:schemeClr val="bg2"/>
        </a:solidFill>
        <a:ln>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638174</xdr:colOff>
      <xdr:row>5</xdr:row>
      <xdr:rowOff>57152</xdr:rowOff>
    </xdr:from>
    <xdr:to>
      <xdr:col>15</xdr:col>
      <xdr:colOff>171449</xdr:colOff>
      <xdr:row>9</xdr:row>
      <xdr:rowOff>161925</xdr:rowOff>
    </xdr:to>
    <xdr:sp macro="" textlink="">
      <xdr:nvSpPr>
        <xdr:cNvPr id="12" name="Rectangle: Rounded Corners 11">
          <a:extLst>
            <a:ext uri="{FF2B5EF4-FFF2-40B4-BE49-F238E27FC236}">
              <a16:creationId xmlns:a16="http://schemas.microsoft.com/office/drawing/2014/main" id="{0F1F45A0-4B76-42E9-B765-C64BF5F8BF0F}"/>
            </a:ext>
          </a:extLst>
        </xdr:cNvPr>
        <xdr:cNvSpPr/>
      </xdr:nvSpPr>
      <xdr:spPr>
        <a:xfrm>
          <a:off x="8867774" y="962027"/>
          <a:ext cx="1590675" cy="828673"/>
        </a:xfrm>
        <a:prstGeom prst="roundRect">
          <a:avLst/>
        </a:prstGeom>
        <a:solidFill>
          <a:schemeClr val="bg2"/>
        </a:solidFill>
        <a:ln>
          <a:noFill/>
        </a:ln>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142876</xdr:colOff>
      <xdr:row>10</xdr:row>
      <xdr:rowOff>114301</xdr:rowOff>
    </xdr:from>
    <xdr:to>
      <xdr:col>6</xdr:col>
      <xdr:colOff>504826</xdr:colOff>
      <xdr:row>20</xdr:row>
      <xdr:rowOff>171451</xdr:rowOff>
    </xdr:to>
    <xdr:sp macro="" textlink="">
      <xdr:nvSpPr>
        <xdr:cNvPr id="39" name="Rectangle: Rounded Corners 38">
          <a:extLst>
            <a:ext uri="{FF2B5EF4-FFF2-40B4-BE49-F238E27FC236}">
              <a16:creationId xmlns:a16="http://schemas.microsoft.com/office/drawing/2014/main" id="{8CDF29BF-7DCD-45C8-88DB-898ECF0764B9}"/>
            </a:ext>
          </a:extLst>
        </xdr:cNvPr>
        <xdr:cNvSpPr/>
      </xdr:nvSpPr>
      <xdr:spPr>
        <a:xfrm>
          <a:off x="1514476" y="1924051"/>
          <a:ext cx="3105150" cy="1866900"/>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561976</xdr:colOff>
      <xdr:row>10</xdr:row>
      <xdr:rowOff>161926</xdr:rowOff>
    </xdr:from>
    <xdr:to>
      <xdr:col>11</xdr:col>
      <xdr:colOff>238126</xdr:colOff>
      <xdr:row>21</xdr:row>
      <xdr:rowOff>38101</xdr:rowOff>
    </xdr:to>
    <xdr:sp macro="" textlink="">
      <xdr:nvSpPr>
        <xdr:cNvPr id="40" name="Rectangle: Rounded Corners 39">
          <a:extLst>
            <a:ext uri="{FF2B5EF4-FFF2-40B4-BE49-F238E27FC236}">
              <a16:creationId xmlns:a16="http://schemas.microsoft.com/office/drawing/2014/main" id="{AD85243A-33EE-4FD5-A7D5-E8476C71AC54}"/>
            </a:ext>
          </a:extLst>
        </xdr:cNvPr>
        <xdr:cNvSpPr/>
      </xdr:nvSpPr>
      <xdr:spPr>
        <a:xfrm>
          <a:off x="4676776" y="1971676"/>
          <a:ext cx="3105150" cy="1866900"/>
        </a:xfrm>
        <a:prstGeom prst="roundRect">
          <a:avLst/>
        </a:prstGeom>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333376</xdr:colOff>
      <xdr:row>10</xdr:row>
      <xdr:rowOff>85726</xdr:rowOff>
    </xdr:from>
    <xdr:to>
      <xdr:col>16</xdr:col>
      <xdr:colOff>9526</xdr:colOff>
      <xdr:row>20</xdr:row>
      <xdr:rowOff>142876</xdr:rowOff>
    </xdr:to>
    <xdr:sp macro="" textlink="">
      <xdr:nvSpPr>
        <xdr:cNvPr id="41" name="Rectangle: Rounded Corners 40">
          <a:extLst>
            <a:ext uri="{FF2B5EF4-FFF2-40B4-BE49-F238E27FC236}">
              <a16:creationId xmlns:a16="http://schemas.microsoft.com/office/drawing/2014/main" id="{0D963F67-3610-45FB-BE13-9E6C7F40AB4E}"/>
            </a:ext>
          </a:extLst>
        </xdr:cNvPr>
        <xdr:cNvSpPr/>
      </xdr:nvSpPr>
      <xdr:spPr>
        <a:xfrm>
          <a:off x="7877176" y="1895476"/>
          <a:ext cx="3105150" cy="1866900"/>
        </a:xfrm>
        <a:prstGeom prst="roundRect">
          <a:avLst/>
        </a:prstGeom>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180976</xdr:colOff>
      <xdr:row>21</xdr:row>
      <xdr:rowOff>47626</xdr:rowOff>
    </xdr:from>
    <xdr:to>
      <xdr:col>6</xdr:col>
      <xdr:colOff>542926</xdr:colOff>
      <xdr:row>31</xdr:row>
      <xdr:rowOff>104776</xdr:rowOff>
    </xdr:to>
    <xdr:sp macro="" textlink="">
      <xdr:nvSpPr>
        <xdr:cNvPr id="42" name="Rectangle: Rounded Corners 41">
          <a:extLst>
            <a:ext uri="{FF2B5EF4-FFF2-40B4-BE49-F238E27FC236}">
              <a16:creationId xmlns:a16="http://schemas.microsoft.com/office/drawing/2014/main" id="{2AEC49E3-8BE1-4A0C-BEF6-4767FE80BF5E}"/>
            </a:ext>
          </a:extLst>
        </xdr:cNvPr>
        <xdr:cNvSpPr/>
      </xdr:nvSpPr>
      <xdr:spPr>
        <a:xfrm>
          <a:off x="1552576" y="3848101"/>
          <a:ext cx="3105150" cy="1866900"/>
        </a:xfrm>
        <a:prstGeom prst="roundRect">
          <a:avLst/>
        </a:prstGeom>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619125</xdr:colOff>
      <xdr:row>21</xdr:row>
      <xdr:rowOff>104775</xdr:rowOff>
    </xdr:from>
    <xdr:to>
      <xdr:col>11</xdr:col>
      <xdr:colOff>295275</xdr:colOff>
      <xdr:row>31</xdr:row>
      <xdr:rowOff>161925</xdr:rowOff>
    </xdr:to>
    <xdr:sp macro="" textlink="">
      <xdr:nvSpPr>
        <xdr:cNvPr id="43" name="Rectangle: Rounded Corners 42">
          <a:extLst>
            <a:ext uri="{FF2B5EF4-FFF2-40B4-BE49-F238E27FC236}">
              <a16:creationId xmlns:a16="http://schemas.microsoft.com/office/drawing/2014/main" id="{63EC2A54-25C0-48F2-B454-C0C9D1A6058B}"/>
            </a:ext>
          </a:extLst>
        </xdr:cNvPr>
        <xdr:cNvSpPr/>
      </xdr:nvSpPr>
      <xdr:spPr>
        <a:xfrm>
          <a:off x="4733925" y="3905250"/>
          <a:ext cx="3105150" cy="1866900"/>
        </a:xfrm>
        <a:prstGeom prst="roundRect">
          <a:avLst/>
        </a:prstGeom>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409575</xdr:colOff>
      <xdr:row>21</xdr:row>
      <xdr:rowOff>76200</xdr:rowOff>
    </xdr:from>
    <xdr:to>
      <xdr:col>16</xdr:col>
      <xdr:colOff>85725</xdr:colOff>
      <xdr:row>31</xdr:row>
      <xdr:rowOff>133350</xdr:rowOff>
    </xdr:to>
    <xdr:sp macro="" textlink="">
      <xdr:nvSpPr>
        <xdr:cNvPr id="44" name="Rectangle: Rounded Corners 43">
          <a:extLst>
            <a:ext uri="{FF2B5EF4-FFF2-40B4-BE49-F238E27FC236}">
              <a16:creationId xmlns:a16="http://schemas.microsoft.com/office/drawing/2014/main" id="{52A9B160-234D-4E3C-A24A-CD1CCF466886}"/>
            </a:ext>
          </a:extLst>
        </xdr:cNvPr>
        <xdr:cNvSpPr/>
      </xdr:nvSpPr>
      <xdr:spPr>
        <a:xfrm>
          <a:off x="7953375" y="3876675"/>
          <a:ext cx="3105150" cy="1866900"/>
        </a:xfrm>
        <a:prstGeom prst="roundRect">
          <a:avLst/>
        </a:prstGeom>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628650</xdr:colOff>
      <xdr:row>1</xdr:row>
      <xdr:rowOff>28575</xdr:rowOff>
    </xdr:from>
    <xdr:to>
      <xdr:col>13</xdr:col>
      <xdr:colOff>600075</xdr:colOff>
      <xdr:row>4</xdr:row>
      <xdr:rowOff>28575</xdr:rowOff>
    </xdr:to>
    <xdr:sp macro="" textlink="">
      <xdr:nvSpPr>
        <xdr:cNvPr id="45" name="TextBox 44">
          <a:extLst>
            <a:ext uri="{FF2B5EF4-FFF2-40B4-BE49-F238E27FC236}">
              <a16:creationId xmlns:a16="http://schemas.microsoft.com/office/drawing/2014/main" id="{C7E11EDE-786D-4117-86E5-1D72A05A7FE3}"/>
            </a:ext>
          </a:extLst>
        </xdr:cNvPr>
        <xdr:cNvSpPr txBox="1"/>
      </xdr:nvSpPr>
      <xdr:spPr>
        <a:xfrm>
          <a:off x="2686050" y="209550"/>
          <a:ext cx="68294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latin typeface="Arial Black" panose="020B0A04020102020204" pitchFamily="34" charset="0"/>
            </a:rPr>
            <a:t>Amazon</a:t>
          </a:r>
          <a:r>
            <a:rPr lang="en-IN" sz="3200" baseline="0">
              <a:latin typeface="Arial Black" panose="020B0A04020102020204" pitchFamily="34" charset="0"/>
            </a:rPr>
            <a:t> </a:t>
          </a:r>
          <a:r>
            <a:rPr lang="en-IN" sz="3200" baseline="0">
              <a:solidFill>
                <a:srgbClr val="FFC000"/>
              </a:solidFill>
              <a:latin typeface="Arial Black" panose="020B0A04020102020204" pitchFamily="34" charset="0"/>
            </a:rPr>
            <a:t>Sales Dasboard</a:t>
          </a:r>
          <a:endParaRPr lang="en-IN" sz="3200">
            <a:solidFill>
              <a:srgbClr val="FFC000"/>
            </a:solidFill>
            <a:latin typeface="Arial Black" panose="020B0A04020102020204" pitchFamily="34" charset="0"/>
          </a:endParaRPr>
        </a:p>
      </xdr:txBody>
    </xdr:sp>
    <xdr:clientData/>
  </xdr:twoCellAnchor>
  <xdr:twoCellAnchor>
    <xdr:from>
      <xdr:col>2</xdr:col>
      <xdr:colOff>142875</xdr:colOff>
      <xdr:row>5</xdr:row>
      <xdr:rowOff>104775</xdr:rowOff>
    </xdr:from>
    <xdr:to>
      <xdr:col>4</xdr:col>
      <xdr:colOff>571499</xdr:colOff>
      <xdr:row>10</xdr:row>
      <xdr:rowOff>47625</xdr:rowOff>
    </xdr:to>
    <xdr:grpSp>
      <xdr:nvGrpSpPr>
        <xdr:cNvPr id="80" name="Group 79">
          <a:extLst>
            <a:ext uri="{FF2B5EF4-FFF2-40B4-BE49-F238E27FC236}">
              <a16:creationId xmlns:a16="http://schemas.microsoft.com/office/drawing/2014/main" id="{D2CDAB20-D988-4622-9198-C414FC8F52DE}"/>
            </a:ext>
          </a:extLst>
        </xdr:cNvPr>
        <xdr:cNvGrpSpPr/>
      </xdr:nvGrpSpPr>
      <xdr:grpSpPr>
        <a:xfrm>
          <a:off x="1514475" y="1009650"/>
          <a:ext cx="1800224" cy="847725"/>
          <a:chOff x="1504950" y="1000125"/>
          <a:chExt cx="1800224" cy="847725"/>
        </a:xfrm>
        <a:solidFill>
          <a:schemeClr val="bg2"/>
        </a:solidFill>
      </xdr:grpSpPr>
      <xdr:sp macro="" textlink="">
        <xdr:nvSpPr>
          <xdr:cNvPr id="8" name="Rectangle: Rounded Corners 7">
            <a:extLst>
              <a:ext uri="{FF2B5EF4-FFF2-40B4-BE49-F238E27FC236}">
                <a16:creationId xmlns:a16="http://schemas.microsoft.com/office/drawing/2014/main" id="{973D444B-FF51-411D-B2AA-19E10888446F}"/>
              </a:ext>
            </a:extLst>
          </xdr:cNvPr>
          <xdr:cNvSpPr/>
        </xdr:nvSpPr>
        <xdr:spPr>
          <a:xfrm>
            <a:off x="1504950" y="1000126"/>
            <a:ext cx="1771649" cy="847724"/>
          </a:xfrm>
          <a:prstGeom prst="roundRect">
            <a:avLst/>
          </a:prstGeom>
          <a:grpFill/>
          <a:ln>
            <a:noFill/>
          </a:ln>
          <a:effectLst>
            <a:outerShdw blurRad="50800" dist="38100" dir="16200000"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2" name="Picture 21">
            <a:extLst>
              <a:ext uri="{FF2B5EF4-FFF2-40B4-BE49-F238E27FC236}">
                <a16:creationId xmlns:a16="http://schemas.microsoft.com/office/drawing/2014/main" id="{4B4FC7A3-F686-4176-9983-449C6444950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71626" y="1009650"/>
            <a:ext cx="514349" cy="565975"/>
          </a:xfrm>
          <a:prstGeom prst="rect">
            <a:avLst/>
          </a:prstGeom>
          <a:grpFill/>
        </xdr:spPr>
      </xdr:pic>
      <xdr:sp macro="" textlink="PIVOT!A11">
        <xdr:nvSpPr>
          <xdr:cNvPr id="47" name="TextBox 46">
            <a:extLst>
              <a:ext uri="{FF2B5EF4-FFF2-40B4-BE49-F238E27FC236}">
                <a16:creationId xmlns:a16="http://schemas.microsoft.com/office/drawing/2014/main" id="{D2AFFF60-FDDD-4C42-BCB8-3636F4770954}"/>
              </a:ext>
            </a:extLst>
          </xdr:cNvPr>
          <xdr:cNvSpPr txBox="1"/>
        </xdr:nvSpPr>
        <xdr:spPr>
          <a:xfrm>
            <a:off x="2095499" y="1000125"/>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D52F41-6D02-4D8F-8B21-405CD88B4975}"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23M</a:t>
            </a:fld>
            <a:endParaRPr lang="en-IN" sz="2400" b="0">
              <a:solidFill>
                <a:srgbClr val="FFC000"/>
              </a:solidFill>
              <a:latin typeface="Times New Roman" panose="02020603050405020304" pitchFamily="18" charset="0"/>
              <a:cs typeface="Times New Roman" panose="02020603050405020304" pitchFamily="18" charset="0"/>
            </a:endParaRPr>
          </a:p>
        </xdr:txBody>
      </xdr:sp>
      <xdr:sp macro="" textlink="PIVOT!A11">
        <xdr:nvSpPr>
          <xdr:cNvPr id="48" name="TextBox 47">
            <a:extLst>
              <a:ext uri="{FF2B5EF4-FFF2-40B4-BE49-F238E27FC236}">
                <a16:creationId xmlns:a16="http://schemas.microsoft.com/office/drawing/2014/main" id="{218E7592-0A0A-4C99-B98B-61C05CDAD02E}"/>
              </a:ext>
            </a:extLst>
          </xdr:cNvPr>
          <xdr:cNvSpPr txBox="1"/>
        </xdr:nvSpPr>
        <xdr:spPr>
          <a:xfrm>
            <a:off x="1685923" y="1562100"/>
            <a:ext cx="1619251"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ysClr val="windowText" lastClr="000000"/>
                </a:solidFill>
                <a:latin typeface="Times New Roman" panose="02020603050405020304" pitchFamily="18" charset="0"/>
                <a:cs typeface="Times New Roman" panose="02020603050405020304" pitchFamily="18" charset="0"/>
              </a:rPr>
              <a:t>Total Sales</a:t>
            </a:r>
          </a:p>
        </xdr:txBody>
      </xdr:sp>
    </xdr:grpSp>
    <xdr:clientData/>
  </xdr:twoCellAnchor>
  <xdr:twoCellAnchor>
    <xdr:from>
      <xdr:col>4</xdr:col>
      <xdr:colOff>600076</xdr:colOff>
      <xdr:row>5</xdr:row>
      <xdr:rowOff>66676</xdr:rowOff>
    </xdr:from>
    <xdr:to>
      <xdr:col>7</xdr:col>
      <xdr:colOff>257175</xdr:colOff>
      <xdr:row>9</xdr:row>
      <xdr:rowOff>161925</xdr:rowOff>
    </xdr:to>
    <xdr:grpSp>
      <xdr:nvGrpSpPr>
        <xdr:cNvPr id="82" name="Group 81">
          <a:extLst>
            <a:ext uri="{FF2B5EF4-FFF2-40B4-BE49-F238E27FC236}">
              <a16:creationId xmlns:a16="http://schemas.microsoft.com/office/drawing/2014/main" id="{BC579259-76A6-4855-99D2-BCDF654B8ABF}"/>
            </a:ext>
          </a:extLst>
        </xdr:cNvPr>
        <xdr:cNvGrpSpPr/>
      </xdr:nvGrpSpPr>
      <xdr:grpSpPr>
        <a:xfrm>
          <a:off x="3343276" y="971551"/>
          <a:ext cx="1714499" cy="819149"/>
          <a:chOff x="3343276" y="971551"/>
          <a:chExt cx="1714499" cy="819149"/>
        </a:xfrm>
      </xdr:grpSpPr>
      <xdr:pic>
        <xdr:nvPicPr>
          <xdr:cNvPr id="16" name="Picture 15">
            <a:extLst>
              <a:ext uri="{FF2B5EF4-FFF2-40B4-BE49-F238E27FC236}">
                <a16:creationId xmlns:a16="http://schemas.microsoft.com/office/drawing/2014/main" id="{D514140B-0897-4F75-82BB-A8E610C0BAC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43276" y="971551"/>
            <a:ext cx="685799" cy="612021"/>
          </a:xfrm>
          <a:prstGeom prst="rect">
            <a:avLst/>
          </a:prstGeom>
        </xdr:spPr>
      </xdr:pic>
      <xdr:sp macro="" textlink="">
        <xdr:nvSpPr>
          <xdr:cNvPr id="49" name="TextBox 48">
            <a:extLst>
              <a:ext uri="{FF2B5EF4-FFF2-40B4-BE49-F238E27FC236}">
                <a16:creationId xmlns:a16="http://schemas.microsoft.com/office/drawing/2014/main" id="{D7BCBE65-849D-4A3A-AA32-C84DAB9713B0}"/>
              </a:ext>
            </a:extLst>
          </xdr:cNvPr>
          <xdr:cNvSpPr txBox="1"/>
        </xdr:nvSpPr>
        <xdr:spPr>
          <a:xfrm>
            <a:off x="3467098" y="1476375"/>
            <a:ext cx="1590677"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ysClr val="windowText" lastClr="000000"/>
                </a:solidFill>
                <a:latin typeface="Times New Roman" panose="02020603050405020304" pitchFamily="18" charset="0"/>
                <a:cs typeface="Times New Roman" panose="02020603050405020304" pitchFamily="18" charset="0"/>
              </a:rPr>
              <a:t>Total</a:t>
            </a:r>
            <a:r>
              <a:rPr lang="en-IN" sz="1600" b="0" i="0" u="none" strike="noStrike" baseline="0">
                <a:solidFill>
                  <a:sysClr val="windowText" lastClr="000000"/>
                </a:solidFill>
                <a:latin typeface="Times New Roman" panose="02020603050405020304" pitchFamily="18" charset="0"/>
                <a:cs typeface="Times New Roman" panose="02020603050405020304" pitchFamily="18" charset="0"/>
              </a:rPr>
              <a:t> Orders</a:t>
            </a:r>
            <a:endParaRPr lang="en-IN" sz="1600" b="0" i="0" u="none" strike="noStrike">
              <a:solidFill>
                <a:sysClr val="windowText" lastClr="000000"/>
              </a:solidFill>
              <a:latin typeface="Times New Roman" panose="02020603050405020304" pitchFamily="18" charset="0"/>
              <a:cs typeface="Times New Roman" panose="02020603050405020304" pitchFamily="18" charset="0"/>
            </a:endParaRPr>
          </a:p>
        </xdr:txBody>
      </xdr:sp>
      <xdr:sp macro="" textlink="PIVOT!A12">
        <xdr:nvSpPr>
          <xdr:cNvPr id="54" name="TextBox 53">
            <a:extLst>
              <a:ext uri="{FF2B5EF4-FFF2-40B4-BE49-F238E27FC236}">
                <a16:creationId xmlns:a16="http://schemas.microsoft.com/office/drawing/2014/main" id="{F15A794B-279B-48F7-8FCE-6FB193F4D875}"/>
              </a:ext>
            </a:extLst>
          </xdr:cNvPr>
          <xdr:cNvSpPr txBox="1"/>
        </xdr:nvSpPr>
        <xdr:spPr>
          <a:xfrm>
            <a:off x="3952874" y="981075"/>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69EE44-76A6-4B58-B789-29A6EBE893C4}" type="TxLink">
              <a:rPr lang="en-US" sz="2400" b="0" i="0" u="none" strike="noStrike">
                <a:solidFill>
                  <a:srgbClr val="000000"/>
                </a:solidFill>
                <a:latin typeface="Times New Roman" panose="02020603050405020304" pitchFamily="18" charset="0"/>
                <a:ea typeface="+mn-ea"/>
                <a:cs typeface="Times New Roman" panose="02020603050405020304" pitchFamily="18" charset="0"/>
              </a:rPr>
              <a:pPr marL="0" indent="0" algn="ctr"/>
              <a:t>500</a:t>
            </a:fld>
            <a:endParaRPr lang="en-IN" sz="24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7</xdr:col>
      <xdr:colOff>409577</xdr:colOff>
      <xdr:row>4</xdr:row>
      <xdr:rowOff>161927</xdr:rowOff>
    </xdr:from>
    <xdr:to>
      <xdr:col>9</xdr:col>
      <xdr:colOff>657226</xdr:colOff>
      <xdr:row>9</xdr:row>
      <xdr:rowOff>114301</xdr:rowOff>
    </xdr:to>
    <xdr:grpSp>
      <xdr:nvGrpSpPr>
        <xdr:cNvPr id="85" name="Group 84">
          <a:extLst>
            <a:ext uri="{FF2B5EF4-FFF2-40B4-BE49-F238E27FC236}">
              <a16:creationId xmlns:a16="http://schemas.microsoft.com/office/drawing/2014/main" id="{F3FD2327-86FE-41F4-8DCC-1271C257FB33}"/>
            </a:ext>
          </a:extLst>
        </xdr:cNvPr>
        <xdr:cNvGrpSpPr/>
      </xdr:nvGrpSpPr>
      <xdr:grpSpPr>
        <a:xfrm>
          <a:off x="5210177" y="885827"/>
          <a:ext cx="1619249" cy="857249"/>
          <a:chOff x="5210177" y="885827"/>
          <a:chExt cx="1619249" cy="857249"/>
        </a:xfrm>
      </xdr:grpSpPr>
      <xdr:pic>
        <xdr:nvPicPr>
          <xdr:cNvPr id="38" name="Picture 37">
            <a:extLst>
              <a:ext uri="{FF2B5EF4-FFF2-40B4-BE49-F238E27FC236}">
                <a16:creationId xmlns:a16="http://schemas.microsoft.com/office/drawing/2014/main" id="{0354100A-2E30-4F78-8D6B-17E84DB2CB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10177" y="885827"/>
            <a:ext cx="710953" cy="676273"/>
          </a:xfrm>
          <a:prstGeom prst="rect">
            <a:avLst/>
          </a:prstGeom>
        </xdr:spPr>
      </xdr:pic>
      <xdr:sp macro="" textlink="PIVOT!A11">
        <xdr:nvSpPr>
          <xdr:cNvPr id="50" name="TextBox 49">
            <a:extLst>
              <a:ext uri="{FF2B5EF4-FFF2-40B4-BE49-F238E27FC236}">
                <a16:creationId xmlns:a16="http://schemas.microsoft.com/office/drawing/2014/main" id="{1871EEF9-C733-400C-95A0-2E60F0962F7D}"/>
              </a:ext>
            </a:extLst>
          </xdr:cNvPr>
          <xdr:cNvSpPr txBox="1"/>
        </xdr:nvSpPr>
        <xdr:spPr>
          <a:xfrm>
            <a:off x="5362574" y="1457326"/>
            <a:ext cx="146685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ysClr val="windowText" lastClr="000000"/>
                </a:solidFill>
                <a:latin typeface="Times New Roman" panose="02020603050405020304" pitchFamily="18" charset="0"/>
                <a:cs typeface="Times New Roman" panose="02020603050405020304" pitchFamily="18" charset="0"/>
              </a:rPr>
              <a:t>Total</a:t>
            </a:r>
            <a:r>
              <a:rPr lang="en-IN" sz="1600" b="0" baseline="0">
                <a:solidFill>
                  <a:sysClr val="windowText" lastClr="000000"/>
                </a:solidFill>
                <a:latin typeface="Times New Roman" panose="02020603050405020304" pitchFamily="18" charset="0"/>
                <a:cs typeface="Times New Roman" panose="02020603050405020304" pitchFamily="18" charset="0"/>
              </a:rPr>
              <a:t> Quantity</a:t>
            </a:r>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sp macro="" textlink="PIVOT!A13">
        <xdr:nvSpPr>
          <xdr:cNvPr id="55" name="TextBox 54">
            <a:extLst>
              <a:ext uri="{FF2B5EF4-FFF2-40B4-BE49-F238E27FC236}">
                <a16:creationId xmlns:a16="http://schemas.microsoft.com/office/drawing/2014/main" id="{D06675D9-205B-410F-B2AC-1F3036247C75}"/>
              </a:ext>
            </a:extLst>
          </xdr:cNvPr>
          <xdr:cNvSpPr txBox="1"/>
        </xdr:nvSpPr>
        <xdr:spPr>
          <a:xfrm>
            <a:off x="5762624" y="952500"/>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0" i="0" u="none" strike="noStrike">
                <a:solidFill>
                  <a:srgbClr val="000000"/>
                </a:solidFill>
                <a:latin typeface="Times New Roman" panose="02020603050405020304" pitchFamily="18" charset="0"/>
                <a:ea typeface="+mn-ea"/>
                <a:cs typeface="Times New Roman" panose="02020603050405020304" pitchFamily="18" charset="0"/>
              </a:rPr>
              <a:t>5K</a:t>
            </a:r>
          </a:p>
        </xdr:txBody>
      </xdr:sp>
    </xdr:grpSp>
    <xdr:clientData/>
  </xdr:twoCellAnchor>
  <xdr:twoCellAnchor>
    <xdr:from>
      <xdr:col>10</xdr:col>
      <xdr:colOff>238123</xdr:colOff>
      <xdr:row>5</xdr:row>
      <xdr:rowOff>19050</xdr:rowOff>
    </xdr:from>
    <xdr:to>
      <xdr:col>12</xdr:col>
      <xdr:colOff>457200</xdr:colOff>
      <xdr:row>9</xdr:row>
      <xdr:rowOff>95250</xdr:rowOff>
    </xdr:to>
    <xdr:grpSp>
      <xdr:nvGrpSpPr>
        <xdr:cNvPr id="86" name="Group 85">
          <a:extLst>
            <a:ext uri="{FF2B5EF4-FFF2-40B4-BE49-F238E27FC236}">
              <a16:creationId xmlns:a16="http://schemas.microsoft.com/office/drawing/2014/main" id="{B185D0D8-98F4-4A02-ACCF-5557D0CAA9FB}"/>
            </a:ext>
          </a:extLst>
        </xdr:cNvPr>
        <xdr:cNvGrpSpPr/>
      </xdr:nvGrpSpPr>
      <xdr:grpSpPr>
        <a:xfrm>
          <a:off x="7096123" y="923925"/>
          <a:ext cx="1590677" cy="800100"/>
          <a:chOff x="7096123" y="923925"/>
          <a:chExt cx="1590677" cy="800100"/>
        </a:xfrm>
      </xdr:grpSpPr>
      <xdr:pic>
        <xdr:nvPicPr>
          <xdr:cNvPr id="18" name="Picture 17">
            <a:extLst>
              <a:ext uri="{FF2B5EF4-FFF2-40B4-BE49-F238E27FC236}">
                <a16:creationId xmlns:a16="http://schemas.microsoft.com/office/drawing/2014/main" id="{AB531195-F8FD-47E6-86FA-45016053163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15176" y="1019177"/>
            <a:ext cx="476249" cy="505922"/>
          </a:xfrm>
          <a:prstGeom prst="rect">
            <a:avLst/>
          </a:prstGeom>
        </xdr:spPr>
      </xdr:pic>
      <xdr:sp macro="" textlink="PIVOT!A11">
        <xdr:nvSpPr>
          <xdr:cNvPr id="51" name="TextBox 50">
            <a:extLst>
              <a:ext uri="{FF2B5EF4-FFF2-40B4-BE49-F238E27FC236}">
                <a16:creationId xmlns:a16="http://schemas.microsoft.com/office/drawing/2014/main" id="{82E82B7E-8630-4B97-BFC2-611633C81AE9}"/>
              </a:ext>
            </a:extLst>
          </xdr:cNvPr>
          <xdr:cNvSpPr txBox="1"/>
        </xdr:nvSpPr>
        <xdr:spPr>
          <a:xfrm>
            <a:off x="7096123" y="1409700"/>
            <a:ext cx="1590677"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ysClr val="windowText" lastClr="000000"/>
                </a:solidFill>
                <a:latin typeface="Times New Roman" panose="02020603050405020304" pitchFamily="18" charset="0"/>
                <a:cs typeface="Times New Roman" panose="02020603050405020304" pitchFamily="18" charset="0"/>
              </a:rPr>
              <a:t>Average</a:t>
            </a:r>
            <a:r>
              <a:rPr lang="en-IN" sz="1600" b="0" baseline="0">
                <a:solidFill>
                  <a:sysClr val="windowText" lastClr="000000"/>
                </a:solidFill>
                <a:latin typeface="Times New Roman" panose="02020603050405020304" pitchFamily="18" charset="0"/>
                <a:cs typeface="Times New Roman" panose="02020603050405020304" pitchFamily="18" charset="0"/>
              </a:rPr>
              <a:t> Rating</a:t>
            </a:r>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sp macro="" textlink="PIVOT!A14">
        <xdr:nvSpPr>
          <xdr:cNvPr id="56" name="TextBox 55">
            <a:extLst>
              <a:ext uri="{FF2B5EF4-FFF2-40B4-BE49-F238E27FC236}">
                <a16:creationId xmlns:a16="http://schemas.microsoft.com/office/drawing/2014/main" id="{8011C3AA-5010-41AA-9DC6-CADA737CEB62}"/>
              </a:ext>
            </a:extLst>
          </xdr:cNvPr>
          <xdr:cNvSpPr txBox="1"/>
        </xdr:nvSpPr>
        <xdr:spPr>
          <a:xfrm>
            <a:off x="7543799" y="923925"/>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6562D6-9D4F-4D9E-984C-A88AAF2A927E}" type="TxLink">
              <a:rPr lang="en-US" sz="2400" b="0" i="0" u="none" strike="noStrike">
                <a:solidFill>
                  <a:srgbClr val="000000"/>
                </a:solidFill>
                <a:latin typeface="Times New Roman" panose="02020603050405020304" pitchFamily="18" charset="0"/>
                <a:ea typeface="+mn-ea"/>
                <a:cs typeface="Times New Roman" panose="02020603050405020304" pitchFamily="18" charset="0"/>
              </a:rPr>
              <a:pPr marL="0" indent="0" algn="ctr"/>
              <a:t>4.12</a:t>
            </a:fld>
            <a:endParaRPr lang="en-IN" sz="24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12</xdr:col>
      <xdr:colOff>600073</xdr:colOff>
      <xdr:row>5</xdr:row>
      <xdr:rowOff>0</xdr:rowOff>
    </xdr:from>
    <xdr:to>
      <xdr:col>15</xdr:col>
      <xdr:colOff>209550</xdr:colOff>
      <xdr:row>9</xdr:row>
      <xdr:rowOff>123825</xdr:rowOff>
    </xdr:to>
    <xdr:grpSp>
      <xdr:nvGrpSpPr>
        <xdr:cNvPr id="87" name="Group 86">
          <a:extLst>
            <a:ext uri="{FF2B5EF4-FFF2-40B4-BE49-F238E27FC236}">
              <a16:creationId xmlns:a16="http://schemas.microsoft.com/office/drawing/2014/main" id="{3964168C-28F9-4FD6-8E05-26F24D79815E}"/>
            </a:ext>
          </a:extLst>
        </xdr:cNvPr>
        <xdr:cNvGrpSpPr/>
      </xdr:nvGrpSpPr>
      <xdr:grpSpPr>
        <a:xfrm>
          <a:off x="8829673" y="904875"/>
          <a:ext cx="1666877" cy="847725"/>
          <a:chOff x="8829673" y="904875"/>
          <a:chExt cx="1666877" cy="847725"/>
        </a:xfrm>
      </xdr:grpSpPr>
      <xdr:pic>
        <xdr:nvPicPr>
          <xdr:cNvPr id="24" name="Picture 23">
            <a:extLst>
              <a:ext uri="{FF2B5EF4-FFF2-40B4-BE49-F238E27FC236}">
                <a16:creationId xmlns:a16="http://schemas.microsoft.com/office/drawing/2014/main" id="{8E5CE205-B348-4C2A-A878-3F4D636987F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915401" y="904875"/>
            <a:ext cx="495299" cy="602257"/>
          </a:xfrm>
          <a:prstGeom prst="rect">
            <a:avLst/>
          </a:prstGeom>
        </xdr:spPr>
      </xdr:pic>
      <xdr:sp macro="" textlink="PIVOT!A11">
        <xdr:nvSpPr>
          <xdr:cNvPr id="53" name="TextBox 52">
            <a:extLst>
              <a:ext uri="{FF2B5EF4-FFF2-40B4-BE49-F238E27FC236}">
                <a16:creationId xmlns:a16="http://schemas.microsoft.com/office/drawing/2014/main" id="{B4A46470-06F1-41AD-A6AD-CB7331CD72BF}"/>
              </a:ext>
            </a:extLst>
          </xdr:cNvPr>
          <xdr:cNvSpPr txBox="1"/>
        </xdr:nvSpPr>
        <xdr:spPr>
          <a:xfrm>
            <a:off x="8829673" y="1400175"/>
            <a:ext cx="1666877"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solidFill>
                  <a:sysClr val="windowText" lastClr="000000"/>
                </a:solidFill>
                <a:latin typeface="Times New Roman" panose="02020603050405020304" pitchFamily="18" charset="0"/>
                <a:cs typeface="Times New Roman" panose="02020603050405020304" pitchFamily="18" charset="0"/>
              </a:rPr>
              <a:t>Average Dilevery</a:t>
            </a:r>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sp macro="" textlink="PIVOT!A15">
        <xdr:nvSpPr>
          <xdr:cNvPr id="58" name="TextBox 57">
            <a:extLst>
              <a:ext uri="{FF2B5EF4-FFF2-40B4-BE49-F238E27FC236}">
                <a16:creationId xmlns:a16="http://schemas.microsoft.com/office/drawing/2014/main" id="{38CD868A-CFB1-4199-AB08-EDB9A73147CB}"/>
              </a:ext>
            </a:extLst>
          </xdr:cNvPr>
          <xdr:cNvSpPr txBox="1"/>
        </xdr:nvSpPr>
        <xdr:spPr>
          <a:xfrm>
            <a:off x="9372599" y="914400"/>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7B29DE-085C-4CAE-9199-666F9BEB1AED}" type="TxLink">
              <a:rPr lang="en-US" sz="2400" b="0" i="0" u="none" strike="noStrike">
                <a:solidFill>
                  <a:srgbClr val="000000"/>
                </a:solidFill>
                <a:latin typeface="Times New Roman" panose="02020603050405020304" pitchFamily="18" charset="0"/>
                <a:ea typeface="+mn-ea"/>
                <a:cs typeface="Times New Roman" panose="02020603050405020304" pitchFamily="18" charset="0"/>
              </a:rPr>
              <a:pPr marL="0" indent="0" algn="ctr"/>
              <a:t>2146</a:t>
            </a:fld>
            <a:endParaRPr lang="en-IN" sz="2400" b="0" i="0" u="none" strike="noStrike">
              <a:solidFill>
                <a:srgbClr val="000000"/>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2</xdr:col>
      <xdr:colOff>257176</xdr:colOff>
      <xdr:row>11</xdr:row>
      <xdr:rowOff>38099</xdr:rowOff>
    </xdr:from>
    <xdr:to>
      <xdr:col>6</xdr:col>
      <xdr:colOff>295275</xdr:colOff>
      <xdr:row>20</xdr:row>
      <xdr:rowOff>114299</xdr:rowOff>
    </xdr:to>
    <xdr:graphicFrame macro="">
      <xdr:nvGraphicFramePr>
        <xdr:cNvPr id="60" name="Chart 59">
          <a:extLst>
            <a:ext uri="{FF2B5EF4-FFF2-40B4-BE49-F238E27FC236}">
              <a16:creationId xmlns:a16="http://schemas.microsoft.com/office/drawing/2014/main" id="{024938A5-049D-42E4-AD9D-CE15A95D2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9526</xdr:colOff>
      <xdr:row>10</xdr:row>
      <xdr:rowOff>142875</xdr:rowOff>
    </xdr:from>
    <xdr:to>
      <xdr:col>11</xdr:col>
      <xdr:colOff>200025</xdr:colOff>
      <xdr:row>22</xdr:row>
      <xdr:rowOff>0</xdr:rowOff>
    </xdr:to>
    <xdr:graphicFrame macro="">
      <xdr:nvGraphicFramePr>
        <xdr:cNvPr id="61" name="Chart 60">
          <a:extLst>
            <a:ext uri="{FF2B5EF4-FFF2-40B4-BE49-F238E27FC236}">
              <a16:creationId xmlns:a16="http://schemas.microsoft.com/office/drawing/2014/main" id="{8AAD5B60-2A6D-4679-A987-16B3AF966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228601</xdr:colOff>
      <xdr:row>10</xdr:row>
      <xdr:rowOff>161925</xdr:rowOff>
    </xdr:from>
    <xdr:to>
      <xdr:col>14</xdr:col>
      <xdr:colOff>76200</xdr:colOff>
      <xdr:row>20</xdr:row>
      <xdr:rowOff>38100</xdr:rowOff>
    </xdr:to>
    <mc:AlternateContent xmlns:mc="http://schemas.openxmlformats.org/markup-compatibility/2006">
      <mc:Choice xmlns:cx4="http://schemas.microsoft.com/office/drawing/2016/5/10/chartex" Requires="cx4">
        <xdr:graphicFrame macro="">
          <xdr:nvGraphicFramePr>
            <xdr:cNvPr id="63" name="Chart 62">
              <a:extLst>
                <a:ext uri="{FF2B5EF4-FFF2-40B4-BE49-F238E27FC236}">
                  <a16:creationId xmlns:a16="http://schemas.microsoft.com/office/drawing/2014/main" id="{7D3FD323-E6E9-4FED-B681-0CCA00E491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772401" y="1971675"/>
              <a:ext cx="1904999" cy="1685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466725</xdr:colOff>
      <xdr:row>11</xdr:row>
      <xdr:rowOff>104775</xdr:rowOff>
    </xdr:from>
    <xdr:to>
      <xdr:col>16</xdr:col>
      <xdr:colOff>85724</xdr:colOff>
      <xdr:row>19</xdr:row>
      <xdr:rowOff>161925</xdr:rowOff>
    </xdr:to>
    <xdr:graphicFrame macro="">
      <xdr:nvGraphicFramePr>
        <xdr:cNvPr id="65" name="Chart 64">
          <a:extLst>
            <a:ext uri="{FF2B5EF4-FFF2-40B4-BE49-F238E27FC236}">
              <a16:creationId xmlns:a16="http://schemas.microsoft.com/office/drawing/2014/main" id="{9AF9BDC7-54FC-4B49-9B90-118AF1F48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457202</xdr:colOff>
      <xdr:row>22</xdr:row>
      <xdr:rowOff>28577</xdr:rowOff>
    </xdr:from>
    <xdr:to>
      <xdr:col>6</xdr:col>
      <xdr:colOff>304800</xdr:colOff>
      <xdr:row>31</xdr:row>
      <xdr:rowOff>161925</xdr:rowOff>
    </xdr:to>
    <xdr:graphicFrame macro="">
      <xdr:nvGraphicFramePr>
        <xdr:cNvPr id="66" name="Chart 65">
          <a:extLst>
            <a:ext uri="{FF2B5EF4-FFF2-40B4-BE49-F238E27FC236}">
              <a16:creationId xmlns:a16="http://schemas.microsoft.com/office/drawing/2014/main" id="{F3C761F8-3735-4FCD-906D-80DD4B613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114299</xdr:colOff>
      <xdr:row>10</xdr:row>
      <xdr:rowOff>85726</xdr:rowOff>
    </xdr:from>
    <xdr:to>
      <xdr:col>15</xdr:col>
      <xdr:colOff>466725</xdr:colOff>
      <xdr:row>11</xdr:row>
      <xdr:rowOff>161925</xdr:rowOff>
    </xdr:to>
    <xdr:sp macro="" textlink="PIVOT!A14">
      <xdr:nvSpPr>
        <xdr:cNvPr id="67" name="TextBox 66">
          <a:extLst>
            <a:ext uri="{FF2B5EF4-FFF2-40B4-BE49-F238E27FC236}">
              <a16:creationId xmlns:a16="http://schemas.microsoft.com/office/drawing/2014/main" id="{BD287112-FA63-426B-89A2-6B8B8EF4BEC4}"/>
            </a:ext>
          </a:extLst>
        </xdr:cNvPr>
        <xdr:cNvSpPr txBox="1"/>
      </xdr:nvSpPr>
      <xdr:spPr>
        <a:xfrm>
          <a:off x="8343899" y="1895476"/>
          <a:ext cx="240982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sng" strike="noStrike">
              <a:solidFill>
                <a:schemeClr val="tx1"/>
              </a:solidFill>
              <a:latin typeface="Times New Roman" panose="02020603050405020304" pitchFamily="18" charset="0"/>
              <a:ea typeface="+mn-ea"/>
              <a:cs typeface="Times New Roman" panose="02020603050405020304" pitchFamily="18" charset="0"/>
            </a:rPr>
            <a:t>sales</a:t>
          </a:r>
          <a:r>
            <a:rPr lang="en-IN" sz="1400" b="0" i="0" u="sng" strike="noStrike" baseline="0">
              <a:solidFill>
                <a:schemeClr val="tx1"/>
              </a:solidFill>
              <a:latin typeface="Times New Roman" panose="02020603050405020304" pitchFamily="18" charset="0"/>
              <a:ea typeface="+mn-ea"/>
              <a:cs typeface="Times New Roman" panose="02020603050405020304" pitchFamily="18" charset="0"/>
            </a:rPr>
            <a:t> by state %</a:t>
          </a:r>
          <a:endParaRPr lang="en-IN" sz="1400" b="0" i="0" u="sng"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523874</xdr:colOff>
      <xdr:row>21</xdr:row>
      <xdr:rowOff>47626</xdr:rowOff>
    </xdr:from>
    <xdr:to>
      <xdr:col>6</xdr:col>
      <xdr:colOff>190500</xdr:colOff>
      <xdr:row>22</xdr:row>
      <xdr:rowOff>123825</xdr:rowOff>
    </xdr:to>
    <xdr:sp macro="" textlink="PIVOT!A14">
      <xdr:nvSpPr>
        <xdr:cNvPr id="68" name="TextBox 67">
          <a:extLst>
            <a:ext uri="{FF2B5EF4-FFF2-40B4-BE49-F238E27FC236}">
              <a16:creationId xmlns:a16="http://schemas.microsoft.com/office/drawing/2014/main" id="{988309B0-9780-4C43-8831-1767D93A0C18}"/>
            </a:ext>
          </a:extLst>
        </xdr:cNvPr>
        <xdr:cNvSpPr txBox="1"/>
      </xdr:nvSpPr>
      <xdr:spPr>
        <a:xfrm>
          <a:off x="1895474" y="3848101"/>
          <a:ext cx="240982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sng" strike="noStrike">
              <a:solidFill>
                <a:schemeClr val="tx1"/>
              </a:solidFill>
              <a:latin typeface="Times New Roman" panose="02020603050405020304" pitchFamily="18" charset="0"/>
              <a:ea typeface="+mn-ea"/>
              <a:cs typeface="Times New Roman" panose="02020603050405020304" pitchFamily="18" charset="0"/>
            </a:rPr>
            <a:t>sales</a:t>
          </a:r>
          <a:r>
            <a:rPr lang="en-IN" sz="1400" b="0" i="0" u="sng" strike="noStrike" baseline="0">
              <a:solidFill>
                <a:schemeClr val="tx1"/>
              </a:solidFill>
              <a:latin typeface="Times New Roman" panose="02020603050405020304" pitchFamily="18" charset="0"/>
              <a:ea typeface="+mn-ea"/>
              <a:cs typeface="Times New Roman" panose="02020603050405020304" pitchFamily="18" charset="0"/>
            </a:rPr>
            <a:t> by payment method </a:t>
          </a:r>
          <a:endParaRPr lang="en-IN" sz="1400" b="0" i="0" u="sng"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85725</xdr:colOff>
      <xdr:row>22</xdr:row>
      <xdr:rowOff>123825</xdr:rowOff>
    </xdr:from>
    <xdr:to>
      <xdr:col>11</xdr:col>
      <xdr:colOff>66675</xdr:colOff>
      <xdr:row>31</xdr:row>
      <xdr:rowOff>142875</xdr:rowOff>
    </xdr:to>
    <xdr:graphicFrame macro="">
      <xdr:nvGraphicFramePr>
        <xdr:cNvPr id="69" name="Chart 68">
          <a:extLst>
            <a:ext uri="{FF2B5EF4-FFF2-40B4-BE49-F238E27FC236}">
              <a16:creationId xmlns:a16="http://schemas.microsoft.com/office/drawing/2014/main" id="{9966C9AC-39B0-4538-82E5-4A965C60C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219074</xdr:colOff>
      <xdr:row>21</xdr:row>
      <xdr:rowOff>123826</xdr:rowOff>
    </xdr:from>
    <xdr:to>
      <xdr:col>10</xdr:col>
      <xdr:colOff>571500</xdr:colOff>
      <xdr:row>23</xdr:row>
      <xdr:rowOff>19050</xdr:rowOff>
    </xdr:to>
    <xdr:sp macro="" textlink="PIVOT!A14">
      <xdr:nvSpPr>
        <xdr:cNvPr id="70" name="TextBox 69">
          <a:extLst>
            <a:ext uri="{FF2B5EF4-FFF2-40B4-BE49-F238E27FC236}">
              <a16:creationId xmlns:a16="http://schemas.microsoft.com/office/drawing/2014/main" id="{1F374A86-B336-4B3E-B5D0-588AECEBE73F}"/>
            </a:ext>
          </a:extLst>
        </xdr:cNvPr>
        <xdr:cNvSpPr txBox="1"/>
      </xdr:nvSpPr>
      <xdr:spPr>
        <a:xfrm>
          <a:off x="5019674" y="3924301"/>
          <a:ext cx="240982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sng" strike="noStrike">
              <a:solidFill>
                <a:schemeClr val="tx1"/>
              </a:solidFill>
              <a:latin typeface="Times New Roman" panose="02020603050405020304" pitchFamily="18" charset="0"/>
              <a:ea typeface="+mn-ea"/>
              <a:cs typeface="Times New Roman" panose="02020603050405020304" pitchFamily="18" charset="0"/>
            </a:rPr>
            <a:t>sales</a:t>
          </a:r>
          <a:r>
            <a:rPr lang="en-IN" sz="1400" b="0" i="0" u="sng" strike="noStrike" baseline="0">
              <a:solidFill>
                <a:schemeClr val="tx1"/>
              </a:solidFill>
              <a:latin typeface="Times New Roman" panose="02020603050405020304" pitchFamily="18" charset="0"/>
              <a:ea typeface="+mn-ea"/>
              <a:cs typeface="Times New Roman" panose="02020603050405020304" pitchFamily="18" charset="0"/>
            </a:rPr>
            <a:t> by producat</a:t>
          </a:r>
          <a:endParaRPr lang="en-IN" sz="1400" b="0" i="0" u="sng"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11</xdr:col>
      <xdr:colOff>495301</xdr:colOff>
      <xdr:row>24</xdr:row>
      <xdr:rowOff>28575</xdr:rowOff>
    </xdr:from>
    <xdr:to>
      <xdr:col>16</xdr:col>
      <xdr:colOff>34225</xdr:colOff>
      <xdr:row>30</xdr:row>
      <xdr:rowOff>152400</xdr:rowOff>
    </xdr:to>
    <xdr:pic>
      <xdr:nvPicPr>
        <xdr:cNvPr id="72" name="Picture 71">
          <a:extLst>
            <a:ext uri="{FF2B5EF4-FFF2-40B4-BE49-F238E27FC236}">
              <a16:creationId xmlns:a16="http://schemas.microsoft.com/office/drawing/2014/main" id="{46C51C86-A396-4FE2-A2DE-DD11157FBC33}"/>
            </a:ext>
          </a:extLst>
        </xdr:cNvPr>
        <xdr:cNvPicPr>
          <a:picLocks noChangeAspect="1" noChangeArrowheads="1"/>
        </xdr:cNvPicPr>
      </xdr:nvPicPr>
      <xdr:blipFill>
        <a:blip xmlns:r="http://schemas.openxmlformats.org/officeDocument/2006/relationships" r:embed="rId14">
          <a:alphaModFix amt="90000"/>
          <a:extLst>
            <a:ext uri="{28A0092B-C50C-407E-A947-70E740481C1C}">
              <a14:useLocalDpi xmlns:a14="http://schemas.microsoft.com/office/drawing/2010/main" val="0"/>
            </a:ext>
          </a:extLst>
        </a:blip>
        <a:srcRect/>
        <a:stretch>
          <a:fillRect/>
        </a:stretch>
      </xdr:blipFill>
      <xdr:spPr bwMode="auto">
        <a:xfrm>
          <a:off x="8039101" y="4371975"/>
          <a:ext cx="2967924" cy="1209675"/>
        </a:xfrm>
        <a:prstGeom prst="rect">
          <a:avLst/>
        </a:prstGeom>
        <a:solidFill>
          <a:schemeClr val="bg1"/>
        </a:solidFill>
      </xdr:spPr>
    </xdr:pic>
    <xdr:clientData/>
  </xdr:twoCellAnchor>
  <xdr:twoCellAnchor>
    <xdr:from>
      <xdr:col>11</xdr:col>
      <xdr:colOff>647699</xdr:colOff>
      <xdr:row>21</xdr:row>
      <xdr:rowOff>142875</xdr:rowOff>
    </xdr:from>
    <xdr:to>
      <xdr:col>15</xdr:col>
      <xdr:colOff>447675</xdr:colOff>
      <xdr:row>23</xdr:row>
      <xdr:rowOff>47624</xdr:rowOff>
    </xdr:to>
    <xdr:sp macro="" textlink="PIVOT!A14">
      <xdr:nvSpPr>
        <xdr:cNvPr id="73" name="TextBox 72">
          <a:extLst>
            <a:ext uri="{FF2B5EF4-FFF2-40B4-BE49-F238E27FC236}">
              <a16:creationId xmlns:a16="http://schemas.microsoft.com/office/drawing/2014/main" id="{9333AD68-C03F-47ED-A573-8D0D61842369}"/>
            </a:ext>
          </a:extLst>
        </xdr:cNvPr>
        <xdr:cNvSpPr txBox="1"/>
      </xdr:nvSpPr>
      <xdr:spPr>
        <a:xfrm>
          <a:off x="8191499" y="3943350"/>
          <a:ext cx="2543176"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sng" strike="noStrike">
              <a:solidFill>
                <a:schemeClr val="tx1"/>
              </a:solidFill>
              <a:latin typeface="Times New Roman" panose="02020603050405020304" pitchFamily="18" charset="0"/>
              <a:ea typeface="+mn-ea"/>
              <a:cs typeface="Times New Roman" panose="02020603050405020304" pitchFamily="18" charset="0"/>
            </a:rPr>
            <a:t>order</a:t>
          </a:r>
          <a:r>
            <a:rPr lang="en-IN" sz="1400" b="0" i="0" u="sng" strike="noStrike" baseline="0">
              <a:solidFill>
                <a:schemeClr val="tx1"/>
              </a:solidFill>
              <a:latin typeface="Times New Roman" panose="02020603050405020304" pitchFamily="18" charset="0"/>
              <a:ea typeface="+mn-ea"/>
              <a:cs typeface="Times New Roman" panose="02020603050405020304" pitchFamily="18" charset="0"/>
            </a:rPr>
            <a:t> details</a:t>
          </a:r>
          <a:endParaRPr lang="en-IN" sz="1400" b="0" i="0" u="sng"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0</xdr:col>
      <xdr:colOff>180975</xdr:colOff>
      <xdr:row>24</xdr:row>
      <xdr:rowOff>85725</xdr:rowOff>
    </xdr:from>
    <xdr:to>
      <xdr:col>1</xdr:col>
      <xdr:colOff>625575</xdr:colOff>
      <xdr:row>31</xdr:row>
      <xdr:rowOff>64500</xdr:rowOff>
    </xdr:to>
    <mc:AlternateContent xmlns:mc="http://schemas.openxmlformats.org/markup-compatibility/2006" xmlns:a14="http://schemas.microsoft.com/office/drawing/2010/main">
      <mc:Choice Requires="a14">
        <xdr:graphicFrame macro="">
          <xdr:nvGraphicFramePr>
            <xdr:cNvPr id="74" name="Payment_Method 1">
              <a:extLst>
                <a:ext uri="{FF2B5EF4-FFF2-40B4-BE49-F238E27FC236}">
                  <a16:creationId xmlns:a16="http://schemas.microsoft.com/office/drawing/2014/main" id="{546AF52C-FD6E-47FC-B58F-8D69A14FAD2F}"/>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80975" y="4429125"/>
              <a:ext cx="1130400" cy="124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142876</xdr:colOff>
      <xdr:row>15</xdr:row>
      <xdr:rowOff>95250</xdr:rowOff>
    </xdr:from>
    <xdr:to>
      <xdr:col>1</xdr:col>
      <xdr:colOff>628650</xdr:colOff>
      <xdr:row>24</xdr:row>
      <xdr:rowOff>9525</xdr:rowOff>
    </xdr:to>
    <mc:AlternateContent xmlns:mc="http://schemas.openxmlformats.org/markup-compatibility/2006" xmlns:a14="http://schemas.microsoft.com/office/drawing/2010/main">
      <mc:Choice Requires="a14">
        <xdr:graphicFrame macro="">
          <xdr:nvGraphicFramePr>
            <xdr:cNvPr id="76" name="Seller 1">
              <a:extLst>
                <a:ext uri="{FF2B5EF4-FFF2-40B4-BE49-F238E27FC236}">
                  <a16:creationId xmlns:a16="http://schemas.microsoft.com/office/drawing/2014/main" id="{1ED701B9-7663-4935-BA84-6D84B1348003}"/>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142876" y="2809875"/>
              <a:ext cx="1171574"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6</xdr:row>
      <xdr:rowOff>28575</xdr:rowOff>
    </xdr:from>
    <xdr:to>
      <xdr:col>1</xdr:col>
      <xdr:colOff>645075</xdr:colOff>
      <xdr:row>15</xdr:row>
      <xdr:rowOff>19800</xdr:rowOff>
    </xdr:to>
    <mc:AlternateContent xmlns:mc="http://schemas.openxmlformats.org/markup-compatibility/2006" xmlns:a14="http://schemas.microsoft.com/office/drawing/2010/main">
      <mc:Choice Requires="a14">
        <xdr:graphicFrame macro="">
          <xdr:nvGraphicFramePr>
            <xdr:cNvPr id="78" name="Month 1">
              <a:extLst>
                <a:ext uri="{FF2B5EF4-FFF2-40B4-BE49-F238E27FC236}">
                  <a16:creationId xmlns:a16="http://schemas.microsoft.com/office/drawing/2014/main" id="{6AF56599-B0B9-4664-A0DF-7F8657C97F3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2875" y="1114425"/>
              <a:ext cx="11880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8.563533217595" createdVersion="7" refreshedVersion="7" minRefreshableVersion="3" recordCount="500" xr:uid="{D04F2025-DE39-4F42-A11C-69C92B71FB18}">
  <cacheSource type="worksheet">
    <worksheetSource name="Table2"/>
  </cacheSource>
  <cacheFields count="13">
    <cacheField name="Order_ID" numFmtId="0">
      <sharedItems count="5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Date" numFmtId="0">
      <sharedItems/>
    </cacheField>
    <cacheField name="Customer_Name" numFmtId="0">
      <sharedItems count="20">
        <s v="Rohit"/>
        <s v="Kavya"/>
        <s v="Neha"/>
        <s v="Rahul"/>
        <s v="Akash"/>
        <s v="Anjali"/>
        <s v="Divya"/>
        <s v="Arjun"/>
        <s v="Ali"/>
        <s v="Vikas"/>
        <s v="Naveen"/>
        <s v="Priya"/>
        <s v="Pooja"/>
        <s v="Aman"/>
        <s v="Sanjay"/>
        <s v="Kiran"/>
        <s v="Vijay"/>
        <s v="Meena"/>
        <s v="Sneha"/>
        <s v="Ria"/>
      </sharedItems>
    </cacheField>
    <cacheField name="Product" numFmtId="0">
      <sharedItems count="21">
        <s v="Shampoo"/>
        <s v="Chair"/>
        <s v="iPhone 15"/>
        <s v="Shoes"/>
        <s v="Jeans"/>
        <s v="Business Book"/>
        <s v="Bedsheet"/>
        <s v="Python Book"/>
        <s v="Lamp"/>
        <s v="Mixer"/>
        <s v="Perfume"/>
        <s v="Watch"/>
        <s v="AirPods Pro"/>
        <s v="Cookbook"/>
        <s v="Laptop"/>
        <s v="Lipstick"/>
        <s v="MacBook Air"/>
        <s v="Novel"/>
        <s v="T-Shirt"/>
        <s v="Sony Headphones"/>
        <s v="Face Wash"/>
      </sharedItems>
    </cacheField>
    <cacheField name="Category" numFmtId="0">
      <sharedItems count="5">
        <s v="Beauty"/>
        <s v="Home"/>
        <s v="Electronics"/>
        <s v="Fashion"/>
        <s v="Books"/>
      </sharedItems>
    </cacheField>
    <cacheField name="State" numFmtId="0">
      <sharedItems count="6">
        <s v="Karnataka"/>
        <s v="Gujrat"/>
        <s v="Telangana"/>
        <s v="Maharashtra"/>
        <s v="Delhi"/>
        <s v="Tamil Nadu"/>
      </sharedItems>
    </cacheField>
    <cacheField name="Seller" numFmtId="0">
      <sharedItems count="4">
        <s v="BookWorld"/>
        <s v="TechStore"/>
        <s v="BeautyCare"/>
        <s v="HomeMart"/>
      </sharedItems>
    </cacheField>
    <cacheField name="Payment_Method" numFmtId="0">
      <sharedItems count="4">
        <s v="Cash"/>
        <s v="Net Banking"/>
        <s v="Card"/>
        <s v="UPI"/>
      </sharedItems>
    </cacheField>
    <cacheField name="Sales" numFmtId="0">
      <sharedItems containsSemiMixedTypes="0" containsString="0" containsNumber="1" containsInteger="1" minValue="307" maxValue="596816" count="492">
        <n v="3028"/>
        <n v="32636"/>
        <n v="313782"/>
        <n v="11375"/>
        <n v="14496"/>
        <n v="5745"/>
        <n v="24696"/>
        <n v="3536"/>
        <n v="25855"/>
        <n v="9432"/>
        <n v="1749"/>
        <n v="85904"/>
        <n v="9792"/>
        <n v="976"/>
        <n v="8338"/>
        <n v="5592"/>
        <n v="17208"/>
        <n v="159523"/>
        <n v="10632"/>
        <n v="5484"/>
        <n v="60040"/>
        <n v="5668"/>
        <n v="245328"/>
        <n v="307"/>
        <n v="4251"/>
        <n v="195428"/>
        <n v="11697"/>
        <n v="218908"/>
        <n v="4467"/>
        <n v="9621"/>
        <n v="23452"/>
        <n v="15564"/>
        <n v="5576"/>
        <n v="2196"/>
        <n v="6790"/>
        <n v="22584"/>
        <n v="20496"/>
        <n v="8466"/>
        <n v="25865"/>
        <n v="12481"/>
        <n v="10143"/>
        <n v="1016"/>
        <n v="2284"/>
        <n v="87227"/>
        <n v="46092"/>
        <n v="22540"/>
        <n v="23534"/>
        <n v="39584"/>
        <n v="258124"/>
        <n v="87718"/>
        <n v="23008"/>
        <n v="1414"/>
        <n v="3189"/>
        <n v="10584"/>
        <n v="5571"/>
        <n v="2880"/>
        <n v="319665"/>
        <n v="77892"/>
        <n v="25500"/>
        <n v="596816"/>
        <n v="8967"/>
        <n v="3245"/>
        <n v="6710"/>
        <n v="208160"/>
        <n v="190589"/>
        <n v="3419"/>
        <n v="6519"/>
        <n v="5170"/>
        <n v="14949"/>
        <n v="22210"/>
        <n v="26485"/>
        <n v="5104"/>
        <n v="5814"/>
        <n v="74214"/>
        <n v="2462"/>
        <n v="6504"/>
        <n v="3285"/>
        <n v="8085"/>
        <n v="2200"/>
        <n v="12868"/>
        <n v="310"/>
        <n v="20688"/>
        <n v="8211"/>
        <n v="246912"/>
        <n v="8868"/>
        <n v="3479"/>
        <n v="5100"/>
        <n v="4712"/>
        <n v="1125"/>
        <n v="46264"/>
        <n v="39215"/>
        <n v="1087"/>
        <n v="36939"/>
        <n v="8874"/>
        <n v="47628"/>
        <n v="55830"/>
        <n v="1674"/>
        <n v="11920"/>
        <n v="3240"/>
        <n v="6543"/>
        <n v="71538"/>
        <n v="236640"/>
        <n v="70704"/>
        <n v="3252"/>
        <n v="24584"/>
        <n v="15912"/>
        <n v="1389"/>
        <n v="1836"/>
        <n v="3246"/>
        <n v="10775"/>
        <n v="3424"/>
        <n v="13356"/>
        <n v="204624"/>
        <n v="7968"/>
        <n v="220384"/>
        <n v="33425"/>
        <n v="16930"/>
        <n v="4263"/>
        <n v="5703"/>
        <n v="29648"/>
        <n v="4914"/>
        <n v="26848"/>
        <n v="11008"/>
        <n v="3332"/>
        <n v="28805"/>
        <n v="582"/>
        <n v="41150"/>
        <n v="11898"/>
        <n v="121614"/>
        <n v="12104"/>
        <n v="7080"/>
        <n v="15456"/>
        <n v="8652"/>
        <n v="11757"/>
        <n v="32886"/>
        <n v="4214"/>
        <n v="4040"/>
        <n v="27996"/>
        <n v="385744"/>
        <n v="7230"/>
        <n v="1671"/>
        <n v="6594"/>
        <n v="2279"/>
        <n v="6416"/>
        <n v="51569"/>
        <n v="4856"/>
        <n v="3135"/>
        <n v="14240"/>
        <n v="20366"/>
        <n v="16856"/>
        <n v="16680"/>
        <n v="26544"/>
        <n v="7748"/>
        <n v="83099"/>
        <n v="19680"/>
        <n v="5920"/>
        <n v="336066"/>
        <n v="27167"/>
        <n v="52130"/>
        <n v="2560"/>
        <n v="512296"/>
        <n v="6328"/>
        <n v="5538"/>
        <n v="1756"/>
        <n v="2268"/>
        <n v="2379"/>
        <n v="5860"/>
        <n v="8748"/>
        <n v="43950"/>
        <n v="5037"/>
        <n v="6136"/>
        <n v="3234"/>
        <n v="3546"/>
        <n v="18816"/>
        <n v="77340"/>
        <n v="12486"/>
        <n v="22260"/>
        <n v="534835"/>
        <n v="11776"/>
        <n v="9814"/>
        <n v="1886"/>
        <n v="197331"/>
        <n v="192608"/>
        <n v="3372"/>
        <n v="16212"/>
        <n v="100890"/>
        <n v="7252"/>
        <n v="257145"/>
        <n v="6696"/>
        <n v="18112"/>
        <n v="18224"/>
        <n v="16336"/>
        <n v="12404"/>
        <n v="101355"/>
        <n v="4050"/>
        <n v="5900"/>
        <n v="9798"/>
        <n v="1246"/>
        <n v="55722"/>
        <n v="1142"/>
        <n v="3592"/>
        <n v="9840"/>
        <n v="6608"/>
        <n v="35610"/>
        <n v="176015"/>
        <n v="7935"/>
        <n v="28254"/>
        <n v="3987"/>
        <n v="5999"/>
        <n v="4932"/>
        <n v="12405"/>
        <n v="5424"/>
        <n v="316535"/>
        <n v="4266"/>
        <n v="24785"/>
        <n v="32753"/>
        <n v="3184"/>
        <n v="18248"/>
        <n v="7492"/>
        <n v="1644"/>
        <n v="6488"/>
        <n v="15631"/>
        <n v="30696"/>
        <n v="5478"/>
        <n v="3432"/>
        <n v="10314"/>
        <n v="2404"/>
        <n v="79388"/>
        <n v="199074"/>
        <n v="232746"/>
        <n v="6232"/>
        <n v="1275"/>
        <n v="16056"/>
        <n v="3204"/>
        <n v="6168"/>
        <n v="1417"/>
        <n v="111030"/>
        <n v="10549"/>
        <n v="37653"/>
        <n v="570"/>
        <n v="4806"/>
        <n v="10254"/>
        <n v="5685"/>
        <n v="161890"/>
        <n v="16555"/>
        <n v="33112"/>
        <n v="17616"/>
        <n v="724"/>
        <n v="64640"/>
        <n v="25400"/>
        <n v="22590"/>
        <n v="10913"/>
        <n v="6820"/>
        <n v="7560"/>
        <n v="21936"/>
        <n v="16092"/>
        <n v="196792"/>
        <n v="16331"/>
        <n v="4668"/>
        <n v="6729"/>
        <n v="5253"/>
        <n v="8624"/>
        <n v="8184"/>
        <n v="62524"/>
        <n v="4840"/>
        <n v="895"/>
        <n v="237105"/>
        <n v="674"/>
        <n v="24060"/>
        <n v="39788"/>
        <n v="23824"/>
        <n v="38192"/>
        <n v="6756"/>
        <n v="23560"/>
        <n v="5260"/>
        <n v="6968"/>
        <n v="15318"/>
        <n v="36309"/>
        <n v="4332"/>
        <n v="36218"/>
        <n v="1034"/>
        <n v="11921"/>
        <n v="18235"/>
        <n v="25320"/>
        <n v="22872"/>
        <n v="245874"/>
        <n v="4284"/>
        <n v="3824"/>
        <n v="11368"/>
        <n v="213440"/>
        <n v="2538"/>
        <n v="2501"/>
        <n v="2194"/>
        <n v="3595"/>
        <n v="154440"/>
        <n v="383140"/>
        <n v="9648"/>
        <n v="6156"/>
        <n v="33965"/>
        <n v="279552"/>
        <n v="11965"/>
        <n v="4195"/>
        <n v="32543"/>
        <n v="8214"/>
        <n v="8088"/>
        <n v="4074"/>
        <n v="15323"/>
        <n v="11286"/>
        <n v="19200"/>
        <n v="10920"/>
        <n v="257243"/>
        <n v="12048"/>
        <n v="1843"/>
        <n v="55013"/>
        <n v="3490"/>
        <n v="13076"/>
        <n v="311416"/>
        <n v="8605"/>
        <n v="6572"/>
        <n v="7470"/>
        <n v="5088"/>
        <n v="31806"/>
        <n v="8290"/>
        <n v="3462"/>
        <n v="7096"/>
        <n v="151312"/>
        <n v="1191"/>
        <n v="282350"/>
        <n v="419576"/>
        <n v="11982"/>
        <n v="7112"/>
        <n v="11384"/>
        <n v="6940"/>
        <n v="25585"/>
        <n v="22624"/>
        <n v="33808"/>
        <n v="20432"/>
        <n v="10432"/>
        <n v="26871"/>
        <n v="6960"/>
        <n v="282224"/>
        <n v="7372"/>
        <n v="15798"/>
        <n v="7072"/>
        <n v="65994"/>
        <n v="26395"/>
        <n v="68457"/>
        <n v="3526"/>
        <n v="20139"/>
        <n v="4816"/>
        <n v="30040"/>
        <n v="269370"/>
        <n v="5580"/>
        <n v="377090"/>
        <n v="167444"/>
        <n v="2960"/>
        <n v="1598"/>
        <n v="1508"/>
        <n v="141239"/>
        <n v="10212"/>
        <n v="6776"/>
        <n v="2667"/>
        <n v="82808"/>
        <n v="2272"/>
        <n v="4470"/>
        <n v="7144"/>
        <n v="236490"/>
        <n v="7990"/>
        <n v="308798"/>
        <n v="112085"/>
        <n v="9030"/>
        <n v="3288"/>
        <n v="24096"/>
        <n v="4084"/>
        <n v="248592"/>
        <n v="57631"/>
        <n v="4180"/>
        <n v="2526"/>
        <n v="10640"/>
        <n v="5777"/>
        <n v="45899"/>
        <n v="7608"/>
        <n v="209300"/>
        <n v="53724"/>
        <n v="12640"/>
        <n v="2958"/>
        <n v="13272"/>
        <n v="25445"/>
        <n v="4407"/>
        <n v="9880"/>
        <n v="14967"/>
        <n v="616"/>
        <n v="21328"/>
        <n v="96832"/>
        <n v="50400"/>
        <n v="9666"/>
        <n v="10104"/>
        <n v="9242"/>
        <n v="7966"/>
        <n v="8337"/>
        <n v="445504"/>
        <n v="861"/>
        <n v="44532"/>
        <n v="36295"/>
        <n v="7300"/>
        <n v="4172"/>
        <n v="5526"/>
        <n v="13944"/>
        <n v="19268"/>
        <n v="28728"/>
        <n v="4419"/>
        <n v="21805"/>
        <n v="595"/>
        <n v="2325"/>
        <n v="26803"/>
        <n v="36040"/>
        <n v="56403"/>
        <n v="2276"/>
        <n v="33795"/>
        <n v="1841"/>
        <n v="6712"/>
        <n v="6065"/>
        <n v="10192"/>
        <n v="94144"/>
        <n v="12047"/>
        <n v="66836"/>
        <n v="125158"/>
        <n v="797"/>
        <n v="1716"/>
        <n v="1524"/>
        <n v="3580"/>
        <n v="13167"/>
        <n v="26340"/>
        <n v="3444"/>
        <n v="12636"/>
        <n v="6948"/>
        <n v="34160"/>
        <n v="10452"/>
        <n v="11904"/>
        <n v="33656"/>
        <n v="40400"/>
        <n v="33012"/>
        <n v="29872"/>
        <n v="335296"/>
        <n v="14262"/>
        <n v="9910"/>
        <n v="13380"/>
        <n v="87816"/>
        <n v="880"/>
        <n v="10530"/>
        <n v="119661"/>
        <n v="213456"/>
        <n v="15905"/>
        <n v="4860"/>
        <n v="34086"/>
        <n v="12012"/>
        <n v="48552"/>
        <n v="38570"/>
        <n v="9906"/>
        <n v="41965"/>
        <n v="3921"/>
        <n v="81800"/>
        <n v="28296"/>
        <n v="17940"/>
        <n v="8744"/>
        <n v="5816"/>
        <n v="128788"/>
        <n v="702"/>
        <n v="6012"/>
        <n v="7876"/>
        <n v="21057"/>
        <n v="15792"/>
        <n v="31144"/>
        <n v="1088"/>
        <n v="9176"/>
        <n v="71576"/>
        <n v="366740"/>
        <n v="205456"/>
        <n v="150170"/>
        <n v="6972"/>
        <n v="135732"/>
        <n v="948"/>
        <n v="23855"/>
        <n v="5334"/>
        <n v="7390"/>
        <n v="5888"/>
        <n v="238268"/>
        <n v="4904"/>
        <n v="2895"/>
        <n v="28672"/>
        <n v="1882"/>
        <n v="333860"/>
      </sharedItems>
    </cacheField>
    <cacheField name="Quantity" numFmtId="0">
      <sharedItems containsSemiMixedTypes="0" containsString="0" containsNumber="1" containsInteger="1" minValue="1" maxValue="8"/>
    </cacheField>
    <cacheField name="Rating" numFmtId="0">
      <sharedItems containsSemiMixedTypes="0" containsString="0" containsNumber="1" minValue="3.2" maxValue="5"/>
    </cacheField>
    <cacheField name="Delivery" numFmtId="0">
      <sharedItems containsSemiMixedTypes="0" containsString="0" containsNumber="1" containsInteger="1" minValue="1" maxValue="8"/>
    </cacheField>
    <cacheField name="Month" numFmtId="0">
      <sharedItems count="12">
        <s v="May"/>
        <s v="Oct"/>
        <s v="Apr"/>
        <s v="Aug"/>
        <s v="Jul"/>
        <s v="Sep"/>
        <s v="Mar"/>
        <s v="Feb"/>
        <s v="Dec"/>
        <s v="Jun"/>
        <s v="Jan"/>
        <s v="Nov"/>
      </sharedItems>
    </cacheField>
  </cacheFields>
  <extLst>
    <ext xmlns:x14="http://schemas.microsoft.com/office/spreadsheetml/2009/9/main" uri="{725AE2AE-9491-48be-B2B4-4EB974FC3084}">
      <x14:pivotCacheDefinition pivotCacheId="1899728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1/05/2025"/>
    <x v="0"/>
    <x v="0"/>
    <x v="0"/>
    <x v="0"/>
    <x v="0"/>
    <x v="0"/>
    <x v="0"/>
    <n v="4"/>
    <n v="4.3"/>
    <n v="1"/>
    <x v="0"/>
  </r>
  <r>
    <x v="1"/>
    <s v="15/10/2025"/>
    <x v="1"/>
    <x v="1"/>
    <x v="1"/>
    <x v="1"/>
    <x v="1"/>
    <x v="1"/>
    <x v="1"/>
    <n v="4"/>
    <n v="4.3"/>
    <n v="1"/>
    <x v="1"/>
  </r>
  <r>
    <x v="2"/>
    <s v="21/04/2025"/>
    <x v="2"/>
    <x v="2"/>
    <x v="2"/>
    <x v="1"/>
    <x v="1"/>
    <x v="2"/>
    <x v="2"/>
    <n v="6"/>
    <n v="4.7"/>
    <n v="5"/>
    <x v="2"/>
  </r>
  <r>
    <x v="3"/>
    <s v="10/10/2025"/>
    <x v="3"/>
    <x v="3"/>
    <x v="3"/>
    <x v="0"/>
    <x v="0"/>
    <x v="2"/>
    <x v="3"/>
    <n v="5"/>
    <n v="3.3"/>
    <n v="4"/>
    <x v="1"/>
  </r>
  <r>
    <x v="4"/>
    <s v="21/08/2025"/>
    <x v="4"/>
    <x v="4"/>
    <x v="3"/>
    <x v="1"/>
    <x v="0"/>
    <x v="0"/>
    <x v="4"/>
    <n v="6"/>
    <n v="3.7"/>
    <n v="2"/>
    <x v="3"/>
  </r>
  <r>
    <x v="5"/>
    <s v="14/07/2025"/>
    <x v="5"/>
    <x v="5"/>
    <x v="4"/>
    <x v="2"/>
    <x v="2"/>
    <x v="0"/>
    <x v="5"/>
    <n v="5"/>
    <n v="4.7"/>
    <n v="6"/>
    <x v="4"/>
  </r>
  <r>
    <x v="6"/>
    <s v="19/04/2025"/>
    <x v="6"/>
    <x v="6"/>
    <x v="1"/>
    <x v="3"/>
    <x v="1"/>
    <x v="1"/>
    <x v="6"/>
    <n v="8"/>
    <n v="3.6"/>
    <n v="5"/>
    <x v="2"/>
  </r>
  <r>
    <x v="7"/>
    <s v="18/09/2025"/>
    <x v="4"/>
    <x v="7"/>
    <x v="4"/>
    <x v="0"/>
    <x v="1"/>
    <x v="3"/>
    <x v="7"/>
    <n v="8"/>
    <n v="3.5"/>
    <n v="7"/>
    <x v="5"/>
  </r>
  <r>
    <x v="8"/>
    <s v="28/09/2025"/>
    <x v="7"/>
    <x v="8"/>
    <x v="1"/>
    <x v="2"/>
    <x v="1"/>
    <x v="0"/>
    <x v="8"/>
    <n v="5"/>
    <n v="4.5999999999999996"/>
    <n v="6"/>
    <x v="5"/>
  </r>
  <r>
    <x v="9"/>
    <s v="15/05/2025"/>
    <x v="8"/>
    <x v="3"/>
    <x v="3"/>
    <x v="2"/>
    <x v="0"/>
    <x v="2"/>
    <x v="9"/>
    <n v="3"/>
    <n v="4.0999999999999996"/>
    <n v="4"/>
    <x v="0"/>
  </r>
  <r>
    <x v="10"/>
    <s v="08/09/2025"/>
    <x v="9"/>
    <x v="6"/>
    <x v="1"/>
    <x v="1"/>
    <x v="1"/>
    <x v="2"/>
    <x v="10"/>
    <n v="1"/>
    <n v="3.6"/>
    <n v="2"/>
    <x v="5"/>
  </r>
  <r>
    <x v="11"/>
    <s v="07/03/2025"/>
    <x v="10"/>
    <x v="9"/>
    <x v="1"/>
    <x v="1"/>
    <x v="0"/>
    <x v="1"/>
    <x v="11"/>
    <n v="8"/>
    <n v="4"/>
    <n v="4"/>
    <x v="6"/>
  </r>
  <r>
    <x v="12"/>
    <s v="13/08/2025"/>
    <x v="6"/>
    <x v="4"/>
    <x v="3"/>
    <x v="4"/>
    <x v="2"/>
    <x v="2"/>
    <x v="12"/>
    <n v="8"/>
    <n v="3.2"/>
    <n v="4"/>
    <x v="3"/>
  </r>
  <r>
    <x v="13"/>
    <s v="04/02/2025"/>
    <x v="10"/>
    <x v="10"/>
    <x v="0"/>
    <x v="4"/>
    <x v="1"/>
    <x v="0"/>
    <x v="13"/>
    <n v="1"/>
    <n v="4.4000000000000004"/>
    <n v="4"/>
    <x v="7"/>
  </r>
  <r>
    <x v="14"/>
    <s v="08/04/2025"/>
    <x v="7"/>
    <x v="11"/>
    <x v="3"/>
    <x v="0"/>
    <x v="1"/>
    <x v="1"/>
    <x v="14"/>
    <n v="2"/>
    <n v="4"/>
    <n v="1"/>
    <x v="2"/>
  </r>
  <r>
    <x v="15"/>
    <s v="09/04/2025"/>
    <x v="9"/>
    <x v="10"/>
    <x v="0"/>
    <x v="3"/>
    <x v="2"/>
    <x v="2"/>
    <x v="15"/>
    <n v="4"/>
    <n v="3.7"/>
    <n v="4"/>
    <x v="2"/>
  </r>
  <r>
    <x v="16"/>
    <s v="17/02/2025"/>
    <x v="1"/>
    <x v="1"/>
    <x v="1"/>
    <x v="3"/>
    <x v="2"/>
    <x v="3"/>
    <x v="16"/>
    <n v="4"/>
    <n v="4.8"/>
    <n v="1"/>
    <x v="7"/>
  </r>
  <r>
    <x v="17"/>
    <s v="27/05/2025"/>
    <x v="6"/>
    <x v="12"/>
    <x v="2"/>
    <x v="1"/>
    <x v="2"/>
    <x v="1"/>
    <x v="17"/>
    <n v="7"/>
    <n v="3.6"/>
    <n v="1"/>
    <x v="0"/>
  </r>
  <r>
    <x v="18"/>
    <s v="27/10/2025"/>
    <x v="9"/>
    <x v="0"/>
    <x v="0"/>
    <x v="5"/>
    <x v="2"/>
    <x v="0"/>
    <x v="18"/>
    <n v="8"/>
    <n v="3.3"/>
    <n v="3"/>
    <x v="1"/>
  </r>
  <r>
    <x v="19"/>
    <s v="19/10/2025"/>
    <x v="11"/>
    <x v="3"/>
    <x v="3"/>
    <x v="5"/>
    <x v="3"/>
    <x v="0"/>
    <x v="19"/>
    <n v="4"/>
    <n v="4.4000000000000004"/>
    <n v="6"/>
    <x v="1"/>
  </r>
  <r>
    <x v="20"/>
    <s v="09/03/2025"/>
    <x v="9"/>
    <x v="12"/>
    <x v="2"/>
    <x v="5"/>
    <x v="0"/>
    <x v="1"/>
    <x v="20"/>
    <n v="5"/>
    <n v="4.3"/>
    <n v="2"/>
    <x v="6"/>
  </r>
  <r>
    <x v="21"/>
    <s v="05/02/2025"/>
    <x v="10"/>
    <x v="13"/>
    <x v="4"/>
    <x v="2"/>
    <x v="2"/>
    <x v="0"/>
    <x v="21"/>
    <n v="4"/>
    <n v="4.5"/>
    <n v="1"/>
    <x v="7"/>
  </r>
  <r>
    <x v="22"/>
    <s v="24/02/2025"/>
    <x v="12"/>
    <x v="14"/>
    <x v="2"/>
    <x v="3"/>
    <x v="3"/>
    <x v="2"/>
    <x v="22"/>
    <n v="3"/>
    <n v="3.6"/>
    <n v="5"/>
    <x v="7"/>
  </r>
  <r>
    <x v="23"/>
    <s v="22/05/2025"/>
    <x v="10"/>
    <x v="15"/>
    <x v="0"/>
    <x v="1"/>
    <x v="1"/>
    <x v="2"/>
    <x v="23"/>
    <n v="1"/>
    <n v="3.5"/>
    <n v="8"/>
    <x v="0"/>
  </r>
  <r>
    <x v="24"/>
    <s v="20/12/2025"/>
    <x v="2"/>
    <x v="0"/>
    <x v="0"/>
    <x v="2"/>
    <x v="3"/>
    <x v="2"/>
    <x v="24"/>
    <n v="3"/>
    <n v="3.5"/>
    <n v="3"/>
    <x v="8"/>
  </r>
  <r>
    <x v="25"/>
    <s v="16/12/2025"/>
    <x v="13"/>
    <x v="2"/>
    <x v="2"/>
    <x v="4"/>
    <x v="0"/>
    <x v="3"/>
    <x v="25"/>
    <n v="4"/>
    <n v="5"/>
    <n v="3"/>
    <x v="8"/>
  </r>
  <r>
    <x v="26"/>
    <s v="20/06/2025"/>
    <x v="14"/>
    <x v="10"/>
    <x v="0"/>
    <x v="4"/>
    <x v="0"/>
    <x v="3"/>
    <x v="26"/>
    <n v="7"/>
    <n v="3.9"/>
    <n v="1"/>
    <x v="9"/>
  </r>
  <r>
    <x v="27"/>
    <s v="27/04/2025"/>
    <x v="15"/>
    <x v="16"/>
    <x v="2"/>
    <x v="1"/>
    <x v="1"/>
    <x v="1"/>
    <x v="27"/>
    <n v="4"/>
    <n v="4.8"/>
    <n v="5"/>
    <x v="2"/>
  </r>
  <r>
    <x v="28"/>
    <s v="14/05/2025"/>
    <x v="16"/>
    <x v="0"/>
    <x v="0"/>
    <x v="5"/>
    <x v="2"/>
    <x v="3"/>
    <x v="28"/>
    <n v="3"/>
    <n v="4"/>
    <n v="6"/>
    <x v="0"/>
  </r>
  <r>
    <x v="29"/>
    <s v="11/05/2025"/>
    <x v="15"/>
    <x v="9"/>
    <x v="1"/>
    <x v="3"/>
    <x v="2"/>
    <x v="1"/>
    <x v="29"/>
    <n v="1"/>
    <n v="4.4000000000000004"/>
    <n v="4"/>
    <x v="0"/>
  </r>
  <r>
    <x v="30"/>
    <s v="06/12/2025"/>
    <x v="3"/>
    <x v="6"/>
    <x v="1"/>
    <x v="5"/>
    <x v="0"/>
    <x v="0"/>
    <x v="30"/>
    <n v="2"/>
    <n v="3.9"/>
    <n v="7"/>
    <x v="8"/>
  </r>
  <r>
    <x v="31"/>
    <s v="13/12/2025"/>
    <x v="16"/>
    <x v="11"/>
    <x v="3"/>
    <x v="5"/>
    <x v="3"/>
    <x v="3"/>
    <x v="31"/>
    <n v="3"/>
    <n v="3.7"/>
    <n v="4"/>
    <x v="8"/>
  </r>
  <r>
    <x v="32"/>
    <s v="12/12/2025"/>
    <x v="9"/>
    <x v="11"/>
    <x v="3"/>
    <x v="4"/>
    <x v="3"/>
    <x v="0"/>
    <x v="32"/>
    <n v="4"/>
    <n v="4.0999999999999996"/>
    <n v="6"/>
    <x v="8"/>
  </r>
  <r>
    <x v="33"/>
    <s v="13/01/2025"/>
    <x v="5"/>
    <x v="7"/>
    <x v="4"/>
    <x v="3"/>
    <x v="1"/>
    <x v="0"/>
    <x v="33"/>
    <n v="1"/>
    <n v="3.9"/>
    <n v="4"/>
    <x v="10"/>
  </r>
  <r>
    <x v="34"/>
    <s v="24/02/2025"/>
    <x v="17"/>
    <x v="17"/>
    <x v="4"/>
    <x v="4"/>
    <x v="1"/>
    <x v="1"/>
    <x v="34"/>
    <n v="7"/>
    <n v="4.2"/>
    <n v="2"/>
    <x v="7"/>
  </r>
  <r>
    <x v="35"/>
    <s v="08/10/2025"/>
    <x v="12"/>
    <x v="11"/>
    <x v="3"/>
    <x v="3"/>
    <x v="0"/>
    <x v="1"/>
    <x v="35"/>
    <n v="8"/>
    <n v="4.7"/>
    <n v="5"/>
    <x v="1"/>
  </r>
  <r>
    <x v="36"/>
    <s v="27/05/2025"/>
    <x v="5"/>
    <x v="3"/>
    <x v="3"/>
    <x v="1"/>
    <x v="0"/>
    <x v="0"/>
    <x v="36"/>
    <n v="4"/>
    <n v="3.4"/>
    <n v="4"/>
    <x v="0"/>
  </r>
  <r>
    <x v="37"/>
    <s v="28/07/2025"/>
    <x v="6"/>
    <x v="15"/>
    <x v="0"/>
    <x v="1"/>
    <x v="2"/>
    <x v="3"/>
    <x v="37"/>
    <n v="6"/>
    <n v="4.7"/>
    <n v="7"/>
    <x v="4"/>
  </r>
  <r>
    <x v="38"/>
    <s v="30/06/2025"/>
    <x v="13"/>
    <x v="3"/>
    <x v="3"/>
    <x v="2"/>
    <x v="1"/>
    <x v="3"/>
    <x v="38"/>
    <n v="5"/>
    <n v="4.8"/>
    <n v="8"/>
    <x v="9"/>
  </r>
  <r>
    <x v="39"/>
    <s v="22/06/2025"/>
    <x v="6"/>
    <x v="15"/>
    <x v="0"/>
    <x v="5"/>
    <x v="2"/>
    <x v="2"/>
    <x v="39"/>
    <n v="7"/>
    <n v="4.2"/>
    <n v="7"/>
    <x v="9"/>
  </r>
  <r>
    <x v="40"/>
    <s v="25/08/2025"/>
    <x v="5"/>
    <x v="18"/>
    <x v="3"/>
    <x v="2"/>
    <x v="1"/>
    <x v="1"/>
    <x v="40"/>
    <n v="3"/>
    <n v="4"/>
    <n v="6"/>
    <x v="3"/>
  </r>
  <r>
    <x v="41"/>
    <s v="10/01/2025"/>
    <x v="0"/>
    <x v="15"/>
    <x v="0"/>
    <x v="5"/>
    <x v="0"/>
    <x v="0"/>
    <x v="41"/>
    <n v="1"/>
    <n v="4.9000000000000004"/>
    <n v="4"/>
    <x v="10"/>
  </r>
  <r>
    <x v="42"/>
    <s v="09/12/2025"/>
    <x v="1"/>
    <x v="5"/>
    <x v="4"/>
    <x v="2"/>
    <x v="2"/>
    <x v="2"/>
    <x v="42"/>
    <n v="2"/>
    <n v="3.5"/>
    <n v="2"/>
    <x v="8"/>
  </r>
  <r>
    <x v="43"/>
    <s v="13/12/2025"/>
    <x v="4"/>
    <x v="19"/>
    <x v="2"/>
    <x v="0"/>
    <x v="2"/>
    <x v="1"/>
    <x v="43"/>
    <n v="7"/>
    <n v="3.6"/>
    <n v="5"/>
    <x v="8"/>
  </r>
  <r>
    <x v="44"/>
    <s v="05/12/2025"/>
    <x v="16"/>
    <x v="8"/>
    <x v="1"/>
    <x v="2"/>
    <x v="1"/>
    <x v="0"/>
    <x v="44"/>
    <n v="6"/>
    <n v="4.7"/>
    <n v="2"/>
    <x v="8"/>
  </r>
  <r>
    <x v="45"/>
    <s v="25/09/2025"/>
    <x v="18"/>
    <x v="18"/>
    <x v="3"/>
    <x v="4"/>
    <x v="2"/>
    <x v="1"/>
    <x v="45"/>
    <n v="5"/>
    <n v="4.7"/>
    <n v="5"/>
    <x v="5"/>
  </r>
  <r>
    <x v="46"/>
    <s v="26/08/2025"/>
    <x v="11"/>
    <x v="18"/>
    <x v="3"/>
    <x v="2"/>
    <x v="3"/>
    <x v="1"/>
    <x v="46"/>
    <n v="7"/>
    <n v="4.0999999999999996"/>
    <n v="6"/>
    <x v="3"/>
  </r>
  <r>
    <x v="47"/>
    <s v="22/09/2025"/>
    <x v="14"/>
    <x v="1"/>
    <x v="1"/>
    <x v="3"/>
    <x v="2"/>
    <x v="2"/>
    <x v="47"/>
    <n v="4"/>
    <n v="4.5999999999999996"/>
    <n v="8"/>
    <x v="5"/>
  </r>
  <r>
    <x v="48"/>
    <s v="27/07/2025"/>
    <x v="15"/>
    <x v="2"/>
    <x v="2"/>
    <x v="1"/>
    <x v="1"/>
    <x v="1"/>
    <x v="48"/>
    <n v="4"/>
    <n v="3.8"/>
    <n v="6"/>
    <x v="4"/>
  </r>
  <r>
    <x v="49"/>
    <s v="29/04/2025"/>
    <x v="19"/>
    <x v="16"/>
    <x v="2"/>
    <x v="4"/>
    <x v="1"/>
    <x v="1"/>
    <x v="49"/>
    <n v="2"/>
    <n v="4.9000000000000004"/>
    <n v="3"/>
    <x v="2"/>
  </r>
  <r>
    <x v="50"/>
    <s v="21/02/2025"/>
    <x v="11"/>
    <x v="6"/>
    <x v="1"/>
    <x v="0"/>
    <x v="2"/>
    <x v="1"/>
    <x v="50"/>
    <n v="4"/>
    <n v="3.2"/>
    <n v="3"/>
    <x v="7"/>
  </r>
  <r>
    <x v="51"/>
    <s v="22/02/2025"/>
    <x v="11"/>
    <x v="5"/>
    <x v="4"/>
    <x v="3"/>
    <x v="2"/>
    <x v="2"/>
    <x v="51"/>
    <n v="1"/>
    <n v="3.8"/>
    <n v="1"/>
    <x v="7"/>
  </r>
  <r>
    <x v="52"/>
    <s v="07/02/2025"/>
    <x v="10"/>
    <x v="11"/>
    <x v="3"/>
    <x v="3"/>
    <x v="0"/>
    <x v="3"/>
    <x v="52"/>
    <n v="1"/>
    <n v="5"/>
    <n v="2"/>
    <x v="7"/>
  </r>
  <r>
    <x v="53"/>
    <s v="02/06/2025"/>
    <x v="9"/>
    <x v="11"/>
    <x v="3"/>
    <x v="4"/>
    <x v="0"/>
    <x v="0"/>
    <x v="53"/>
    <n v="7"/>
    <n v="4.3"/>
    <n v="5"/>
    <x v="9"/>
  </r>
  <r>
    <x v="54"/>
    <s v="22/03/2025"/>
    <x v="3"/>
    <x v="1"/>
    <x v="1"/>
    <x v="1"/>
    <x v="1"/>
    <x v="2"/>
    <x v="54"/>
    <n v="1"/>
    <n v="3.3"/>
    <n v="5"/>
    <x v="6"/>
  </r>
  <r>
    <x v="55"/>
    <s v="17/11/2025"/>
    <x v="8"/>
    <x v="13"/>
    <x v="4"/>
    <x v="0"/>
    <x v="2"/>
    <x v="0"/>
    <x v="55"/>
    <n v="4"/>
    <n v="3.5"/>
    <n v="5"/>
    <x v="11"/>
  </r>
  <r>
    <x v="56"/>
    <s v="19/10/2025"/>
    <x v="17"/>
    <x v="19"/>
    <x v="2"/>
    <x v="0"/>
    <x v="2"/>
    <x v="3"/>
    <x v="56"/>
    <n v="5"/>
    <n v="4.9000000000000004"/>
    <n v="8"/>
    <x v="1"/>
  </r>
  <r>
    <x v="57"/>
    <s v="09/05/2025"/>
    <x v="6"/>
    <x v="19"/>
    <x v="2"/>
    <x v="0"/>
    <x v="0"/>
    <x v="3"/>
    <x v="57"/>
    <n v="1"/>
    <n v="5"/>
    <n v="5"/>
    <x v="0"/>
  </r>
  <r>
    <x v="58"/>
    <s v="23/05/2025"/>
    <x v="18"/>
    <x v="8"/>
    <x v="1"/>
    <x v="1"/>
    <x v="2"/>
    <x v="0"/>
    <x v="58"/>
    <n v="3"/>
    <n v="3.8"/>
    <n v="6"/>
    <x v="0"/>
  </r>
  <r>
    <x v="59"/>
    <s v="22/12/2025"/>
    <x v="18"/>
    <x v="12"/>
    <x v="2"/>
    <x v="0"/>
    <x v="1"/>
    <x v="2"/>
    <x v="59"/>
    <n v="8"/>
    <n v="3.4"/>
    <n v="5"/>
    <x v="8"/>
  </r>
  <r>
    <x v="60"/>
    <s v="31/07/2025"/>
    <x v="19"/>
    <x v="8"/>
    <x v="1"/>
    <x v="2"/>
    <x v="0"/>
    <x v="1"/>
    <x v="60"/>
    <n v="1"/>
    <n v="4.3"/>
    <n v="1"/>
    <x v="4"/>
  </r>
  <r>
    <x v="61"/>
    <s v="04/03/2025"/>
    <x v="9"/>
    <x v="11"/>
    <x v="3"/>
    <x v="4"/>
    <x v="2"/>
    <x v="3"/>
    <x v="61"/>
    <n v="1"/>
    <n v="3.2"/>
    <n v="7"/>
    <x v="6"/>
  </r>
  <r>
    <x v="62"/>
    <s v="13/09/2025"/>
    <x v="5"/>
    <x v="10"/>
    <x v="0"/>
    <x v="4"/>
    <x v="0"/>
    <x v="2"/>
    <x v="62"/>
    <n v="5"/>
    <n v="3.6"/>
    <n v="3"/>
    <x v="5"/>
  </r>
  <r>
    <x v="63"/>
    <s v="24/06/2025"/>
    <x v="8"/>
    <x v="12"/>
    <x v="2"/>
    <x v="3"/>
    <x v="1"/>
    <x v="1"/>
    <x v="63"/>
    <n v="5"/>
    <n v="5"/>
    <n v="8"/>
    <x v="9"/>
  </r>
  <r>
    <x v="64"/>
    <s v="06/10/2025"/>
    <x v="2"/>
    <x v="19"/>
    <x v="2"/>
    <x v="2"/>
    <x v="1"/>
    <x v="3"/>
    <x v="64"/>
    <n v="7"/>
    <n v="3.9"/>
    <n v="7"/>
    <x v="1"/>
  </r>
  <r>
    <x v="65"/>
    <s v="11/09/2025"/>
    <x v="7"/>
    <x v="18"/>
    <x v="3"/>
    <x v="5"/>
    <x v="1"/>
    <x v="2"/>
    <x v="65"/>
    <n v="1"/>
    <n v="4.8"/>
    <n v="8"/>
    <x v="5"/>
  </r>
  <r>
    <x v="66"/>
    <s v="02/12/2025"/>
    <x v="18"/>
    <x v="5"/>
    <x v="4"/>
    <x v="1"/>
    <x v="1"/>
    <x v="1"/>
    <x v="66"/>
    <n v="3"/>
    <n v="4.4000000000000004"/>
    <n v="2"/>
    <x v="8"/>
  </r>
  <r>
    <x v="67"/>
    <s v="13/11/2025"/>
    <x v="17"/>
    <x v="3"/>
    <x v="3"/>
    <x v="4"/>
    <x v="3"/>
    <x v="2"/>
    <x v="55"/>
    <n v="2"/>
    <n v="5"/>
    <n v="2"/>
    <x v="11"/>
  </r>
  <r>
    <x v="68"/>
    <s v="29/01/2025"/>
    <x v="1"/>
    <x v="20"/>
    <x v="0"/>
    <x v="4"/>
    <x v="2"/>
    <x v="3"/>
    <x v="67"/>
    <n v="5"/>
    <n v="4.2"/>
    <n v="3"/>
    <x v="10"/>
  </r>
  <r>
    <x v="69"/>
    <s v="12/09/2025"/>
    <x v="3"/>
    <x v="9"/>
    <x v="1"/>
    <x v="1"/>
    <x v="0"/>
    <x v="2"/>
    <x v="68"/>
    <n v="3"/>
    <n v="4.4000000000000004"/>
    <n v="8"/>
    <x v="5"/>
  </r>
  <r>
    <x v="70"/>
    <s v="28/10/2025"/>
    <x v="14"/>
    <x v="4"/>
    <x v="3"/>
    <x v="0"/>
    <x v="0"/>
    <x v="3"/>
    <x v="69"/>
    <n v="5"/>
    <n v="3.6"/>
    <n v="7"/>
    <x v="1"/>
  </r>
  <r>
    <x v="71"/>
    <s v="22/10/2025"/>
    <x v="4"/>
    <x v="6"/>
    <x v="1"/>
    <x v="1"/>
    <x v="1"/>
    <x v="1"/>
    <x v="70"/>
    <n v="5"/>
    <n v="3.2"/>
    <n v="1"/>
    <x v="1"/>
  </r>
  <r>
    <x v="72"/>
    <s v="23/04/2025"/>
    <x v="3"/>
    <x v="13"/>
    <x v="4"/>
    <x v="3"/>
    <x v="2"/>
    <x v="1"/>
    <x v="71"/>
    <n v="4"/>
    <n v="4.8"/>
    <n v="1"/>
    <x v="2"/>
  </r>
  <r>
    <x v="73"/>
    <s v="01/06/2025"/>
    <x v="12"/>
    <x v="17"/>
    <x v="4"/>
    <x v="5"/>
    <x v="3"/>
    <x v="0"/>
    <x v="72"/>
    <n v="6"/>
    <n v="4.8"/>
    <n v="6"/>
    <x v="9"/>
  </r>
  <r>
    <x v="74"/>
    <s v="01/06/2025"/>
    <x v="10"/>
    <x v="12"/>
    <x v="2"/>
    <x v="2"/>
    <x v="2"/>
    <x v="3"/>
    <x v="73"/>
    <n v="6"/>
    <n v="4.7"/>
    <n v="7"/>
    <x v="9"/>
  </r>
  <r>
    <x v="75"/>
    <s v="02/10/2025"/>
    <x v="7"/>
    <x v="20"/>
    <x v="0"/>
    <x v="1"/>
    <x v="0"/>
    <x v="3"/>
    <x v="74"/>
    <n v="2"/>
    <n v="4.7"/>
    <n v="6"/>
    <x v="1"/>
  </r>
  <r>
    <x v="76"/>
    <s v="09/11/2025"/>
    <x v="2"/>
    <x v="20"/>
    <x v="0"/>
    <x v="0"/>
    <x v="3"/>
    <x v="3"/>
    <x v="75"/>
    <n v="4"/>
    <n v="3.9"/>
    <n v="3"/>
    <x v="11"/>
  </r>
  <r>
    <x v="77"/>
    <s v="01/05/2025"/>
    <x v="16"/>
    <x v="0"/>
    <x v="0"/>
    <x v="1"/>
    <x v="2"/>
    <x v="3"/>
    <x v="76"/>
    <n v="3"/>
    <n v="4.3"/>
    <n v="3"/>
    <x v="0"/>
  </r>
  <r>
    <x v="78"/>
    <s v="24/05/2025"/>
    <x v="7"/>
    <x v="8"/>
    <x v="1"/>
    <x v="1"/>
    <x v="3"/>
    <x v="1"/>
    <x v="77"/>
    <n v="1"/>
    <n v="4.9000000000000004"/>
    <n v="6"/>
    <x v="0"/>
  </r>
  <r>
    <x v="79"/>
    <s v="22/05/2025"/>
    <x v="2"/>
    <x v="15"/>
    <x v="0"/>
    <x v="2"/>
    <x v="0"/>
    <x v="0"/>
    <x v="78"/>
    <n v="4"/>
    <n v="4.4000000000000004"/>
    <n v="1"/>
    <x v="0"/>
  </r>
  <r>
    <x v="80"/>
    <s v="05/02/2025"/>
    <x v="11"/>
    <x v="9"/>
    <x v="1"/>
    <x v="4"/>
    <x v="0"/>
    <x v="1"/>
    <x v="79"/>
    <n v="4"/>
    <n v="4.5999999999999996"/>
    <n v="1"/>
    <x v="7"/>
  </r>
  <r>
    <x v="81"/>
    <s v="05/12/2025"/>
    <x v="11"/>
    <x v="17"/>
    <x v="4"/>
    <x v="0"/>
    <x v="0"/>
    <x v="3"/>
    <x v="80"/>
    <n v="1"/>
    <n v="3.8"/>
    <n v="3"/>
    <x v="8"/>
  </r>
  <r>
    <x v="82"/>
    <s v="02/02/2025"/>
    <x v="4"/>
    <x v="1"/>
    <x v="1"/>
    <x v="0"/>
    <x v="3"/>
    <x v="3"/>
    <x v="81"/>
    <n v="8"/>
    <n v="4"/>
    <n v="4"/>
    <x v="7"/>
  </r>
  <r>
    <x v="83"/>
    <s v="03/09/2025"/>
    <x v="4"/>
    <x v="0"/>
    <x v="0"/>
    <x v="4"/>
    <x v="2"/>
    <x v="0"/>
    <x v="82"/>
    <n v="7"/>
    <n v="4.8"/>
    <n v="6"/>
    <x v="5"/>
  </r>
  <r>
    <x v="84"/>
    <s v="21/11/2025"/>
    <x v="7"/>
    <x v="19"/>
    <x v="2"/>
    <x v="1"/>
    <x v="0"/>
    <x v="3"/>
    <x v="83"/>
    <n v="6"/>
    <n v="4.3"/>
    <n v="2"/>
    <x v="11"/>
  </r>
  <r>
    <x v="85"/>
    <s v="31/07/2025"/>
    <x v="15"/>
    <x v="18"/>
    <x v="3"/>
    <x v="4"/>
    <x v="1"/>
    <x v="2"/>
    <x v="84"/>
    <n v="6"/>
    <n v="4"/>
    <n v="5"/>
    <x v="4"/>
  </r>
  <r>
    <x v="86"/>
    <s v="17/02/2025"/>
    <x v="7"/>
    <x v="0"/>
    <x v="0"/>
    <x v="3"/>
    <x v="3"/>
    <x v="3"/>
    <x v="85"/>
    <n v="7"/>
    <n v="4.3"/>
    <n v="6"/>
    <x v="7"/>
  </r>
  <r>
    <x v="87"/>
    <s v="04/11/2025"/>
    <x v="13"/>
    <x v="20"/>
    <x v="0"/>
    <x v="0"/>
    <x v="3"/>
    <x v="1"/>
    <x v="86"/>
    <n v="5"/>
    <n v="3.5"/>
    <n v="8"/>
    <x v="11"/>
  </r>
  <r>
    <x v="88"/>
    <s v="21/10/2025"/>
    <x v="18"/>
    <x v="20"/>
    <x v="0"/>
    <x v="2"/>
    <x v="2"/>
    <x v="0"/>
    <x v="87"/>
    <n v="4"/>
    <n v="3.5"/>
    <n v="5"/>
    <x v="1"/>
  </r>
  <r>
    <x v="89"/>
    <s v="05/02/2025"/>
    <x v="18"/>
    <x v="5"/>
    <x v="4"/>
    <x v="4"/>
    <x v="3"/>
    <x v="1"/>
    <x v="88"/>
    <n v="3"/>
    <n v="3.9"/>
    <n v="8"/>
    <x v="7"/>
  </r>
  <r>
    <x v="90"/>
    <s v="02/11/2025"/>
    <x v="17"/>
    <x v="19"/>
    <x v="2"/>
    <x v="1"/>
    <x v="1"/>
    <x v="3"/>
    <x v="89"/>
    <n v="2"/>
    <n v="4.4000000000000004"/>
    <n v="5"/>
    <x v="11"/>
  </r>
  <r>
    <x v="91"/>
    <s v="01/08/2025"/>
    <x v="12"/>
    <x v="8"/>
    <x v="1"/>
    <x v="1"/>
    <x v="3"/>
    <x v="2"/>
    <x v="90"/>
    <n v="5"/>
    <n v="3.4"/>
    <n v="8"/>
    <x v="3"/>
  </r>
  <r>
    <x v="92"/>
    <s v="03/11/2025"/>
    <x v="18"/>
    <x v="5"/>
    <x v="4"/>
    <x v="0"/>
    <x v="2"/>
    <x v="3"/>
    <x v="91"/>
    <n v="1"/>
    <n v="4.5999999999999996"/>
    <n v="5"/>
    <x v="11"/>
  </r>
  <r>
    <x v="93"/>
    <s v="08/03/2025"/>
    <x v="5"/>
    <x v="18"/>
    <x v="3"/>
    <x v="1"/>
    <x v="2"/>
    <x v="3"/>
    <x v="92"/>
    <n v="7"/>
    <n v="4.7"/>
    <n v="2"/>
    <x v="6"/>
  </r>
  <r>
    <x v="94"/>
    <s v="09/02/2025"/>
    <x v="5"/>
    <x v="15"/>
    <x v="0"/>
    <x v="0"/>
    <x v="3"/>
    <x v="0"/>
    <x v="93"/>
    <n v="6"/>
    <n v="4"/>
    <n v="2"/>
    <x v="7"/>
  </r>
  <r>
    <x v="95"/>
    <s v="20/12/2025"/>
    <x v="5"/>
    <x v="8"/>
    <x v="1"/>
    <x v="2"/>
    <x v="3"/>
    <x v="0"/>
    <x v="94"/>
    <n v="6"/>
    <n v="4.3"/>
    <n v="2"/>
    <x v="8"/>
  </r>
  <r>
    <x v="96"/>
    <s v="09/02/2025"/>
    <x v="13"/>
    <x v="2"/>
    <x v="2"/>
    <x v="0"/>
    <x v="0"/>
    <x v="1"/>
    <x v="95"/>
    <n v="2"/>
    <n v="4.5"/>
    <n v="3"/>
    <x v="7"/>
  </r>
  <r>
    <x v="97"/>
    <s v="05/11/2025"/>
    <x v="6"/>
    <x v="7"/>
    <x v="4"/>
    <x v="1"/>
    <x v="3"/>
    <x v="1"/>
    <x v="96"/>
    <n v="3"/>
    <n v="4"/>
    <n v="8"/>
    <x v="11"/>
  </r>
  <r>
    <x v="98"/>
    <s v="04/02/2025"/>
    <x v="3"/>
    <x v="5"/>
    <x v="4"/>
    <x v="3"/>
    <x v="1"/>
    <x v="2"/>
    <x v="97"/>
    <n v="8"/>
    <n v="3.8"/>
    <n v="2"/>
    <x v="7"/>
  </r>
  <r>
    <x v="99"/>
    <s v="27/05/2025"/>
    <x v="17"/>
    <x v="20"/>
    <x v="0"/>
    <x v="5"/>
    <x v="0"/>
    <x v="1"/>
    <x v="98"/>
    <n v="2"/>
    <n v="3.9"/>
    <n v="1"/>
    <x v="0"/>
  </r>
  <r>
    <x v="100"/>
    <s v="14/09/2025"/>
    <x v="2"/>
    <x v="8"/>
    <x v="1"/>
    <x v="4"/>
    <x v="1"/>
    <x v="3"/>
    <x v="99"/>
    <n v="3"/>
    <n v="4.0999999999999996"/>
    <n v="3"/>
    <x v="5"/>
  </r>
  <r>
    <x v="101"/>
    <s v="06/07/2025"/>
    <x v="9"/>
    <x v="9"/>
    <x v="1"/>
    <x v="2"/>
    <x v="2"/>
    <x v="3"/>
    <x v="100"/>
    <n v="6"/>
    <n v="4.3"/>
    <n v="6"/>
    <x v="4"/>
  </r>
  <r>
    <x v="102"/>
    <s v="03/12/2025"/>
    <x v="8"/>
    <x v="16"/>
    <x v="2"/>
    <x v="5"/>
    <x v="2"/>
    <x v="1"/>
    <x v="101"/>
    <n v="3"/>
    <n v="3.8"/>
    <n v="7"/>
    <x v="8"/>
  </r>
  <r>
    <x v="103"/>
    <s v="26/11/2025"/>
    <x v="0"/>
    <x v="8"/>
    <x v="1"/>
    <x v="2"/>
    <x v="3"/>
    <x v="0"/>
    <x v="102"/>
    <n v="6"/>
    <n v="4"/>
    <n v="6"/>
    <x v="11"/>
  </r>
  <r>
    <x v="104"/>
    <s v="06/09/2025"/>
    <x v="12"/>
    <x v="13"/>
    <x v="4"/>
    <x v="5"/>
    <x v="2"/>
    <x v="1"/>
    <x v="103"/>
    <n v="4"/>
    <n v="4.7"/>
    <n v="2"/>
    <x v="5"/>
  </r>
  <r>
    <x v="105"/>
    <s v="02/11/2025"/>
    <x v="16"/>
    <x v="9"/>
    <x v="1"/>
    <x v="2"/>
    <x v="0"/>
    <x v="3"/>
    <x v="104"/>
    <n v="7"/>
    <n v="4.5"/>
    <n v="1"/>
    <x v="11"/>
  </r>
  <r>
    <x v="106"/>
    <s v="18/08/2025"/>
    <x v="17"/>
    <x v="6"/>
    <x v="1"/>
    <x v="2"/>
    <x v="1"/>
    <x v="3"/>
    <x v="105"/>
    <n v="4"/>
    <n v="3.9"/>
    <n v="8"/>
    <x v="3"/>
  </r>
  <r>
    <x v="107"/>
    <s v="06/11/2025"/>
    <x v="3"/>
    <x v="7"/>
    <x v="4"/>
    <x v="0"/>
    <x v="0"/>
    <x v="1"/>
    <x v="106"/>
    <n v="3"/>
    <n v="4.9000000000000004"/>
    <n v="2"/>
    <x v="11"/>
  </r>
  <r>
    <x v="108"/>
    <s v="12/08/2025"/>
    <x v="13"/>
    <x v="18"/>
    <x v="3"/>
    <x v="3"/>
    <x v="2"/>
    <x v="1"/>
    <x v="107"/>
    <n v="2"/>
    <n v="3.3"/>
    <n v="6"/>
    <x v="3"/>
  </r>
  <r>
    <x v="109"/>
    <s v="13/06/2025"/>
    <x v="8"/>
    <x v="17"/>
    <x v="4"/>
    <x v="1"/>
    <x v="1"/>
    <x v="3"/>
    <x v="108"/>
    <n v="2"/>
    <n v="3.7"/>
    <n v="8"/>
    <x v="9"/>
  </r>
  <r>
    <x v="110"/>
    <s v="10/02/2025"/>
    <x v="3"/>
    <x v="1"/>
    <x v="1"/>
    <x v="4"/>
    <x v="3"/>
    <x v="2"/>
    <x v="109"/>
    <n v="1"/>
    <n v="4.0999999999999996"/>
    <n v="2"/>
    <x v="7"/>
  </r>
  <r>
    <x v="111"/>
    <s v="03/08/2025"/>
    <x v="8"/>
    <x v="10"/>
    <x v="0"/>
    <x v="2"/>
    <x v="1"/>
    <x v="2"/>
    <x v="110"/>
    <n v="8"/>
    <n v="3.2"/>
    <n v="4"/>
    <x v="3"/>
  </r>
  <r>
    <x v="112"/>
    <s v="04/05/2025"/>
    <x v="5"/>
    <x v="6"/>
    <x v="1"/>
    <x v="3"/>
    <x v="2"/>
    <x v="3"/>
    <x v="111"/>
    <n v="7"/>
    <n v="4.9000000000000004"/>
    <n v="1"/>
    <x v="0"/>
  </r>
  <r>
    <x v="113"/>
    <s v="09/01/2025"/>
    <x v="8"/>
    <x v="16"/>
    <x v="2"/>
    <x v="0"/>
    <x v="3"/>
    <x v="1"/>
    <x v="112"/>
    <n v="6"/>
    <n v="4.5999999999999996"/>
    <n v="6"/>
    <x v="10"/>
  </r>
  <r>
    <x v="114"/>
    <s v="23/12/2025"/>
    <x v="2"/>
    <x v="5"/>
    <x v="4"/>
    <x v="4"/>
    <x v="2"/>
    <x v="1"/>
    <x v="113"/>
    <n v="8"/>
    <n v="3.3"/>
    <n v="4"/>
    <x v="8"/>
  </r>
  <r>
    <x v="115"/>
    <s v="23/07/2025"/>
    <x v="18"/>
    <x v="19"/>
    <x v="2"/>
    <x v="2"/>
    <x v="2"/>
    <x v="1"/>
    <x v="114"/>
    <n v="8"/>
    <n v="4.8"/>
    <n v="1"/>
    <x v="4"/>
  </r>
  <r>
    <x v="116"/>
    <s v="14/08/2025"/>
    <x v="9"/>
    <x v="11"/>
    <x v="3"/>
    <x v="1"/>
    <x v="1"/>
    <x v="2"/>
    <x v="115"/>
    <n v="7"/>
    <n v="4.9000000000000004"/>
    <n v="5"/>
    <x v="3"/>
  </r>
  <r>
    <x v="117"/>
    <s v="07/10/2025"/>
    <x v="4"/>
    <x v="18"/>
    <x v="3"/>
    <x v="1"/>
    <x v="1"/>
    <x v="0"/>
    <x v="116"/>
    <n v="5"/>
    <n v="3.7"/>
    <n v="8"/>
    <x v="1"/>
  </r>
  <r>
    <x v="118"/>
    <s v="17/08/2025"/>
    <x v="9"/>
    <x v="4"/>
    <x v="3"/>
    <x v="1"/>
    <x v="1"/>
    <x v="1"/>
    <x v="117"/>
    <n v="1"/>
    <n v="4.4000000000000004"/>
    <n v="1"/>
    <x v="3"/>
  </r>
  <r>
    <x v="119"/>
    <s v="16/01/2025"/>
    <x v="15"/>
    <x v="9"/>
    <x v="1"/>
    <x v="3"/>
    <x v="2"/>
    <x v="0"/>
    <x v="118"/>
    <n v="3"/>
    <n v="3.6"/>
    <n v="6"/>
    <x v="10"/>
  </r>
  <r>
    <x v="120"/>
    <s v="10/07/2025"/>
    <x v="13"/>
    <x v="4"/>
    <x v="3"/>
    <x v="0"/>
    <x v="2"/>
    <x v="0"/>
    <x v="119"/>
    <n v="8"/>
    <n v="3.8"/>
    <n v="5"/>
    <x v="4"/>
  </r>
  <r>
    <x v="121"/>
    <s v="15/10/2025"/>
    <x v="19"/>
    <x v="11"/>
    <x v="3"/>
    <x v="0"/>
    <x v="0"/>
    <x v="2"/>
    <x v="120"/>
    <n v="2"/>
    <n v="3.7"/>
    <n v="8"/>
    <x v="1"/>
  </r>
  <r>
    <x v="122"/>
    <s v="16/08/2025"/>
    <x v="1"/>
    <x v="18"/>
    <x v="3"/>
    <x v="1"/>
    <x v="0"/>
    <x v="1"/>
    <x v="74"/>
    <n v="2"/>
    <n v="4.2"/>
    <n v="5"/>
    <x v="3"/>
  </r>
  <r>
    <x v="123"/>
    <s v="04/03/2025"/>
    <x v="17"/>
    <x v="9"/>
    <x v="1"/>
    <x v="5"/>
    <x v="0"/>
    <x v="2"/>
    <x v="121"/>
    <n v="4"/>
    <n v="4.2"/>
    <n v="6"/>
    <x v="6"/>
  </r>
  <r>
    <x v="124"/>
    <s v="23/07/2025"/>
    <x v="9"/>
    <x v="20"/>
    <x v="0"/>
    <x v="3"/>
    <x v="1"/>
    <x v="1"/>
    <x v="122"/>
    <n v="8"/>
    <n v="3.4"/>
    <n v="6"/>
    <x v="4"/>
  </r>
  <r>
    <x v="125"/>
    <s v="08/03/2025"/>
    <x v="18"/>
    <x v="7"/>
    <x v="4"/>
    <x v="1"/>
    <x v="0"/>
    <x v="1"/>
    <x v="123"/>
    <n v="7"/>
    <n v="3.7"/>
    <n v="3"/>
    <x v="6"/>
  </r>
  <r>
    <x v="126"/>
    <s v="10/02/2025"/>
    <x v="12"/>
    <x v="6"/>
    <x v="1"/>
    <x v="1"/>
    <x v="0"/>
    <x v="0"/>
    <x v="124"/>
    <n v="5"/>
    <n v="4.3"/>
    <n v="2"/>
    <x v="7"/>
  </r>
  <r>
    <x v="127"/>
    <s v="16/10/2025"/>
    <x v="6"/>
    <x v="13"/>
    <x v="4"/>
    <x v="3"/>
    <x v="2"/>
    <x v="3"/>
    <x v="125"/>
    <n v="1"/>
    <n v="3.7"/>
    <n v="4"/>
    <x v="1"/>
  </r>
  <r>
    <x v="128"/>
    <s v="25/11/2025"/>
    <x v="1"/>
    <x v="6"/>
    <x v="1"/>
    <x v="3"/>
    <x v="1"/>
    <x v="3"/>
    <x v="126"/>
    <n v="5"/>
    <n v="3.3"/>
    <n v="1"/>
    <x v="11"/>
  </r>
  <r>
    <x v="129"/>
    <s v="24/06/2025"/>
    <x v="18"/>
    <x v="18"/>
    <x v="3"/>
    <x v="4"/>
    <x v="1"/>
    <x v="2"/>
    <x v="127"/>
    <n v="3"/>
    <n v="4.5999999999999996"/>
    <n v="2"/>
    <x v="9"/>
  </r>
  <r>
    <x v="130"/>
    <s v="07/05/2025"/>
    <x v="18"/>
    <x v="12"/>
    <x v="2"/>
    <x v="5"/>
    <x v="3"/>
    <x v="0"/>
    <x v="128"/>
    <n v="3"/>
    <n v="4"/>
    <n v="3"/>
    <x v="0"/>
  </r>
  <r>
    <x v="131"/>
    <s v="21/09/2025"/>
    <x v="13"/>
    <x v="5"/>
    <x v="4"/>
    <x v="4"/>
    <x v="3"/>
    <x v="2"/>
    <x v="129"/>
    <n v="8"/>
    <n v="4.9000000000000004"/>
    <n v="8"/>
    <x v="5"/>
  </r>
  <r>
    <x v="132"/>
    <s v="11/09/2025"/>
    <x v="15"/>
    <x v="20"/>
    <x v="0"/>
    <x v="3"/>
    <x v="3"/>
    <x v="2"/>
    <x v="130"/>
    <n v="8"/>
    <n v="3.4"/>
    <n v="5"/>
    <x v="5"/>
  </r>
  <r>
    <x v="133"/>
    <s v="19/10/2025"/>
    <x v="4"/>
    <x v="3"/>
    <x v="3"/>
    <x v="1"/>
    <x v="2"/>
    <x v="0"/>
    <x v="131"/>
    <n v="4"/>
    <n v="4"/>
    <n v="5"/>
    <x v="1"/>
  </r>
  <r>
    <x v="134"/>
    <s v="11/07/2025"/>
    <x v="2"/>
    <x v="15"/>
    <x v="0"/>
    <x v="0"/>
    <x v="0"/>
    <x v="1"/>
    <x v="132"/>
    <n v="6"/>
    <n v="4.0999999999999996"/>
    <n v="1"/>
    <x v="4"/>
  </r>
  <r>
    <x v="135"/>
    <s v="18/03/2025"/>
    <x v="6"/>
    <x v="11"/>
    <x v="3"/>
    <x v="2"/>
    <x v="1"/>
    <x v="1"/>
    <x v="133"/>
    <n v="3"/>
    <n v="4.5"/>
    <n v="5"/>
    <x v="6"/>
  </r>
  <r>
    <x v="136"/>
    <s v="08/07/2025"/>
    <x v="4"/>
    <x v="3"/>
    <x v="3"/>
    <x v="3"/>
    <x v="3"/>
    <x v="0"/>
    <x v="134"/>
    <n v="6"/>
    <n v="4.5999999999999996"/>
    <n v="1"/>
    <x v="4"/>
  </r>
  <r>
    <x v="137"/>
    <s v="29/03/2025"/>
    <x v="18"/>
    <x v="15"/>
    <x v="0"/>
    <x v="3"/>
    <x v="0"/>
    <x v="3"/>
    <x v="135"/>
    <n v="7"/>
    <n v="3.5"/>
    <n v="8"/>
    <x v="6"/>
  </r>
  <r>
    <x v="138"/>
    <s v="14/09/2025"/>
    <x v="12"/>
    <x v="5"/>
    <x v="4"/>
    <x v="3"/>
    <x v="3"/>
    <x v="0"/>
    <x v="136"/>
    <n v="8"/>
    <n v="4.2"/>
    <n v="8"/>
    <x v="5"/>
  </r>
  <r>
    <x v="139"/>
    <s v="07/10/2025"/>
    <x v="10"/>
    <x v="4"/>
    <x v="3"/>
    <x v="2"/>
    <x v="0"/>
    <x v="1"/>
    <x v="137"/>
    <n v="6"/>
    <n v="4.9000000000000004"/>
    <n v="5"/>
    <x v="1"/>
  </r>
  <r>
    <x v="140"/>
    <s v="20/12/2025"/>
    <x v="5"/>
    <x v="2"/>
    <x v="2"/>
    <x v="2"/>
    <x v="0"/>
    <x v="1"/>
    <x v="138"/>
    <n v="8"/>
    <n v="3.7"/>
    <n v="7"/>
    <x v="8"/>
  </r>
  <r>
    <x v="141"/>
    <s v="10/02/2025"/>
    <x v="10"/>
    <x v="20"/>
    <x v="0"/>
    <x v="1"/>
    <x v="3"/>
    <x v="0"/>
    <x v="139"/>
    <n v="6"/>
    <n v="4.7"/>
    <n v="5"/>
    <x v="7"/>
  </r>
  <r>
    <x v="142"/>
    <s v="05/05/2025"/>
    <x v="18"/>
    <x v="10"/>
    <x v="0"/>
    <x v="1"/>
    <x v="1"/>
    <x v="2"/>
    <x v="140"/>
    <n v="1"/>
    <n v="3.3"/>
    <n v="7"/>
    <x v="0"/>
  </r>
  <r>
    <x v="143"/>
    <s v="09/10/2025"/>
    <x v="9"/>
    <x v="17"/>
    <x v="4"/>
    <x v="1"/>
    <x v="0"/>
    <x v="2"/>
    <x v="141"/>
    <n v="3"/>
    <n v="3.8"/>
    <n v="1"/>
    <x v="1"/>
  </r>
  <r>
    <x v="144"/>
    <s v="01/04/2025"/>
    <x v="18"/>
    <x v="5"/>
    <x v="4"/>
    <x v="2"/>
    <x v="1"/>
    <x v="3"/>
    <x v="142"/>
    <n v="1"/>
    <n v="3.2"/>
    <n v="2"/>
    <x v="2"/>
  </r>
  <r>
    <x v="145"/>
    <s v="20/05/2025"/>
    <x v="0"/>
    <x v="5"/>
    <x v="4"/>
    <x v="1"/>
    <x v="3"/>
    <x v="1"/>
    <x v="143"/>
    <n v="4"/>
    <n v="3.7"/>
    <n v="3"/>
    <x v="0"/>
  </r>
  <r>
    <x v="146"/>
    <s v="31/03/2025"/>
    <x v="8"/>
    <x v="9"/>
    <x v="1"/>
    <x v="3"/>
    <x v="3"/>
    <x v="0"/>
    <x v="144"/>
    <n v="7"/>
    <n v="4.4000000000000004"/>
    <n v="3"/>
    <x v="6"/>
  </r>
  <r>
    <x v="147"/>
    <s v="16/07/2025"/>
    <x v="11"/>
    <x v="20"/>
    <x v="0"/>
    <x v="1"/>
    <x v="3"/>
    <x v="0"/>
    <x v="145"/>
    <n v="4"/>
    <n v="4.5"/>
    <n v="1"/>
    <x v="4"/>
  </r>
  <r>
    <x v="148"/>
    <s v="27/08/2025"/>
    <x v="15"/>
    <x v="0"/>
    <x v="0"/>
    <x v="5"/>
    <x v="0"/>
    <x v="0"/>
    <x v="146"/>
    <n v="5"/>
    <n v="4.3"/>
    <n v="5"/>
    <x v="3"/>
  </r>
  <r>
    <x v="149"/>
    <s v="20/03/2025"/>
    <x v="13"/>
    <x v="5"/>
    <x v="4"/>
    <x v="1"/>
    <x v="2"/>
    <x v="3"/>
    <x v="147"/>
    <n v="8"/>
    <n v="4.5999999999999996"/>
    <n v="4"/>
    <x v="6"/>
  </r>
  <r>
    <x v="150"/>
    <s v="09/02/2025"/>
    <x v="18"/>
    <x v="6"/>
    <x v="1"/>
    <x v="5"/>
    <x v="1"/>
    <x v="2"/>
    <x v="148"/>
    <n v="2"/>
    <n v="4.2"/>
    <n v="3"/>
    <x v="7"/>
  </r>
  <r>
    <x v="151"/>
    <s v="16/02/2025"/>
    <x v="10"/>
    <x v="5"/>
    <x v="4"/>
    <x v="3"/>
    <x v="3"/>
    <x v="2"/>
    <x v="149"/>
    <n v="8"/>
    <n v="4"/>
    <n v="1"/>
    <x v="7"/>
  </r>
  <r>
    <x v="152"/>
    <s v="02/01/2025"/>
    <x v="9"/>
    <x v="4"/>
    <x v="3"/>
    <x v="3"/>
    <x v="2"/>
    <x v="1"/>
    <x v="150"/>
    <n v="4"/>
    <n v="4.5"/>
    <n v="1"/>
    <x v="10"/>
  </r>
  <r>
    <x v="153"/>
    <s v="11/03/2025"/>
    <x v="15"/>
    <x v="18"/>
    <x v="3"/>
    <x v="0"/>
    <x v="0"/>
    <x v="3"/>
    <x v="151"/>
    <n v="7"/>
    <n v="3.3"/>
    <n v="3"/>
    <x v="6"/>
  </r>
  <r>
    <x v="154"/>
    <s v="25/04/2025"/>
    <x v="13"/>
    <x v="9"/>
    <x v="1"/>
    <x v="3"/>
    <x v="3"/>
    <x v="0"/>
    <x v="152"/>
    <n v="1"/>
    <n v="4.2"/>
    <n v="4"/>
    <x v="2"/>
  </r>
  <r>
    <x v="155"/>
    <s v="27/02/2025"/>
    <x v="4"/>
    <x v="2"/>
    <x v="2"/>
    <x v="0"/>
    <x v="1"/>
    <x v="2"/>
    <x v="153"/>
    <n v="1"/>
    <n v="3.6"/>
    <n v="2"/>
    <x v="7"/>
  </r>
  <r>
    <x v="156"/>
    <s v="25/07/2025"/>
    <x v="13"/>
    <x v="17"/>
    <x v="4"/>
    <x v="1"/>
    <x v="3"/>
    <x v="1"/>
    <x v="154"/>
    <n v="8"/>
    <n v="4.0999999999999996"/>
    <n v="5"/>
    <x v="4"/>
  </r>
  <r>
    <x v="157"/>
    <s v="15/03/2025"/>
    <x v="16"/>
    <x v="13"/>
    <x v="4"/>
    <x v="5"/>
    <x v="1"/>
    <x v="2"/>
    <x v="155"/>
    <n v="4"/>
    <n v="4.9000000000000004"/>
    <n v="3"/>
    <x v="6"/>
  </r>
  <r>
    <x v="158"/>
    <s v="26/09/2025"/>
    <x v="13"/>
    <x v="12"/>
    <x v="2"/>
    <x v="4"/>
    <x v="3"/>
    <x v="0"/>
    <x v="156"/>
    <n v="6"/>
    <n v="3.9"/>
    <n v="8"/>
    <x v="5"/>
  </r>
  <r>
    <x v="159"/>
    <s v="15/10/2025"/>
    <x v="9"/>
    <x v="3"/>
    <x v="3"/>
    <x v="3"/>
    <x v="3"/>
    <x v="2"/>
    <x v="157"/>
    <n v="7"/>
    <n v="3.7"/>
    <n v="6"/>
    <x v="1"/>
  </r>
  <r>
    <x v="160"/>
    <s v="27/01/2025"/>
    <x v="14"/>
    <x v="9"/>
    <x v="1"/>
    <x v="4"/>
    <x v="3"/>
    <x v="1"/>
    <x v="158"/>
    <n v="5"/>
    <n v="4.5"/>
    <n v="4"/>
    <x v="10"/>
  </r>
  <r>
    <x v="161"/>
    <s v="08/04/2025"/>
    <x v="3"/>
    <x v="10"/>
    <x v="0"/>
    <x v="3"/>
    <x v="1"/>
    <x v="1"/>
    <x v="159"/>
    <n v="2"/>
    <n v="4.8"/>
    <n v="6"/>
    <x v="2"/>
  </r>
  <r>
    <x v="162"/>
    <s v="04/07/2025"/>
    <x v="2"/>
    <x v="16"/>
    <x v="2"/>
    <x v="5"/>
    <x v="0"/>
    <x v="0"/>
    <x v="160"/>
    <n v="8"/>
    <n v="3.9"/>
    <n v="7"/>
    <x v="4"/>
  </r>
  <r>
    <x v="163"/>
    <s v="11/10/2025"/>
    <x v="14"/>
    <x v="20"/>
    <x v="0"/>
    <x v="5"/>
    <x v="3"/>
    <x v="1"/>
    <x v="161"/>
    <n v="7"/>
    <n v="3.9"/>
    <n v="4"/>
    <x v="1"/>
  </r>
  <r>
    <x v="164"/>
    <s v="24/08/2025"/>
    <x v="12"/>
    <x v="11"/>
    <x v="3"/>
    <x v="0"/>
    <x v="2"/>
    <x v="2"/>
    <x v="162"/>
    <n v="3"/>
    <n v="4.0999999999999996"/>
    <n v="1"/>
    <x v="3"/>
  </r>
  <r>
    <x v="165"/>
    <s v="12/03/2025"/>
    <x v="4"/>
    <x v="15"/>
    <x v="0"/>
    <x v="1"/>
    <x v="1"/>
    <x v="3"/>
    <x v="163"/>
    <n v="4"/>
    <n v="4"/>
    <n v="1"/>
    <x v="6"/>
  </r>
  <r>
    <x v="166"/>
    <s v="30/09/2025"/>
    <x v="12"/>
    <x v="0"/>
    <x v="0"/>
    <x v="1"/>
    <x v="1"/>
    <x v="0"/>
    <x v="164"/>
    <n v="7"/>
    <n v="5"/>
    <n v="1"/>
    <x v="5"/>
  </r>
  <r>
    <x v="167"/>
    <s v="26/09/2025"/>
    <x v="5"/>
    <x v="0"/>
    <x v="0"/>
    <x v="0"/>
    <x v="3"/>
    <x v="3"/>
    <x v="165"/>
    <n v="3"/>
    <n v="4.7"/>
    <n v="5"/>
    <x v="5"/>
  </r>
  <r>
    <x v="168"/>
    <s v="23/12/2025"/>
    <x v="2"/>
    <x v="18"/>
    <x v="3"/>
    <x v="1"/>
    <x v="2"/>
    <x v="0"/>
    <x v="166"/>
    <n v="4"/>
    <n v="3.9"/>
    <n v="8"/>
    <x v="8"/>
  </r>
  <r>
    <x v="169"/>
    <s v="11/08/2025"/>
    <x v="11"/>
    <x v="15"/>
    <x v="0"/>
    <x v="0"/>
    <x v="2"/>
    <x v="1"/>
    <x v="167"/>
    <n v="6"/>
    <n v="3.6"/>
    <n v="8"/>
    <x v="3"/>
  </r>
  <r>
    <x v="170"/>
    <s v="02/04/2025"/>
    <x v="1"/>
    <x v="1"/>
    <x v="1"/>
    <x v="5"/>
    <x v="0"/>
    <x v="3"/>
    <x v="168"/>
    <n v="6"/>
    <n v="4.9000000000000004"/>
    <n v="5"/>
    <x v="2"/>
  </r>
  <r>
    <x v="171"/>
    <s v="16/07/2025"/>
    <x v="9"/>
    <x v="6"/>
    <x v="1"/>
    <x v="2"/>
    <x v="1"/>
    <x v="1"/>
    <x v="169"/>
    <n v="3"/>
    <n v="3.4"/>
    <n v="4"/>
    <x v="4"/>
  </r>
  <r>
    <x v="172"/>
    <s v="19/08/2025"/>
    <x v="9"/>
    <x v="20"/>
    <x v="0"/>
    <x v="5"/>
    <x v="3"/>
    <x v="0"/>
    <x v="170"/>
    <n v="8"/>
    <n v="3.5"/>
    <n v="7"/>
    <x v="3"/>
  </r>
  <r>
    <x v="173"/>
    <s v="18/05/2025"/>
    <x v="3"/>
    <x v="0"/>
    <x v="0"/>
    <x v="3"/>
    <x v="3"/>
    <x v="1"/>
    <x v="171"/>
    <n v="3"/>
    <n v="3.4"/>
    <n v="1"/>
    <x v="0"/>
  </r>
  <r>
    <x v="174"/>
    <s v="14/02/2025"/>
    <x v="9"/>
    <x v="10"/>
    <x v="0"/>
    <x v="2"/>
    <x v="2"/>
    <x v="1"/>
    <x v="172"/>
    <n v="3"/>
    <n v="3.9"/>
    <n v="1"/>
    <x v="7"/>
  </r>
  <r>
    <x v="175"/>
    <s v="30/05/2025"/>
    <x v="1"/>
    <x v="3"/>
    <x v="3"/>
    <x v="4"/>
    <x v="3"/>
    <x v="1"/>
    <x v="173"/>
    <n v="7"/>
    <n v="4.0999999999999996"/>
    <n v="7"/>
    <x v="0"/>
  </r>
  <r>
    <x v="176"/>
    <s v="16/03/2025"/>
    <x v="15"/>
    <x v="12"/>
    <x v="2"/>
    <x v="2"/>
    <x v="0"/>
    <x v="3"/>
    <x v="174"/>
    <n v="2"/>
    <n v="4.0999999999999996"/>
    <n v="2"/>
    <x v="6"/>
  </r>
  <r>
    <x v="177"/>
    <s v="23/08/2025"/>
    <x v="18"/>
    <x v="9"/>
    <x v="1"/>
    <x v="3"/>
    <x v="3"/>
    <x v="3"/>
    <x v="175"/>
    <n v="2"/>
    <n v="4.7"/>
    <n v="7"/>
    <x v="3"/>
  </r>
  <r>
    <x v="178"/>
    <s v="03/06/2025"/>
    <x v="3"/>
    <x v="9"/>
    <x v="1"/>
    <x v="1"/>
    <x v="1"/>
    <x v="0"/>
    <x v="176"/>
    <n v="6"/>
    <n v="4.9000000000000004"/>
    <n v="6"/>
    <x v="9"/>
  </r>
  <r>
    <x v="179"/>
    <s v="24/05/2025"/>
    <x v="10"/>
    <x v="12"/>
    <x v="2"/>
    <x v="0"/>
    <x v="1"/>
    <x v="0"/>
    <x v="177"/>
    <n v="7"/>
    <n v="5"/>
    <n v="3"/>
    <x v="0"/>
  </r>
  <r>
    <x v="180"/>
    <s v="21/12/2025"/>
    <x v="16"/>
    <x v="4"/>
    <x v="3"/>
    <x v="3"/>
    <x v="2"/>
    <x v="3"/>
    <x v="178"/>
    <n v="2"/>
    <n v="3.6"/>
    <n v="3"/>
    <x v="8"/>
  </r>
  <r>
    <x v="181"/>
    <s v="26/10/2025"/>
    <x v="10"/>
    <x v="8"/>
    <x v="1"/>
    <x v="5"/>
    <x v="2"/>
    <x v="2"/>
    <x v="179"/>
    <n v="7"/>
    <n v="4.5999999999999996"/>
    <n v="6"/>
    <x v="1"/>
  </r>
  <r>
    <x v="182"/>
    <s v="27/03/2025"/>
    <x v="13"/>
    <x v="13"/>
    <x v="4"/>
    <x v="5"/>
    <x v="0"/>
    <x v="3"/>
    <x v="180"/>
    <n v="1"/>
    <n v="3.2"/>
    <n v="5"/>
    <x v="6"/>
  </r>
  <r>
    <x v="183"/>
    <s v="26/08/2025"/>
    <x v="7"/>
    <x v="12"/>
    <x v="2"/>
    <x v="1"/>
    <x v="0"/>
    <x v="1"/>
    <x v="181"/>
    <n v="3"/>
    <n v="3.9"/>
    <n v="2"/>
    <x v="3"/>
  </r>
  <r>
    <x v="184"/>
    <s v="22/08/2025"/>
    <x v="18"/>
    <x v="16"/>
    <x v="2"/>
    <x v="0"/>
    <x v="3"/>
    <x v="2"/>
    <x v="182"/>
    <n v="4"/>
    <n v="4"/>
    <n v="8"/>
    <x v="3"/>
  </r>
  <r>
    <x v="185"/>
    <s v="25/06/2025"/>
    <x v="10"/>
    <x v="0"/>
    <x v="0"/>
    <x v="3"/>
    <x v="1"/>
    <x v="0"/>
    <x v="183"/>
    <n v="2"/>
    <n v="4.2"/>
    <n v="6"/>
    <x v="9"/>
  </r>
  <r>
    <x v="186"/>
    <s v="06/04/2025"/>
    <x v="0"/>
    <x v="18"/>
    <x v="3"/>
    <x v="1"/>
    <x v="0"/>
    <x v="0"/>
    <x v="184"/>
    <n v="7"/>
    <n v="4.3"/>
    <n v="7"/>
    <x v="2"/>
  </r>
  <r>
    <x v="187"/>
    <s v="23/10/2025"/>
    <x v="14"/>
    <x v="14"/>
    <x v="2"/>
    <x v="5"/>
    <x v="3"/>
    <x v="3"/>
    <x v="185"/>
    <n v="2"/>
    <n v="4"/>
    <n v="5"/>
    <x v="1"/>
  </r>
  <r>
    <x v="188"/>
    <s v="28/10/2025"/>
    <x v="4"/>
    <x v="8"/>
    <x v="1"/>
    <x v="5"/>
    <x v="2"/>
    <x v="0"/>
    <x v="186"/>
    <n v="2"/>
    <n v="4.7"/>
    <n v="5"/>
    <x v="1"/>
  </r>
  <r>
    <x v="189"/>
    <s v="03/05/2025"/>
    <x v="6"/>
    <x v="14"/>
    <x v="2"/>
    <x v="3"/>
    <x v="1"/>
    <x v="0"/>
    <x v="187"/>
    <n v="5"/>
    <n v="3.9"/>
    <n v="3"/>
    <x v="0"/>
  </r>
  <r>
    <x v="190"/>
    <s v="12/10/2025"/>
    <x v="15"/>
    <x v="18"/>
    <x v="3"/>
    <x v="0"/>
    <x v="1"/>
    <x v="0"/>
    <x v="188"/>
    <n v="3"/>
    <n v="4.7"/>
    <n v="1"/>
    <x v="1"/>
  </r>
  <r>
    <x v="191"/>
    <s v="15/10/2025"/>
    <x v="13"/>
    <x v="5"/>
    <x v="4"/>
    <x v="2"/>
    <x v="2"/>
    <x v="1"/>
    <x v="189"/>
    <n v="8"/>
    <n v="3.5"/>
    <n v="1"/>
    <x v="1"/>
  </r>
  <r>
    <x v="192"/>
    <s v="28/03/2025"/>
    <x v="10"/>
    <x v="13"/>
    <x v="4"/>
    <x v="2"/>
    <x v="2"/>
    <x v="3"/>
    <x v="190"/>
    <n v="8"/>
    <n v="4.2"/>
    <n v="5"/>
    <x v="6"/>
  </r>
  <r>
    <x v="193"/>
    <s v="06/08/2025"/>
    <x v="17"/>
    <x v="9"/>
    <x v="1"/>
    <x v="0"/>
    <x v="0"/>
    <x v="0"/>
    <x v="191"/>
    <n v="2"/>
    <n v="3.7"/>
    <n v="2"/>
    <x v="3"/>
  </r>
  <r>
    <x v="194"/>
    <s v="30/12/2025"/>
    <x v="4"/>
    <x v="6"/>
    <x v="1"/>
    <x v="5"/>
    <x v="0"/>
    <x v="1"/>
    <x v="192"/>
    <n v="7"/>
    <n v="4.2"/>
    <n v="5"/>
    <x v="8"/>
  </r>
  <r>
    <x v="195"/>
    <s v="21/10/2025"/>
    <x v="8"/>
    <x v="16"/>
    <x v="2"/>
    <x v="4"/>
    <x v="0"/>
    <x v="1"/>
    <x v="193"/>
    <n v="5"/>
    <n v="5"/>
    <n v="3"/>
    <x v="1"/>
  </r>
  <r>
    <x v="196"/>
    <s v="08/09/2025"/>
    <x v="5"/>
    <x v="5"/>
    <x v="4"/>
    <x v="5"/>
    <x v="3"/>
    <x v="1"/>
    <x v="194"/>
    <n v="3"/>
    <n v="4"/>
    <n v="2"/>
    <x v="5"/>
  </r>
  <r>
    <x v="197"/>
    <s v="17/06/2025"/>
    <x v="10"/>
    <x v="11"/>
    <x v="3"/>
    <x v="3"/>
    <x v="0"/>
    <x v="3"/>
    <x v="195"/>
    <n v="1"/>
    <n v="4.5"/>
    <n v="2"/>
    <x v="9"/>
  </r>
  <r>
    <x v="198"/>
    <s v="18/05/2025"/>
    <x v="18"/>
    <x v="5"/>
    <x v="4"/>
    <x v="1"/>
    <x v="2"/>
    <x v="2"/>
    <x v="196"/>
    <n v="6"/>
    <n v="4.2"/>
    <n v="8"/>
    <x v="0"/>
  </r>
  <r>
    <x v="199"/>
    <s v="09/01/2025"/>
    <x v="3"/>
    <x v="15"/>
    <x v="0"/>
    <x v="4"/>
    <x v="3"/>
    <x v="2"/>
    <x v="197"/>
    <n v="2"/>
    <n v="3.6"/>
    <n v="3"/>
    <x v="10"/>
  </r>
  <r>
    <x v="200"/>
    <s v="12/02/2025"/>
    <x v="16"/>
    <x v="16"/>
    <x v="2"/>
    <x v="1"/>
    <x v="2"/>
    <x v="2"/>
    <x v="198"/>
    <n v="6"/>
    <n v="3.7"/>
    <n v="4"/>
    <x v="7"/>
  </r>
  <r>
    <x v="201"/>
    <s v="02/09/2025"/>
    <x v="7"/>
    <x v="10"/>
    <x v="0"/>
    <x v="3"/>
    <x v="0"/>
    <x v="3"/>
    <x v="199"/>
    <n v="2"/>
    <n v="3.2"/>
    <n v="6"/>
    <x v="5"/>
  </r>
  <r>
    <x v="202"/>
    <s v="16/07/2025"/>
    <x v="5"/>
    <x v="10"/>
    <x v="0"/>
    <x v="4"/>
    <x v="0"/>
    <x v="2"/>
    <x v="200"/>
    <n v="2"/>
    <n v="4.8"/>
    <n v="3"/>
    <x v="4"/>
  </r>
  <r>
    <x v="203"/>
    <s v="09/11/2025"/>
    <x v="19"/>
    <x v="1"/>
    <x v="1"/>
    <x v="0"/>
    <x v="2"/>
    <x v="0"/>
    <x v="201"/>
    <n v="3"/>
    <n v="4.9000000000000004"/>
    <n v="8"/>
    <x v="11"/>
  </r>
  <r>
    <x v="204"/>
    <s v="29/06/2025"/>
    <x v="0"/>
    <x v="15"/>
    <x v="0"/>
    <x v="1"/>
    <x v="3"/>
    <x v="0"/>
    <x v="202"/>
    <n v="7"/>
    <n v="3.4"/>
    <n v="5"/>
    <x v="9"/>
  </r>
  <r>
    <x v="205"/>
    <s v="20/07/2025"/>
    <x v="4"/>
    <x v="9"/>
    <x v="1"/>
    <x v="0"/>
    <x v="2"/>
    <x v="1"/>
    <x v="203"/>
    <n v="5"/>
    <n v="3.4"/>
    <n v="8"/>
    <x v="4"/>
  </r>
  <r>
    <x v="206"/>
    <s v="18/07/2025"/>
    <x v="0"/>
    <x v="2"/>
    <x v="2"/>
    <x v="2"/>
    <x v="0"/>
    <x v="2"/>
    <x v="204"/>
    <n v="7"/>
    <n v="3.2"/>
    <n v="2"/>
    <x v="4"/>
  </r>
  <r>
    <x v="207"/>
    <s v="17/09/2025"/>
    <x v="11"/>
    <x v="15"/>
    <x v="0"/>
    <x v="0"/>
    <x v="3"/>
    <x v="2"/>
    <x v="205"/>
    <n v="5"/>
    <n v="3.3"/>
    <n v="3"/>
    <x v="5"/>
  </r>
  <r>
    <x v="208"/>
    <s v="21/03/2025"/>
    <x v="16"/>
    <x v="9"/>
    <x v="1"/>
    <x v="0"/>
    <x v="1"/>
    <x v="2"/>
    <x v="206"/>
    <n v="6"/>
    <n v="3.3"/>
    <n v="2"/>
    <x v="6"/>
  </r>
  <r>
    <x v="209"/>
    <s v="03/03/2025"/>
    <x v="1"/>
    <x v="2"/>
    <x v="2"/>
    <x v="2"/>
    <x v="0"/>
    <x v="1"/>
    <x v="207"/>
    <n v="1"/>
    <n v="4.9000000000000004"/>
    <n v="5"/>
    <x v="6"/>
  </r>
  <r>
    <x v="210"/>
    <s v="21/06/2025"/>
    <x v="17"/>
    <x v="0"/>
    <x v="0"/>
    <x v="5"/>
    <x v="3"/>
    <x v="2"/>
    <x v="208"/>
    <n v="7"/>
    <n v="4.3"/>
    <n v="8"/>
    <x v="9"/>
  </r>
  <r>
    <x v="211"/>
    <s v="08/07/2025"/>
    <x v="2"/>
    <x v="18"/>
    <x v="3"/>
    <x v="0"/>
    <x v="0"/>
    <x v="2"/>
    <x v="209"/>
    <n v="3"/>
    <n v="4.5"/>
    <n v="1"/>
    <x v="4"/>
  </r>
  <r>
    <x v="212"/>
    <s v="16/07/2025"/>
    <x v="18"/>
    <x v="4"/>
    <x v="3"/>
    <x v="2"/>
    <x v="2"/>
    <x v="1"/>
    <x v="210"/>
    <n v="3"/>
    <n v="3.8"/>
    <n v="7"/>
    <x v="4"/>
  </r>
  <r>
    <x v="213"/>
    <s v="02/04/2025"/>
    <x v="18"/>
    <x v="0"/>
    <x v="0"/>
    <x v="0"/>
    <x v="1"/>
    <x v="2"/>
    <x v="211"/>
    <n v="4"/>
    <n v="4.8"/>
    <n v="5"/>
    <x v="2"/>
  </r>
  <r>
    <x v="214"/>
    <s v="30/05/2025"/>
    <x v="10"/>
    <x v="2"/>
    <x v="2"/>
    <x v="4"/>
    <x v="0"/>
    <x v="2"/>
    <x v="212"/>
    <n v="5"/>
    <n v="4.9000000000000004"/>
    <n v="4"/>
    <x v="0"/>
  </r>
  <r>
    <x v="215"/>
    <s v="30/04/2025"/>
    <x v="7"/>
    <x v="3"/>
    <x v="3"/>
    <x v="4"/>
    <x v="0"/>
    <x v="3"/>
    <x v="213"/>
    <n v="6"/>
    <n v="3.9"/>
    <n v="5"/>
    <x v="2"/>
  </r>
  <r>
    <x v="216"/>
    <s v="14/03/2025"/>
    <x v="17"/>
    <x v="3"/>
    <x v="3"/>
    <x v="1"/>
    <x v="2"/>
    <x v="2"/>
    <x v="214"/>
    <n v="5"/>
    <n v="4.5"/>
    <n v="6"/>
    <x v="6"/>
  </r>
  <r>
    <x v="217"/>
    <s v="23/11/2025"/>
    <x v="5"/>
    <x v="9"/>
    <x v="1"/>
    <x v="1"/>
    <x v="3"/>
    <x v="1"/>
    <x v="215"/>
    <n v="7"/>
    <n v="3.7"/>
    <n v="6"/>
    <x v="11"/>
  </r>
  <r>
    <x v="218"/>
    <s v="30/04/2025"/>
    <x v="17"/>
    <x v="4"/>
    <x v="3"/>
    <x v="2"/>
    <x v="1"/>
    <x v="2"/>
    <x v="216"/>
    <n v="2"/>
    <n v="3.4"/>
    <n v="8"/>
    <x v="2"/>
  </r>
  <r>
    <x v="219"/>
    <s v="17/04/2025"/>
    <x v="4"/>
    <x v="6"/>
    <x v="1"/>
    <x v="0"/>
    <x v="0"/>
    <x v="1"/>
    <x v="217"/>
    <n v="8"/>
    <n v="3.5"/>
    <n v="5"/>
    <x v="2"/>
  </r>
  <r>
    <x v="220"/>
    <s v="31/12/2025"/>
    <x v="0"/>
    <x v="17"/>
    <x v="4"/>
    <x v="3"/>
    <x v="1"/>
    <x v="0"/>
    <x v="218"/>
    <n v="4"/>
    <n v="3.7"/>
    <n v="3"/>
    <x v="8"/>
  </r>
  <r>
    <x v="221"/>
    <s v="22/02/2025"/>
    <x v="15"/>
    <x v="15"/>
    <x v="0"/>
    <x v="1"/>
    <x v="2"/>
    <x v="1"/>
    <x v="219"/>
    <n v="3"/>
    <n v="3.6"/>
    <n v="7"/>
    <x v="7"/>
  </r>
  <r>
    <x v="222"/>
    <s v="03/02/2025"/>
    <x v="2"/>
    <x v="0"/>
    <x v="0"/>
    <x v="4"/>
    <x v="1"/>
    <x v="3"/>
    <x v="220"/>
    <n v="4"/>
    <n v="3.4"/>
    <n v="8"/>
    <x v="7"/>
  </r>
  <r>
    <x v="223"/>
    <s v="15/07/2025"/>
    <x v="2"/>
    <x v="3"/>
    <x v="3"/>
    <x v="5"/>
    <x v="0"/>
    <x v="1"/>
    <x v="221"/>
    <n v="7"/>
    <n v="3.7"/>
    <n v="3"/>
    <x v="4"/>
  </r>
  <r>
    <x v="224"/>
    <s v="09/10/2025"/>
    <x v="10"/>
    <x v="11"/>
    <x v="3"/>
    <x v="0"/>
    <x v="1"/>
    <x v="1"/>
    <x v="222"/>
    <n v="8"/>
    <n v="4"/>
    <n v="4"/>
    <x v="1"/>
  </r>
  <r>
    <x v="225"/>
    <s v="26/06/2025"/>
    <x v="11"/>
    <x v="11"/>
    <x v="3"/>
    <x v="0"/>
    <x v="1"/>
    <x v="1"/>
    <x v="223"/>
    <n v="6"/>
    <n v="4.3"/>
    <n v="1"/>
    <x v="9"/>
  </r>
  <r>
    <x v="226"/>
    <s v="23/03/2025"/>
    <x v="6"/>
    <x v="9"/>
    <x v="1"/>
    <x v="3"/>
    <x v="3"/>
    <x v="0"/>
    <x v="224"/>
    <n v="2"/>
    <n v="4.5999999999999996"/>
    <n v="4"/>
    <x v="6"/>
  </r>
  <r>
    <x v="227"/>
    <s v="31/10/2025"/>
    <x v="6"/>
    <x v="7"/>
    <x v="4"/>
    <x v="4"/>
    <x v="1"/>
    <x v="1"/>
    <x v="225"/>
    <n v="6"/>
    <n v="4.9000000000000004"/>
    <n v="3"/>
    <x v="1"/>
  </r>
  <r>
    <x v="228"/>
    <s v="20/01/2025"/>
    <x v="18"/>
    <x v="5"/>
    <x v="4"/>
    <x v="5"/>
    <x v="0"/>
    <x v="0"/>
    <x v="226"/>
    <n v="2"/>
    <n v="4.0999999999999996"/>
    <n v="1"/>
    <x v="10"/>
  </r>
  <r>
    <x v="229"/>
    <s v="15/06/2025"/>
    <x v="9"/>
    <x v="2"/>
    <x v="2"/>
    <x v="2"/>
    <x v="1"/>
    <x v="2"/>
    <x v="227"/>
    <n v="1"/>
    <n v="4.7"/>
    <n v="6"/>
    <x v="9"/>
  </r>
  <r>
    <x v="230"/>
    <s v="15/06/2025"/>
    <x v="13"/>
    <x v="16"/>
    <x v="2"/>
    <x v="1"/>
    <x v="0"/>
    <x v="3"/>
    <x v="228"/>
    <n v="3"/>
    <n v="4.5"/>
    <n v="6"/>
    <x v="9"/>
  </r>
  <r>
    <x v="231"/>
    <s v="07/03/2025"/>
    <x v="4"/>
    <x v="16"/>
    <x v="2"/>
    <x v="4"/>
    <x v="2"/>
    <x v="3"/>
    <x v="229"/>
    <n v="3"/>
    <n v="3.3"/>
    <n v="6"/>
    <x v="6"/>
  </r>
  <r>
    <x v="232"/>
    <s v="09/02/2025"/>
    <x v="17"/>
    <x v="13"/>
    <x v="4"/>
    <x v="0"/>
    <x v="3"/>
    <x v="0"/>
    <x v="230"/>
    <n v="4"/>
    <n v="4.7"/>
    <n v="6"/>
    <x v="7"/>
  </r>
  <r>
    <x v="233"/>
    <s v="29/06/2025"/>
    <x v="16"/>
    <x v="17"/>
    <x v="4"/>
    <x v="3"/>
    <x v="1"/>
    <x v="1"/>
    <x v="231"/>
    <n v="5"/>
    <n v="4.5"/>
    <n v="3"/>
    <x v="9"/>
  </r>
  <r>
    <x v="234"/>
    <s v="21/02/2025"/>
    <x v="3"/>
    <x v="8"/>
    <x v="1"/>
    <x v="0"/>
    <x v="3"/>
    <x v="1"/>
    <x v="232"/>
    <n v="8"/>
    <n v="4.5999999999999996"/>
    <n v="1"/>
    <x v="7"/>
  </r>
  <r>
    <x v="235"/>
    <s v="25/06/2025"/>
    <x v="0"/>
    <x v="0"/>
    <x v="0"/>
    <x v="3"/>
    <x v="0"/>
    <x v="3"/>
    <x v="233"/>
    <n v="3"/>
    <n v="3.8"/>
    <n v="8"/>
    <x v="9"/>
  </r>
  <r>
    <x v="236"/>
    <s v="21/02/2025"/>
    <x v="3"/>
    <x v="17"/>
    <x v="4"/>
    <x v="4"/>
    <x v="2"/>
    <x v="2"/>
    <x v="234"/>
    <n v="6"/>
    <n v="3.7"/>
    <n v="5"/>
    <x v="7"/>
  </r>
  <r>
    <x v="237"/>
    <s v="20/03/2025"/>
    <x v="19"/>
    <x v="11"/>
    <x v="3"/>
    <x v="0"/>
    <x v="2"/>
    <x v="0"/>
    <x v="235"/>
    <n v="1"/>
    <n v="4.7"/>
    <n v="8"/>
    <x v="6"/>
  </r>
  <r>
    <x v="238"/>
    <s v="11/02/2025"/>
    <x v="9"/>
    <x v="13"/>
    <x v="4"/>
    <x v="1"/>
    <x v="1"/>
    <x v="0"/>
    <x v="129"/>
    <n v="8"/>
    <n v="4.8"/>
    <n v="5"/>
    <x v="7"/>
  </r>
  <r>
    <x v="239"/>
    <s v="09/07/2025"/>
    <x v="6"/>
    <x v="12"/>
    <x v="2"/>
    <x v="0"/>
    <x v="0"/>
    <x v="2"/>
    <x v="236"/>
    <n v="3"/>
    <n v="3.7"/>
    <n v="5"/>
    <x v="4"/>
  </r>
  <r>
    <x v="240"/>
    <s v="05/10/2025"/>
    <x v="10"/>
    <x v="20"/>
    <x v="0"/>
    <x v="1"/>
    <x v="1"/>
    <x v="0"/>
    <x v="237"/>
    <n v="7"/>
    <n v="4.7"/>
    <n v="7"/>
    <x v="1"/>
  </r>
  <r>
    <x v="241"/>
    <s v="10/02/2025"/>
    <x v="7"/>
    <x v="4"/>
    <x v="3"/>
    <x v="3"/>
    <x v="0"/>
    <x v="0"/>
    <x v="238"/>
    <n v="7"/>
    <n v="4.5999999999999996"/>
    <n v="3"/>
    <x v="7"/>
  </r>
  <r>
    <x v="242"/>
    <s v="06/03/2025"/>
    <x v="18"/>
    <x v="7"/>
    <x v="4"/>
    <x v="1"/>
    <x v="2"/>
    <x v="2"/>
    <x v="239"/>
    <n v="1"/>
    <n v="3.5"/>
    <n v="5"/>
    <x v="6"/>
  </r>
  <r>
    <x v="243"/>
    <s v="10/10/2025"/>
    <x v="7"/>
    <x v="11"/>
    <x v="3"/>
    <x v="3"/>
    <x v="0"/>
    <x v="0"/>
    <x v="240"/>
    <n v="6"/>
    <n v="4.3"/>
    <n v="7"/>
    <x v="1"/>
  </r>
  <r>
    <x v="244"/>
    <s v="24/02/2025"/>
    <x v="6"/>
    <x v="1"/>
    <x v="1"/>
    <x v="5"/>
    <x v="1"/>
    <x v="2"/>
    <x v="241"/>
    <n v="2"/>
    <n v="3.9"/>
    <n v="8"/>
    <x v="7"/>
  </r>
  <r>
    <x v="245"/>
    <s v="26/07/2025"/>
    <x v="14"/>
    <x v="13"/>
    <x v="4"/>
    <x v="2"/>
    <x v="3"/>
    <x v="2"/>
    <x v="242"/>
    <n v="3"/>
    <n v="4.4000000000000004"/>
    <n v="1"/>
    <x v="4"/>
  </r>
  <r>
    <x v="246"/>
    <s v="09/06/2025"/>
    <x v="18"/>
    <x v="16"/>
    <x v="2"/>
    <x v="2"/>
    <x v="1"/>
    <x v="2"/>
    <x v="243"/>
    <n v="5"/>
    <n v="5"/>
    <n v="8"/>
    <x v="9"/>
  </r>
  <r>
    <x v="247"/>
    <s v="19/04/2025"/>
    <x v="3"/>
    <x v="5"/>
    <x v="4"/>
    <x v="1"/>
    <x v="1"/>
    <x v="0"/>
    <x v="244"/>
    <n v="7"/>
    <n v="4.5999999999999996"/>
    <n v="2"/>
    <x v="2"/>
  </r>
  <r>
    <x v="248"/>
    <s v="30/03/2025"/>
    <x v="19"/>
    <x v="1"/>
    <x v="1"/>
    <x v="2"/>
    <x v="3"/>
    <x v="3"/>
    <x v="245"/>
    <n v="4"/>
    <n v="3.3"/>
    <n v="6"/>
    <x v="6"/>
  </r>
  <r>
    <x v="249"/>
    <s v="22/11/2025"/>
    <x v="14"/>
    <x v="8"/>
    <x v="1"/>
    <x v="5"/>
    <x v="3"/>
    <x v="1"/>
    <x v="246"/>
    <n v="2"/>
    <n v="4.3"/>
    <n v="3"/>
    <x v="11"/>
  </r>
  <r>
    <x v="250"/>
    <s v="19/12/2025"/>
    <x v="13"/>
    <x v="13"/>
    <x v="4"/>
    <x v="1"/>
    <x v="0"/>
    <x v="0"/>
    <x v="247"/>
    <n v="2"/>
    <n v="4.7"/>
    <n v="4"/>
    <x v="8"/>
  </r>
  <r>
    <x v="251"/>
    <s v="20/09/2025"/>
    <x v="13"/>
    <x v="12"/>
    <x v="2"/>
    <x v="2"/>
    <x v="3"/>
    <x v="1"/>
    <x v="248"/>
    <n v="1"/>
    <n v="3.5"/>
    <n v="1"/>
    <x v="5"/>
  </r>
  <r>
    <x v="252"/>
    <s v="28/06/2025"/>
    <x v="6"/>
    <x v="11"/>
    <x v="3"/>
    <x v="0"/>
    <x v="2"/>
    <x v="1"/>
    <x v="249"/>
    <n v="8"/>
    <n v="4.0999999999999996"/>
    <n v="7"/>
    <x v="9"/>
  </r>
  <r>
    <x v="253"/>
    <s v="02/06/2025"/>
    <x v="11"/>
    <x v="6"/>
    <x v="1"/>
    <x v="1"/>
    <x v="3"/>
    <x v="0"/>
    <x v="250"/>
    <n v="2"/>
    <n v="3.8"/>
    <n v="5"/>
    <x v="9"/>
  </r>
  <r>
    <x v="254"/>
    <s v="30/01/2025"/>
    <x v="11"/>
    <x v="7"/>
    <x v="4"/>
    <x v="3"/>
    <x v="1"/>
    <x v="3"/>
    <x v="251"/>
    <n v="7"/>
    <n v="4.0999999999999996"/>
    <n v="5"/>
    <x v="10"/>
  </r>
  <r>
    <x v="255"/>
    <s v="25/06/2025"/>
    <x v="10"/>
    <x v="10"/>
    <x v="0"/>
    <x v="4"/>
    <x v="3"/>
    <x v="2"/>
    <x v="252"/>
    <n v="4"/>
    <n v="3.7"/>
    <n v="3"/>
    <x v="9"/>
  </r>
  <r>
    <x v="256"/>
    <s v="13/05/2025"/>
    <x v="16"/>
    <x v="18"/>
    <x v="3"/>
    <x v="2"/>
    <x v="3"/>
    <x v="1"/>
    <x v="253"/>
    <n v="3"/>
    <n v="3.6"/>
    <n v="5"/>
    <x v="0"/>
  </r>
  <r>
    <x v="257"/>
    <s v="26/08/2025"/>
    <x v="12"/>
    <x v="6"/>
    <x v="1"/>
    <x v="0"/>
    <x v="1"/>
    <x v="1"/>
    <x v="254"/>
    <n v="2"/>
    <n v="3.3"/>
    <n v="4"/>
    <x v="3"/>
  </r>
  <r>
    <x v="258"/>
    <s v="19/03/2025"/>
    <x v="9"/>
    <x v="3"/>
    <x v="3"/>
    <x v="3"/>
    <x v="3"/>
    <x v="0"/>
    <x v="255"/>
    <n v="3"/>
    <n v="3.5"/>
    <n v="3"/>
    <x v="6"/>
  </r>
  <r>
    <x v="259"/>
    <s v="03/01/2025"/>
    <x v="8"/>
    <x v="14"/>
    <x v="2"/>
    <x v="5"/>
    <x v="1"/>
    <x v="3"/>
    <x v="256"/>
    <n v="8"/>
    <n v="4.0999999999999996"/>
    <n v="2"/>
    <x v="10"/>
  </r>
  <r>
    <x v="260"/>
    <s v="02/09/2025"/>
    <x v="12"/>
    <x v="11"/>
    <x v="3"/>
    <x v="4"/>
    <x v="2"/>
    <x v="2"/>
    <x v="257"/>
    <n v="7"/>
    <n v="4.9000000000000004"/>
    <n v="6"/>
    <x v="5"/>
  </r>
  <r>
    <x v="261"/>
    <s v="22/12/2025"/>
    <x v="9"/>
    <x v="7"/>
    <x v="4"/>
    <x v="0"/>
    <x v="3"/>
    <x v="1"/>
    <x v="258"/>
    <n v="6"/>
    <n v="4.3"/>
    <n v="3"/>
    <x v="8"/>
  </r>
  <r>
    <x v="262"/>
    <s v="11/08/2025"/>
    <x v="0"/>
    <x v="4"/>
    <x v="3"/>
    <x v="4"/>
    <x v="0"/>
    <x v="0"/>
    <x v="259"/>
    <n v="3"/>
    <n v="4.9000000000000004"/>
    <n v="7"/>
    <x v="3"/>
  </r>
  <r>
    <x v="263"/>
    <s v="29/10/2025"/>
    <x v="4"/>
    <x v="17"/>
    <x v="4"/>
    <x v="0"/>
    <x v="2"/>
    <x v="2"/>
    <x v="260"/>
    <n v="3"/>
    <n v="3.7"/>
    <n v="1"/>
    <x v="1"/>
  </r>
  <r>
    <x v="264"/>
    <s v="02/08/2025"/>
    <x v="0"/>
    <x v="0"/>
    <x v="0"/>
    <x v="2"/>
    <x v="1"/>
    <x v="2"/>
    <x v="261"/>
    <n v="8"/>
    <n v="4.5"/>
    <n v="4"/>
    <x v="3"/>
  </r>
  <r>
    <x v="265"/>
    <s v="15/11/2025"/>
    <x v="14"/>
    <x v="6"/>
    <x v="1"/>
    <x v="4"/>
    <x v="0"/>
    <x v="1"/>
    <x v="262"/>
    <n v="3"/>
    <n v="3.7"/>
    <n v="2"/>
    <x v="11"/>
  </r>
  <r>
    <x v="266"/>
    <s v="03/07/2025"/>
    <x v="18"/>
    <x v="9"/>
    <x v="1"/>
    <x v="4"/>
    <x v="2"/>
    <x v="2"/>
    <x v="263"/>
    <n v="7"/>
    <n v="4.8"/>
    <n v="8"/>
    <x v="4"/>
  </r>
  <r>
    <x v="267"/>
    <s v="21/10/2025"/>
    <x v="17"/>
    <x v="0"/>
    <x v="0"/>
    <x v="2"/>
    <x v="3"/>
    <x v="3"/>
    <x v="264"/>
    <n v="8"/>
    <n v="4.8"/>
    <n v="4"/>
    <x v="1"/>
  </r>
  <r>
    <x v="268"/>
    <s v="31/03/2025"/>
    <x v="0"/>
    <x v="0"/>
    <x v="0"/>
    <x v="4"/>
    <x v="0"/>
    <x v="1"/>
    <x v="265"/>
    <n v="1"/>
    <n v="3.4"/>
    <n v="1"/>
    <x v="6"/>
  </r>
  <r>
    <x v="269"/>
    <s v="15/11/2025"/>
    <x v="11"/>
    <x v="12"/>
    <x v="2"/>
    <x v="3"/>
    <x v="1"/>
    <x v="3"/>
    <x v="266"/>
    <n v="5"/>
    <n v="3.9"/>
    <n v="8"/>
    <x v="11"/>
  </r>
  <r>
    <x v="270"/>
    <s v="09/03/2025"/>
    <x v="1"/>
    <x v="17"/>
    <x v="4"/>
    <x v="5"/>
    <x v="1"/>
    <x v="1"/>
    <x v="267"/>
    <n v="1"/>
    <n v="4.5999999999999996"/>
    <n v="8"/>
    <x v="6"/>
  </r>
  <r>
    <x v="271"/>
    <s v="17/12/2025"/>
    <x v="18"/>
    <x v="1"/>
    <x v="1"/>
    <x v="0"/>
    <x v="0"/>
    <x v="1"/>
    <x v="268"/>
    <n v="3"/>
    <n v="3.3"/>
    <n v="5"/>
    <x v="8"/>
  </r>
  <r>
    <x v="272"/>
    <s v="10/08/2025"/>
    <x v="0"/>
    <x v="1"/>
    <x v="1"/>
    <x v="1"/>
    <x v="0"/>
    <x v="3"/>
    <x v="269"/>
    <n v="4"/>
    <n v="4.8"/>
    <n v="1"/>
    <x v="3"/>
  </r>
  <r>
    <x v="273"/>
    <s v="08/02/2025"/>
    <x v="5"/>
    <x v="18"/>
    <x v="3"/>
    <x v="4"/>
    <x v="2"/>
    <x v="3"/>
    <x v="270"/>
    <n v="8"/>
    <n v="4.0999999999999996"/>
    <n v="7"/>
    <x v="7"/>
  </r>
  <r>
    <x v="274"/>
    <s v="15/02/2025"/>
    <x v="16"/>
    <x v="11"/>
    <x v="3"/>
    <x v="0"/>
    <x v="2"/>
    <x v="2"/>
    <x v="271"/>
    <n v="8"/>
    <n v="3.2"/>
    <n v="7"/>
    <x v="7"/>
  </r>
  <r>
    <x v="275"/>
    <s v="18/09/2025"/>
    <x v="18"/>
    <x v="6"/>
    <x v="1"/>
    <x v="5"/>
    <x v="1"/>
    <x v="1"/>
    <x v="272"/>
    <n v="4"/>
    <n v="4.7"/>
    <n v="8"/>
    <x v="5"/>
  </r>
  <r>
    <x v="276"/>
    <s v="19/02/2025"/>
    <x v="7"/>
    <x v="3"/>
    <x v="3"/>
    <x v="0"/>
    <x v="0"/>
    <x v="3"/>
    <x v="273"/>
    <n v="4"/>
    <n v="4.2"/>
    <n v="6"/>
    <x v="7"/>
  </r>
  <r>
    <x v="277"/>
    <s v="24/02/2025"/>
    <x v="18"/>
    <x v="5"/>
    <x v="4"/>
    <x v="0"/>
    <x v="1"/>
    <x v="2"/>
    <x v="274"/>
    <n v="5"/>
    <n v="3.6"/>
    <n v="4"/>
    <x v="7"/>
  </r>
  <r>
    <x v="278"/>
    <s v="19/08/2025"/>
    <x v="10"/>
    <x v="1"/>
    <x v="1"/>
    <x v="3"/>
    <x v="1"/>
    <x v="0"/>
    <x v="275"/>
    <n v="8"/>
    <n v="4.2"/>
    <n v="1"/>
    <x v="3"/>
  </r>
  <r>
    <x v="279"/>
    <s v="07/03/2025"/>
    <x v="11"/>
    <x v="9"/>
    <x v="1"/>
    <x v="3"/>
    <x v="3"/>
    <x v="1"/>
    <x v="276"/>
    <n v="2"/>
    <n v="5"/>
    <n v="4"/>
    <x v="6"/>
  </r>
  <r>
    <x v="280"/>
    <s v="12/03/2025"/>
    <x v="19"/>
    <x v="18"/>
    <x v="3"/>
    <x v="4"/>
    <x v="3"/>
    <x v="1"/>
    <x v="277"/>
    <n v="7"/>
    <n v="4.5"/>
    <n v="4"/>
    <x v="6"/>
  </r>
  <r>
    <x v="281"/>
    <s v="15/09/2025"/>
    <x v="10"/>
    <x v="7"/>
    <x v="4"/>
    <x v="2"/>
    <x v="1"/>
    <x v="2"/>
    <x v="278"/>
    <n v="6"/>
    <n v="4.2"/>
    <n v="7"/>
    <x v="5"/>
  </r>
  <r>
    <x v="282"/>
    <s v="13/01/2025"/>
    <x v="3"/>
    <x v="1"/>
    <x v="1"/>
    <x v="1"/>
    <x v="3"/>
    <x v="0"/>
    <x v="279"/>
    <n v="7"/>
    <n v="4.5999999999999996"/>
    <n v="3"/>
    <x v="10"/>
  </r>
  <r>
    <x v="283"/>
    <s v="15/04/2025"/>
    <x v="10"/>
    <x v="20"/>
    <x v="0"/>
    <x v="3"/>
    <x v="0"/>
    <x v="1"/>
    <x v="280"/>
    <n v="1"/>
    <n v="4.5"/>
    <n v="4"/>
    <x v="2"/>
  </r>
  <r>
    <x v="284"/>
    <s v="18/07/2025"/>
    <x v="4"/>
    <x v="15"/>
    <x v="0"/>
    <x v="3"/>
    <x v="0"/>
    <x v="1"/>
    <x v="281"/>
    <n v="7"/>
    <n v="4.5"/>
    <n v="4"/>
    <x v="4"/>
  </r>
  <r>
    <x v="285"/>
    <s v="10/04/2025"/>
    <x v="5"/>
    <x v="9"/>
    <x v="1"/>
    <x v="0"/>
    <x v="1"/>
    <x v="1"/>
    <x v="282"/>
    <n v="5"/>
    <n v="4.5"/>
    <n v="2"/>
    <x v="2"/>
  </r>
  <r>
    <x v="286"/>
    <s v="08/03/2025"/>
    <x v="2"/>
    <x v="6"/>
    <x v="1"/>
    <x v="4"/>
    <x v="3"/>
    <x v="2"/>
    <x v="283"/>
    <n v="3"/>
    <n v="4.5"/>
    <n v="3"/>
    <x v="6"/>
  </r>
  <r>
    <x v="287"/>
    <s v="09/09/2025"/>
    <x v="16"/>
    <x v="6"/>
    <x v="1"/>
    <x v="5"/>
    <x v="1"/>
    <x v="2"/>
    <x v="284"/>
    <n v="6"/>
    <n v="4.0999999999999996"/>
    <n v="3"/>
    <x v="5"/>
  </r>
  <r>
    <x v="288"/>
    <s v="20/04/2025"/>
    <x v="7"/>
    <x v="2"/>
    <x v="2"/>
    <x v="1"/>
    <x v="3"/>
    <x v="3"/>
    <x v="285"/>
    <n v="6"/>
    <n v="4.2"/>
    <n v="1"/>
    <x v="2"/>
  </r>
  <r>
    <x v="289"/>
    <s v="21/01/2025"/>
    <x v="12"/>
    <x v="7"/>
    <x v="4"/>
    <x v="2"/>
    <x v="1"/>
    <x v="3"/>
    <x v="286"/>
    <n v="6"/>
    <n v="4.5"/>
    <n v="1"/>
    <x v="10"/>
  </r>
  <r>
    <x v="290"/>
    <s v="30/11/2025"/>
    <x v="9"/>
    <x v="20"/>
    <x v="0"/>
    <x v="4"/>
    <x v="0"/>
    <x v="3"/>
    <x v="287"/>
    <n v="4"/>
    <n v="4.9000000000000004"/>
    <n v="1"/>
    <x v="11"/>
  </r>
  <r>
    <x v="291"/>
    <s v="03/10/2025"/>
    <x v="9"/>
    <x v="10"/>
    <x v="0"/>
    <x v="0"/>
    <x v="2"/>
    <x v="0"/>
    <x v="288"/>
    <n v="7"/>
    <n v="4.5"/>
    <n v="1"/>
    <x v="1"/>
  </r>
  <r>
    <x v="292"/>
    <s v="06/02/2025"/>
    <x v="0"/>
    <x v="19"/>
    <x v="2"/>
    <x v="3"/>
    <x v="2"/>
    <x v="2"/>
    <x v="289"/>
    <n v="4"/>
    <n v="3.9"/>
    <n v="6"/>
    <x v="7"/>
  </r>
  <r>
    <x v="293"/>
    <s v="27/10/2025"/>
    <x v="4"/>
    <x v="1"/>
    <x v="1"/>
    <x v="0"/>
    <x v="3"/>
    <x v="3"/>
    <x v="290"/>
    <n v="1"/>
    <n v="3.7"/>
    <n v="5"/>
    <x v="1"/>
  </r>
  <r>
    <x v="294"/>
    <s v="05/12/2025"/>
    <x v="8"/>
    <x v="11"/>
    <x v="3"/>
    <x v="2"/>
    <x v="3"/>
    <x v="2"/>
    <x v="291"/>
    <n v="1"/>
    <n v="4.5"/>
    <n v="5"/>
    <x v="8"/>
  </r>
  <r>
    <x v="295"/>
    <s v="05/03/2025"/>
    <x v="19"/>
    <x v="9"/>
    <x v="1"/>
    <x v="3"/>
    <x v="0"/>
    <x v="0"/>
    <x v="292"/>
    <n v="1"/>
    <n v="3.7"/>
    <n v="6"/>
    <x v="6"/>
  </r>
  <r>
    <x v="296"/>
    <s v="12/11/2025"/>
    <x v="10"/>
    <x v="7"/>
    <x v="4"/>
    <x v="0"/>
    <x v="3"/>
    <x v="2"/>
    <x v="293"/>
    <n v="5"/>
    <n v="4.7"/>
    <n v="8"/>
    <x v="11"/>
  </r>
  <r>
    <x v="297"/>
    <s v="12/04/2025"/>
    <x v="19"/>
    <x v="14"/>
    <x v="2"/>
    <x v="2"/>
    <x v="1"/>
    <x v="3"/>
    <x v="294"/>
    <n v="8"/>
    <n v="3.7"/>
    <n v="2"/>
    <x v="2"/>
  </r>
  <r>
    <x v="298"/>
    <s v="04/12/2025"/>
    <x v="1"/>
    <x v="19"/>
    <x v="2"/>
    <x v="0"/>
    <x v="3"/>
    <x v="0"/>
    <x v="295"/>
    <n v="5"/>
    <n v="4.7"/>
    <n v="7"/>
    <x v="8"/>
  </r>
  <r>
    <x v="299"/>
    <s v="22/05/2025"/>
    <x v="14"/>
    <x v="5"/>
    <x v="4"/>
    <x v="5"/>
    <x v="2"/>
    <x v="0"/>
    <x v="296"/>
    <n v="6"/>
    <n v="3.8"/>
    <n v="5"/>
    <x v="0"/>
  </r>
  <r>
    <x v="300"/>
    <s v="24/05/2025"/>
    <x v="12"/>
    <x v="1"/>
    <x v="1"/>
    <x v="1"/>
    <x v="2"/>
    <x v="3"/>
    <x v="297"/>
    <n v="3"/>
    <n v="4.5"/>
    <n v="1"/>
    <x v="0"/>
  </r>
  <r>
    <x v="301"/>
    <s v="19/01/2025"/>
    <x v="8"/>
    <x v="9"/>
    <x v="1"/>
    <x v="3"/>
    <x v="2"/>
    <x v="3"/>
    <x v="298"/>
    <n v="5"/>
    <n v="3.9"/>
    <n v="5"/>
    <x v="10"/>
  </r>
  <r>
    <x v="302"/>
    <s v="06/01/2025"/>
    <x v="14"/>
    <x v="19"/>
    <x v="2"/>
    <x v="2"/>
    <x v="2"/>
    <x v="0"/>
    <x v="299"/>
    <n v="4"/>
    <n v="3.5"/>
    <n v="3"/>
    <x v="10"/>
  </r>
  <r>
    <x v="303"/>
    <s v="02/02/2025"/>
    <x v="5"/>
    <x v="18"/>
    <x v="3"/>
    <x v="3"/>
    <x v="1"/>
    <x v="2"/>
    <x v="300"/>
    <n v="5"/>
    <n v="4.8"/>
    <n v="6"/>
    <x v="7"/>
  </r>
  <r>
    <x v="304"/>
    <s v="22/02/2025"/>
    <x v="6"/>
    <x v="20"/>
    <x v="0"/>
    <x v="1"/>
    <x v="2"/>
    <x v="1"/>
    <x v="301"/>
    <n v="5"/>
    <n v="4.4000000000000004"/>
    <n v="6"/>
    <x v="7"/>
  </r>
  <r>
    <x v="305"/>
    <s v="22/09/2025"/>
    <x v="17"/>
    <x v="18"/>
    <x v="3"/>
    <x v="4"/>
    <x v="0"/>
    <x v="2"/>
    <x v="302"/>
    <n v="7"/>
    <n v="3.2"/>
    <n v="3"/>
    <x v="5"/>
  </r>
  <r>
    <x v="306"/>
    <s v="19/04/2025"/>
    <x v="18"/>
    <x v="6"/>
    <x v="1"/>
    <x v="1"/>
    <x v="2"/>
    <x v="3"/>
    <x v="303"/>
    <n v="3"/>
    <n v="4.4000000000000004"/>
    <n v="7"/>
    <x v="2"/>
  </r>
  <r>
    <x v="307"/>
    <s v="18/04/2025"/>
    <x v="8"/>
    <x v="11"/>
    <x v="3"/>
    <x v="1"/>
    <x v="2"/>
    <x v="0"/>
    <x v="304"/>
    <n v="3"/>
    <n v="3.4"/>
    <n v="3"/>
    <x v="2"/>
  </r>
  <r>
    <x v="308"/>
    <s v="13/05/2025"/>
    <x v="9"/>
    <x v="10"/>
    <x v="0"/>
    <x v="4"/>
    <x v="1"/>
    <x v="3"/>
    <x v="305"/>
    <n v="3"/>
    <n v="3.2"/>
    <n v="5"/>
    <x v="0"/>
  </r>
  <r>
    <x v="309"/>
    <s v="23/04/2025"/>
    <x v="1"/>
    <x v="18"/>
    <x v="3"/>
    <x v="1"/>
    <x v="3"/>
    <x v="3"/>
    <x v="306"/>
    <n v="7"/>
    <n v="4.4000000000000004"/>
    <n v="5"/>
    <x v="2"/>
  </r>
  <r>
    <x v="310"/>
    <s v="28/04/2025"/>
    <x v="8"/>
    <x v="1"/>
    <x v="1"/>
    <x v="5"/>
    <x v="2"/>
    <x v="0"/>
    <x v="124"/>
    <n v="7"/>
    <n v="4.0999999999999996"/>
    <n v="7"/>
    <x v="2"/>
  </r>
  <r>
    <x v="311"/>
    <s v="30/09/2025"/>
    <x v="12"/>
    <x v="3"/>
    <x v="3"/>
    <x v="3"/>
    <x v="3"/>
    <x v="2"/>
    <x v="307"/>
    <n v="2"/>
    <n v="4.7"/>
    <n v="7"/>
    <x v="5"/>
  </r>
  <r>
    <x v="312"/>
    <s v="28/04/2025"/>
    <x v="14"/>
    <x v="8"/>
    <x v="1"/>
    <x v="4"/>
    <x v="2"/>
    <x v="1"/>
    <x v="308"/>
    <n v="8"/>
    <n v="4"/>
    <n v="5"/>
    <x v="2"/>
  </r>
  <r>
    <x v="313"/>
    <s v="12/05/2025"/>
    <x v="19"/>
    <x v="8"/>
    <x v="1"/>
    <x v="1"/>
    <x v="3"/>
    <x v="3"/>
    <x v="309"/>
    <n v="4"/>
    <n v="4.0999999999999996"/>
    <n v="7"/>
    <x v="0"/>
  </r>
  <r>
    <x v="314"/>
    <s v="21/03/2025"/>
    <x v="5"/>
    <x v="14"/>
    <x v="2"/>
    <x v="4"/>
    <x v="1"/>
    <x v="3"/>
    <x v="310"/>
    <n v="7"/>
    <n v="4.2"/>
    <n v="5"/>
    <x v="6"/>
  </r>
  <r>
    <x v="315"/>
    <s v="14/10/2025"/>
    <x v="13"/>
    <x v="13"/>
    <x v="4"/>
    <x v="3"/>
    <x v="0"/>
    <x v="2"/>
    <x v="311"/>
    <n v="8"/>
    <n v="4.5"/>
    <n v="2"/>
    <x v="1"/>
  </r>
  <r>
    <x v="316"/>
    <s v="23/06/2025"/>
    <x v="9"/>
    <x v="5"/>
    <x v="4"/>
    <x v="0"/>
    <x v="3"/>
    <x v="0"/>
    <x v="312"/>
    <n v="1"/>
    <n v="4"/>
    <n v="7"/>
    <x v="9"/>
  </r>
  <r>
    <x v="317"/>
    <s v="08/11/2025"/>
    <x v="1"/>
    <x v="14"/>
    <x v="2"/>
    <x v="1"/>
    <x v="1"/>
    <x v="3"/>
    <x v="313"/>
    <n v="1"/>
    <n v="4.0999999999999996"/>
    <n v="1"/>
    <x v="11"/>
  </r>
  <r>
    <x v="318"/>
    <s v="03/12/2025"/>
    <x v="2"/>
    <x v="10"/>
    <x v="0"/>
    <x v="2"/>
    <x v="0"/>
    <x v="2"/>
    <x v="314"/>
    <n v="5"/>
    <n v="4.5"/>
    <n v="3"/>
    <x v="8"/>
  </r>
  <r>
    <x v="319"/>
    <s v="22/05/2025"/>
    <x v="9"/>
    <x v="17"/>
    <x v="4"/>
    <x v="5"/>
    <x v="3"/>
    <x v="1"/>
    <x v="315"/>
    <n v="7"/>
    <n v="4.0999999999999996"/>
    <n v="2"/>
    <x v="0"/>
  </r>
  <r>
    <x v="320"/>
    <s v="26/04/2025"/>
    <x v="10"/>
    <x v="16"/>
    <x v="2"/>
    <x v="0"/>
    <x v="3"/>
    <x v="1"/>
    <x v="316"/>
    <n v="4"/>
    <n v="3.5"/>
    <n v="2"/>
    <x v="2"/>
  </r>
  <r>
    <x v="321"/>
    <s v="03/10/2025"/>
    <x v="17"/>
    <x v="20"/>
    <x v="0"/>
    <x v="1"/>
    <x v="1"/>
    <x v="2"/>
    <x v="317"/>
    <n v="5"/>
    <n v="4.5999999999999996"/>
    <n v="6"/>
    <x v="1"/>
  </r>
  <r>
    <x v="322"/>
    <s v="13/05/2025"/>
    <x v="11"/>
    <x v="3"/>
    <x v="3"/>
    <x v="4"/>
    <x v="3"/>
    <x v="2"/>
    <x v="318"/>
    <n v="2"/>
    <n v="4.9000000000000004"/>
    <n v="1"/>
    <x v="0"/>
  </r>
  <r>
    <x v="323"/>
    <s v="08/02/2025"/>
    <x v="14"/>
    <x v="4"/>
    <x v="3"/>
    <x v="1"/>
    <x v="0"/>
    <x v="0"/>
    <x v="319"/>
    <n v="3"/>
    <n v="3.7"/>
    <n v="4"/>
    <x v="7"/>
  </r>
  <r>
    <x v="324"/>
    <s v="16/04/2025"/>
    <x v="9"/>
    <x v="13"/>
    <x v="4"/>
    <x v="1"/>
    <x v="1"/>
    <x v="2"/>
    <x v="320"/>
    <n v="4"/>
    <n v="4.5999999999999996"/>
    <n v="2"/>
    <x v="2"/>
  </r>
  <r>
    <x v="325"/>
    <s v="04/09/2025"/>
    <x v="5"/>
    <x v="1"/>
    <x v="1"/>
    <x v="4"/>
    <x v="0"/>
    <x v="2"/>
    <x v="321"/>
    <n v="6"/>
    <n v="4.0999999999999996"/>
    <n v="5"/>
    <x v="5"/>
  </r>
  <r>
    <x v="326"/>
    <s v="02/09/2025"/>
    <x v="18"/>
    <x v="8"/>
    <x v="1"/>
    <x v="1"/>
    <x v="2"/>
    <x v="2"/>
    <x v="322"/>
    <n v="1"/>
    <n v="5"/>
    <n v="8"/>
    <x v="5"/>
  </r>
  <r>
    <x v="327"/>
    <s v="25/10/2025"/>
    <x v="11"/>
    <x v="5"/>
    <x v="4"/>
    <x v="3"/>
    <x v="3"/>
    <x v="1"/>
    <x v="323"/>
    <n v="2"/>
    <n v="4.2"/>
    <n v="4"/>
    <x v="1"/>
  </r>
  <r>
    <x v="328"/>
    <s v="06/08/2025"/>
    <x v="6"/>
    <x v="5"/>
    <x v="4"/>
    <x v="1"/>
    <x v="0"/>
    <x v="2"/>
    <x v="324"/>
    <n v="4"/>
    <n v="4"/>
    <n v="3"/>
    <x v="3"/>
  </r>
  <r>
    <x v="329"/>
    <s v="12/10/2025"/>
    <x v="16"/>
    <x v="2"/>
    <x v="2"/>
    <x v="3"/>
    <x v="0"/>
    <x v="1"/>
    <x v="325"/>
    <n v="7"/>
    <n v="4.7"/>
    <n v="3"/>
    <x v="1"/>
  </r>
  <r>
    <x v="330"/>
    <s v="09/05/2025"/>
    <x v="7"/>
    <x v="4"/>
    <x v="3"/>
    <x v="3"/>
    <x v="3"/>
    <x v="1"/>
    <x v="326"/>
    <n v="1"/>
    <n v="4.7"/>
    <n v="8"/>
    <x v="0"/>
  </r>
  <r>
    <x v="331"/>
    <s v="14/10/2025"/>
    <x v="6"/>
    <x v="16"/>
    <x v="2"/>
    <x v="5"/>
    <x v="0"/>
    <x v="1"/>
    <x v="327"/>
    <n v="5"/>
    <n v="4.8"/>
    <n v="4"/>
    <x v="1"/>
  </r>
  <r>
    <x v="332"/>
    <s v="11/12/2025"/>
    <x v="1"/>
    <x v="16"/>
    <x v="2"/>
    <x v="1"/>
    <x v="3"/>
    <x v="3"/>
    <x v="328"/>
    <n v="8"/>
    <n v="4"/>
    <n v="3"/>
    <x v="8"/>
  </r>
  <r>
    <x v="333"/>
    <s v="06/02/2025"/>
    <x v="4"/>
    <x v="8"/>
    <x v="1"/>
    <x v="1"/>
    <x v="1"/>
    <x v="1"/>
    <x v="329"/>
    <n v="2"/>
    <n v="4.4000000000000004"/>
    <n v="5"/>
    <x v="7"/>
  </r>
  <r>
    <x v="334"/>
    <s v="28/10/2025"/>
    <x v="9"/>
    <x v="4"/>
    <x v="3"/>
    <x v="4"/>
    <x v="0"/>
    <x v="3"/>
    <x v="330"/>
    <n v="8"/>
    <n v="4.5"/>
    <n v="5"/>
    <x v="1"/>
  </r>
  <r>
    <x v="335"/>
    <s v="02/02/2025"/>
    <x v="7"/>
    <x v="0"/>
    <x v="0"/>
    <x v="2"/>
    <x v="0"/>
    <x v="2"/>
    <x v="331"/>
    <n v="8"/>
    <n v="4.5999999999999996"/>
    <n v="2"/>
    <x v="7"/>
  </r>
  <r>
    <x v="336"/>
    <s v="28/04/2025"/>
    <x v="0"/>
    <x v="4"/>
    <x v="3"/>
    <x v="0"/>
    <x v="3"/>
    <x v="1"/>
    <x v="332"/>
    <n v="4"/>
    <n v="4.0999999999999996"/>
    <n v="3"/>
    <x v="2"/>
  </r>
  <r>
    <x v="337"/>
    <s v="04/10/2025"/>
    <x v="6"/>
    <x v="11"/>
    <x v="3"/>
    <x v="3"/>
    <x v="3"/>
    <x v="1"/>
    <x v="333"/>
    <n v="5"/>
    <n v="4.3"/>
    <n v="8"/>
    <x v="1"/>
  </r>
  <r>
    <x v="338"/>
    <s v="15/02/2025"/>
    <x v="12"/>
    <x v="18"/>
    <x v="3"/>
    <x v="4"/>
    <x v="3"/>
    <x v="1"/>
    <x v="334"/>
    <n v="8"/>
    <n v="3.7"/>
    <n v="1"/>
    <x v="7"/>
  </r>
  <r>
    <x v="339"/>
    <s v="19/12/2025"/>
    <x v="10"/>
    <x v="3"/>
    <x v="3"/>
    <x v="2"/>
    <x v="0"/>
    <x v="3"/>
    <x v="335"/>
    <n v="8"/>
    <n v="4.3"/>
    <n v="1"/>
    <x v="8"/>
  </r>
  <r>
    <x v="340"/>
    <s v="22/07/2025"/>
    <x v="12"/>
    <x v="8"/>
    <x v="1"/>
    <x v="5"/>
    <x v="3"/>
    <x v="1"/>
    <x v="336"/>
    <n v="4"/>
    <n v="3.3"/>
    <n v="4"/>
    <x v="4"/>
  </r>
  <r>
    <x v="341"/>
    <s v="31/07/2025"/>
    <x v="11"/>
    <x v="6"/>
    <x v="1"/>
    <x v="1"/>
    <x v="1"/>
    <x v="0"/>
    <x v="337"/>
    <n v="4"/>
    <n v="4.3"/>
    <n v="8"/>
    <x v="4"/>
  </r>
  <r>
    <x v="342"/>
    <s v="19/03/2025"/>
    <x v="0"/>
    <x v="14"/>
    <x v="2"/>
    <x v="4"/>
    <x v="2"/>
    <x v="0"/>
    <x v="338"/>
    <n v="1"/>
    <n v="3.7"/>
    <n v="8"/>
    <x v="6"/>
  </r>
  <r>
    <x v="343"/>
    <s v="22/04/2025"/>
    <x v="18"/>
    <x v="15"/>
    <x v="0"/>
    <x v="0"/>
    <x v="0"/>
    <x v="2"/>
    <x v="339"/>
    <n v="6"/>
    <n v="4.5"/>
    <n v="1"/>
    <x v="2"/>
  </r>
  <r>
    <x v="344"/>
    <s v="06/02/2025"/>
    <x v="5"/>
    <x v="12"/>
    <x v="2"/>
    <x v="3"/>
    <x v="0"/>
    <x v="2"/>
    <x v="340"/>
    <n v="8"/>
    <n v="3.4"/>
    <n v="4"/>
    <x v="7"/>
  </r>
  <r>
    <x v="345"/>
    <s v="18/02/2025"/>
    <x v="10"/>
    <x v="5"/>
    <x v="4"/>
    <x v="5"/>
    <x v="2"/>
    <x v="1"/>
    <x v="341"/>
    <n v="4"/>
    <n v="4.3"/>
    <n v="1"/>
    <x v="7"/>
  </r>
  <r>
    <x v="346"/>
    <s v="12/04/2025"/>
    <x v="1"/>
    <x v="4"/>
    <x v="3"/>
    <x v="2"/>
    <x v="2"/>
    <x v="3"/>
    <x v="342"/>
    <n v="6"/>
    <n v="4"/>
    <n v="1"/>
    <x v="2"/>
  </r>
  <r>
    <x v="347"/>
    <s v="22/01/2025"/>
    <x v="4"/>
    <x v="17"/>
    <x v="4"/>
    <x v="2"/>
    <x v="2"/>
    <x v="2"/>
    <x v="343"/>
    <n v="8"/>
    <n v="3.5"/>
    <n v="2"/>
    <x v="10"/>
  </r>
  <r>
    <x v="348"/>
    <s v="26/12/2025"/>
    <x v="17"/>
    <x v="2"/>
    <x v="2"/>
    <x v="1"/>
    <x v="0"/>
    <x v="2"/>
    <x v="344"/>
    <n v="2"/>
    <n v="4.5999999999999996"/>
    <n v="6"/>
    <x v="8"/>
  </r>
  <r>
    <x v="349"/>
    <s v="10/03/2025"/>
    <x v="19"/>
    <x v="4"/>
    <x v="3"/>
    <x v="5"/>
    <x v="0"/>
    <x v="1"/>
    <x v="345"/>
    <n v="5"/>
    <n v="4.2"/>
    <n v="8"/>
    <x v="6"/>
  </r>
  <r>
    <x v="350"/>
    <s v="21/05/2025"/>
    <x v="17"/>
    <x v="12"/>
    <x v="2"/>
    <x v="0"/>
    <x v="1"/>
    <x v="0"/>
    <x v="346"/>
    <n v="3"/>
    <n v="4.7"/>
    <n v="6"/>
    <x v="0"/>
  </r>
  <r>
    <x v="351"/>
    <s v="14/11/2025"/>
    <x v="10"/>
    <x v="20"/>
    <x v="0"/>
    <x v="4"/>
    <x v="3"/>
    <x v="1"/>
    <x v="287"/>
    <n v="4"/>
    <n v="4.0999999999999996"/>
    <n v="8"/>
    <x v="11"/>
  </r>
  <r>
    <x v="352"/>
    <s v="26/02/2025"/>
    <x v="7"/>
    <x v="4"/>
    <x v="3"/>
    <x v="3"/>
    <x v="0"/>
    <x v="2"/>
    <x v="347"/>
    <n v="2"/>
    <n v="4.8"/>
    <n v="4"/>
    <x v="7"/>
  </r>
  <r>
    <x v="353"/>
    <s v="03/12/2025"/>
    <x v="0"/>
    <x v="15"/>
    <x v="0"/>
    <x v="4"/>
    <x v="1"/>
    <x v="2"/>
    <x v="122"/>
    <n v="8"/>
    <n v="4.3"/>
    <n v="2"/>
    <x v="8"/>
  </r>
  <r>
    <x v="354"/>
    <s v="04/07/2025"/>
    <x v="3"/>
    <x v="3"/>
    <x v="3"/>
    <x v="0"/>
    <x v="0"/>
    <x v="2"/>
    <x v="348"/>
    <n v="7"/>
    <n v="3.3"/>
    <n v="2"/>
    <x v="4"/>
  </r>
  <r>
    <x v="355"/>
    <s v="30/09/2025"/>
    <x v="10"/>
    <x v="10"/>
    <x v="0"/>
    <x v="1"/>
    <x v="1"/>
    <x v="2"/>
    <x v="349"/>
    <n v="7"/>
    <n v="4.3"/>
    <n v="3"/>
    <x v="5"/>
  </r>
  <r>
    <x v="356"/>
    <s v="12/12/2025"/>
    <x v="1"/>
    <x v="6"/>
    <x v="1"/>
    <x v="5"/>
    <x v="1"/>
    <x v="1"/>
    <x v="350"/>
    <n v="8"/>
    <n v="4.2"/>
    <n v="6"/>
    <x v="8"/>
  </r>
  <r>
    <x v="357"/>
    <s v="16/06/2025"/>
    <x v="5"/>
    <x v="19"/>
    <x v="2"/>
    <x v="5"/>
    <x v="3"/>
    <x v="1"/>
    <x v="351"/>
    <n v="6"/>
    <n v="4.2"/>
    <n v="4"/>
    <x v="9"/>
  </r>
  <r>
    <x v="358"/>
    <s v="23/07/2025"/>
    <x v="0"/>
    <x v="11"/>
    <x v="3"/>
    <x v="2"/>
    <x v="0"/>
    <x v="0"/>
    <x v="352"/>
    <n v="1"/>
    <n v="4.0999999999999996"/>
    <n v="5"/>
    <x v="4"/>
  </r>
  <r>
    <x v="359"/>
    <s v="20/12/2025"/>
    <x v="17"/>
    <x v="14"/>
    <x v="2"/>
    <x v="2"/>
    <x v="0"/>
    <x v="0"/>
    <x v="353"/>
    <n v="5"/>
    <n v="3.5"/>
    <n v="1"/>
    <x v="8"/>
  </r>
  <r>
    <x v="360"/>
    <s v="26/10/2025"/>
    <x v="9"/>
    <x v="16"/>
    <x v="2"/>
    <x v="1"/>
    <x v="3"/>
    <x v="3"/>
    <x v="354"/>
    <n v="4"/>
    <n v="3.9"/>
    <n v="4"/>
    <x v="1"/>
  </r>
  <r>
    <x v="361"/>
    <s v="20/12/2025"/>
    <x v="18"/>
    <x v="5"/>
    <x v="4"/>
    <x v="2"/>
    <x v="1"/>
    <x v="3"/>
    <x v="355"/>
    <n v="2"/>
    <n v="3.3"/>
    <n v="1"/>
    <x v="8"/>
  </r>
  <r>
    <x v="362"/>
    <s v="01/12/2025"/>
    <x v="18"/>
    <x v="10"/>
    <x v="0"/>
    <x v="5"/>
    <x v="0"/>
    <x v="0"/>
    <x v="356"/>
    <n v="1"/>
    <n v="3.3"/>
    <n v="3"/>
    <x v="8"/>
  </r>
  <r>
    <x v="363"/>
    <s v="17/08/2025"/>
    <x v="14"/>
    <x v="15"/>
    <x v="0"/>
    <x v="5"/>
    <x v="2"/>
    <x v="3"/>
    <x v="357"/>
    <n v="2"/>
    <n v="3.4"/>
    <n v="2"/>
    <x v="3"/>
  </r>
  <r>
    <x v="364"/>
    <s v="24/07/2025"/>
    <x v="6"/>
    <x v="14"/>
    <x v="2"/>
    <x v="4"/>
    <x v="0"/>
    <x v="0"/>
    <x v="358"/>
    <n v="7"/>
    <n v="3.6"/>
    <n v="7"/>
    <x v="4"/>
  </r>
  <r>
    <x v="365"/>
    <s v="09/08/2025"/>
    <x v="18"/>
    <x v="20"/>
    <x v="0"/>
    <x v="2"/>
    <x v="2"/>
    <x v="1"/>
    <x v="359"/>
    <n v="6"/>
    <n v="3.9"/>
    <n v="4"/>
    <x v="3"/>
  </r>
  <r>
    <x v="366"/>
    <s v="12/11/2025"/>
    <x v="8"/>
    <x v="13"/>
    <x v="4"/>
    <x v="1"/>
    <x v="2"/>
    <x v="2"/>
    <x v="360"/>
    <n v="8"/>
    <n v="3.6"/>
    <n v="6"/>
    <x v="11"/>
  </r>
  <r>
    <x v="367"/>
    <s v="14/11/2025"/>
    <x v="18"/>
    <x v="10"/>
    <x v="0"/>
    <x v="4"/>
    <x v="0"/>
    <x v="0"/>
    <x v="361"/>
    <n v="3"/>
    <n v="4"/>
    <n v="1"/>
    <x v="11"/>
  </r>
  <r>
    <x v="368"/>
    <s v="08/10/2025"/>
    <x v="11"/>
    <x v="6"/>
    <x v="1"/>
    <x v="4"/>
    <x v="2"/>
    <x v="1"/>
    <x v="362"/>
    <n v="8"/>
    <n v="4.8"/>
    <n v="1"/>
    <x v="1"/>
  </r>
  <r>
    <x v="369"/>
    <s v="28/01/2025"/>
    <x v="7"/>
    <x v="13"/>
    <x v="4"/>
    <x v="0"/>
    <x v="3"/>
    <x v="3"/>
    <x v="363"/>
    <n v="8"/>
    <n v="3.7"/>
    <n v="6"/>
    <x v="10"/>
  </r>
  <r>
    <x v="370"/>
    <s v="18/09/2025"/>
    <x v="10"/>
    <x v="5"/>
    <x v="4"/>
    <x v="1"/>
    <x v="2"/>
    <x v="2"/>
    <x v="364"/>
    <n v="2"/>
    <n v="3.5"/>
    <n v="8"/>
    <x v="5"/>
  </r>
  <r>
    <x v="371"/>
    <s v="20/06/2025"/>
    <x v="13"/>
    <x v="13"/>
    <x v="4"/>
    <x v="5"/>
    <x v="3"/>
    <x v="2"/>
    <x v="365"/>
    <n v="8"/>
    <n v="3.8"/>
    <n v="5"/>
    <x v="9"/>
  </r>
  <r>
    <x v="372"/>
    <s v="16/01/2025"/>
    <x v="12"/>
    <x v="12"/>
    <x v="2"/>
    <x v="1"/>
    <x v="0"/>
    <x v="3"/>
    <x v="366"/>
    <n v="5"/>
    <n v="3.4"/>
    <n v="7"/>
    <x v="10"/>
  </r>
  <r>
    <x v="373"/>
    <s v="07/08/2025"/>
    <x v="6"/>
    <x v="7"/>
    <x v="4"/>
    <x v="5"/>
    <x v="0"/>
    <x v="0"/>
    <x v="367"/>
    <n v="5"/>
    <n v="3.6"/>
    <n v="3"/>
    <x v="3"/>
  </r>
  <r>
    <x v="374"/>
    <s v="11/03/2025"/>
    <x v="1"/>
    <x v="19"/>
    <x v="2"/>
    <x v="2"/>
    <x v="0"/>
    <x v="2"/>
    <x v="368"/>
    <n v="7"/>
    <n v="4.2"/>
    <n v="2"/>
    <x v="6"/>
  </r>
  <r>
    <x v="375"/>
    <s v="30/07/2025"/>
    <x v="4"/>
    <x v="12"/>
    <x v="2"/>
    <x v="5"/>
    <x v="3"/>
    <x v="0"/>
    <x v="369"/>
    <n v="5"/>
    <n v="3.4"/>
    <n v="1"/>
    <x v="4"/>
  </r>
  <r>
    <x v="376"/>
    <s v="29/04/2025"/>
    <x v="15"/>
    <x v="9"/>
    <x v="1"/>
    <x v="4"/>
    <x v="1"/>
    <x v="3"/>
    <x v="370"/>
    <n v="1"/>
    <n v="4.7"/>
    <n v="8"/>
    <x v="2"/>
  </r>
  <r>
    <x v="377"/>
    <s v="25/03/2025"/>
    <x v="19"/>
    <x v="18"/>
    <x v="3"/>
    <x v="4"/>
    <x v="2"/>
    <x v="0"/>
    <x v="371"/>
    <n v="4"/>
    <n v="4.9000000000000004"/>
    <n v="4"/>
    <x v="6"/>
  </r>
  <r>
    <x v="378"/>
    <s v="19/12/2025"/>
    <x v="18"/>
    <x v="11"/>
    <x v="3"/>
    <x v="3"/>
    <x v="2"/>
    <x v="2"/>
    <x v="372"/>
    <n v="6"/>
    <n v="4.3"/>
    <n v="7"/>
    <x v="8"/>
  </r>
  <r>
    <x v="379"/>
    <s v="22/01/2025"/>
    <x v="19"/>
    <x v="11"/>
    <x v="3"/>
    <x v="2"/>
    <x v="1"/>
    <x v="3"/>
    <x v="373"/>
    <n v="4"/>
    <n v="3.9"/>
    <n v="1"/>
    <x v="10"/>
  </r>
  <r>
    <x v="380"/>
    <s v="25/08/2025"/>
    <x v="17"/>
    <x v="16"/>
    <x v="2"/>
    <x v="0"/>
    <x v="2"/>
    <x v="0"/>
    <x v="374"/>
    <n v="3"/>
    <n v="4.8"/>
    <n v="8"/>
    <x v="3"/>
  </r>
  <r>
    <x v="381"/>
    <s v="21/07/2025"/>
    <x v="17"/>
    <x v="9"/>
    <x v="1"/>
    <x v="0"/>
    <x v="3"/>
    <x v="1"/>
    <x v="375"/>
    <n v="7"/>
    <n v="4.3"/>
    <n v="4"/>
    <x v="4"/>
  </r>
  <r>
    <x v="382"/>
    <s v="16/02/2025"/>
    <x v="5"/>
    <x v="17"/>
    <x v="4"/>
    <x v="5"/>
    <x v="1"/>
    <x v="2"/>
    <x v="376"/>
    <n v="2"/>
    <n v="4.5"/>
    <n v="3"/>
    <x v="7"/>
  </r>
  <r>
    <x v="383"/>
    <s v="17/10/2025"/>
    <x v="3"/>
    <x v="13"/>
    <x v="4"/>
    <x v="1"/>
    <x v="0"/>
    <x v="2"/>
    <x v="377"/>
    <n v="3"/>
    <n v="3.8"/>
    <n v="8"/>
    <x v="1"/>
  </r>
  <r>
    <x v="384"/>
    <s v="02/01/2025"/>
    <x v="13"/>
    <x v="7"/>
    <x v="4"/>
    <x v="4"/>
    <x v="1"/>
    <x v="3"/>
    <x v="378"/>
    <n v="5"/>
    <n v="4.7"/>
    <n v="8"/>
    <x v="10"/>
  </r>
  <r>
    <x v="385"/>
    <s v="10/02/2025"/>
    <x v="2"/>
    <x v="11"/>
    <x v="3"/>
    <x v="4"/>
    <x v="0"/>
    <x v="2"/>
    <x v="379"/>
    <n v="1"/>
    <n v="4.2"/>
    <n v="4"/>
    <x v="7"/>
  </r>
  <r>
    <x v="386"/>
    <s v="16/03/2025"/>
    <x v="1"/>
    <x v="14"/>
    <x v="2"/>
    <x v="1"/>
    <x v="3"/>
    <x v="0"/>
    <x v="380"/>
    <n v="1"/>
    <n v="3.4"/>
    <n v="3"/>
    <x v="6"/>
  </r>
  <r>
    <x v="387"/>
    <s v="19/01/2025"/>
    <x v="3"/>
    <x v="4"/>
    <x v="3"/>
    <x v="3"/>
    <x v="0"/>
    <x v="2"/>
    <x v="381"/>
    <n v="2"/>
    <n v="4.5999999999999996"/>
    <n v="2"/>
    <x v="10"/>
  </r>
  <r>
    <x v="388"/>
    <s v="27/09/2025"/>
    <x v="14"/>
    <x v="16"/>
    <x v="2"/>
    <x v="1"/>
    <x v="3"/>
    <x v="3"/>
    <x v="382"/>
    <n v="7"/>
    <n v="3.4"/>
    <n v="2"/>
    <x v="5"/>
  </r>
  <r>
    <x v="389"/>
    <s v="13/05/2025"/>
    <x v="4"/>
    <x v="6"/>
    <x v="1"/>
    <x v="4"/>
    <x v="3"/>
    <x v="0"/>
    <x v="383"/>
    <n v="6"/>
    <n v="4.0999999999999996"/>
    <n v="3"/>
    <x v="0"/>
  </r>
  <r>
    <x v="390"/>
    <s v="13/01/2025"/>
    <x v="15"/>
    <x v="0"/>
    <x v="0"/>
    <x v="5"/>
    <x v="0"/>
    <x v="2"/>
    <x v="384"/>
    <n v="8"/>
    <n v="3.9"/>
    <n v="6"/>
    <x v="10"/>
  </r>
  <r>
    <x v="391"/>
    <s v="11/05/2025"/>
    <x v="18"/>
    <x v="13"/>
    <x v="4"/>
    <x v="2"/>
    <x v="1"/>
    <x v="2"/>
    <x v="385"/>
    <n v="2"/>
    <n v="4.5999999999999996"/>
    <n v="2"/>
    <x v="0"/>
  </r>
  <r>
    <x v="392"/>
    <s v="19/06/2025"/>
    <x v="17"/>
    <x v="7"/>
    <x v="4"/>
    <x v="5"/>
    <x v="3"/>
    <x v="3"/>
    <x v="386"/>
    <n v="6"/>
    <n v="3.4"/>
    <n v="3"/>
    <x v="9"/>
  </r>
  <r>
    <x v="393"/>
    <s v="24/09/2025"/>
    <x v="15"/>
    <x v="3"/>
    <x v="3"/>
    <x v="0"/>
    <x v="0"/>
    <x v="1"/>
    <x v="387"/>
    <n v="5"/>
    <n v="3.6"/>
    <n v="6"/>
    <x v="5"/>
  </r>
  <r>
    <x v="394"/>
    <s v="12/07/2025"/>
    <x v="18"/>
    <x v="20"/>
    <x v="0"/>
    <x v="1"/>
    <x v="2"/>
    <x v="1"/>
    <x v="388"/>
    <n v="3"/>
    <n v="4.8"/>
    <n v="5"/>
    <x v="4"/>
  </r>
  <r>
    <x v="395"/>
    <s v="12/09/2025"/>
    <x v="15"/>
    <x v="3"/>
    <x v="3"/>
    <x v="0"/>
    <x v="0"/>
    <x v="2"/>
    <x v="389"/>
    <n v="4"/>
    <n v="3.7"/>
    <n v="2"/>
    <x v="5"/>
  </r>
  <r>
    <x v="396"/>
    <s v="05/09/2025"/>
    <x v="7"/>
    <x v="3"/>
    <x v="3"/>
    <x v="5"/>
    <x v="0"/>
    <x v="0"/>
    <x v="390"/>
    <n v="3"/>
    <n v="4.5999999999999996"/>
    <n v="3"/>
    <x v="5"/>
  </r>
  <r>
    <x v="397"/>
    <s v="18/07/2025"/>
    <x v="7"/>
    <x v="15"/>
    <x v="0"/>
    <x v="5"/>
    <x v="3"/>
    <x v="2"/>
    <x v="391"/>
    <n v="2"/>
    <n v="3.8"/>
    <n v="1"/>
    <x v="4"/>
  </r>
  <r>
    <x v="398"/>
    <s v="24/11/2025"/>
    <x v="7"/>
    <x v="6"/>
    <x v="1"/>
    <x v="2"/>
    <x v="0"/>
    <x v="0"/>
    <x v="392"/>
    <n v="4"/>
    <n v="4.2"/>
    <n v="8"/>
    <x v="11"/>
  </r>
  <r>
    <x v="399"/>
    <s v="08/01/2025"/>
    <x v="6"/>
    <x v="14"/>
    <x v="2"/>
    <x v="4"/>
    <x v="0"/>
    <x v="2"/>
    <x v="393"/>
    <n v="2"/>
    <n v="3.7"/>
    <n v="5"/>
    <x v="10"/>
  </r>
  <r>
    <x v="400"/>
    <s v="23/06/2025"/>
    <x v="2"/>
    <x v="19"/>
    <x v="2"/>
    <x v="0"/>
    <x v="1"/>
    <x v="3"/>
    <x v="394"/>
    <n v="8"/>
    <n v="3.3"/>
    <n v="7"/>
    <x v="9"/>
  </r>
  <r>
    <x v="401"/>
    <s v="12/11/2025"/>
    <x v="6"/>
    <x v="5"/>
    <x v="4"/>
    <x v="4"/>
    <x v="2"/>
    <x v="3"/>
    <x v="395"/>
    <n v="6"/>
    <n v="5"/>
    <n v="8"/>
    <x v="11"/>
  </r>
  <r>
    <x v="402"/>
    <s v="08/06/2025"/>
    <x v="5"/>
    <x v="15"/>
    <x v="0"/>
    <x v="4"/>
    <x v="3"/>
    <x v="1"/>
    <x v="396"/>
    <n v="8"/>
    <n v="3.7"/>
    <n v="6"/>
    <x v="9"/>
  </r>
  <r>
    <x v="403"/>
    <s v="16/01/2025"/>
    <x v="15"/>
    <x v="11"/>
    <x v="3"/>
    <x v="5"/>
    <x v="0"/>
    <x v="2"/>
    <x v="397"/>
    <n v="2"/>
    <n v="4.7"/>
    <n v="5"/>
    <x v="10"/>
  </r>
  <r>
    <x v="404"/>
    <s v="16/06/2025"/>
    <x v="10"/>
    <x v="3"/>
    <x v="3"/>
    <x v="4"/>
    <x v="1"/>
    <x v="3"/>
    <x v="398"/>
    <n v="2"/>
    <n v="3.9"/>
    <n v="4"/>
    <x v="9"/>
  </r>
  <r>
    <x v="405"/>
    <s v="17/04/2025"/>
    <x v="6"/>
    <x v="20"/>
    <x v="0"/>
    <x v="3"/>
    <x v="2"/>
    <x v="3"/>
    <x v="399"/>
    <n v="7"/>
    <n v="4.4000000000000004"/>
    <n v="2"/>
    <x v="2"/>
  </r>
  <r>
    <x v="406"/>
    <s v="19/02/2025"/>
    <x v="18"/>
    <x v="19"/>
    <x v="2"/>
    <x v="3"/>
    <x v="2"/>
    <x v="2"/>
    <x v="400"/>
    <n v="8"/>
    <n v="3.4"/>
    <n v="7"/>
    <x v="7"/>
  </r>
  <r>
    <x v="407"/>
    <s v="25/10/2025"/>
    <x v="19"/>
    <x v="7"/>
    <x v="4"/>
    <x v="4"/>
    <x v="3"/>
    <x v="1"/>
    <x v="401"/>
    <n v="1"/>
    <n v="3.9"/>
    <n v="8"/>
    <x v="1"/>
  </r>
  <r>
    <x v="408"/>
    <s v="11/08/2025"/>
    <x v="2"/>
    <x v="6"/>
    <x v="1"/>
    <x v="2"/>
    <x v="2"/>
    <x v="2"/>
    <x v="402"/>
    <n v="6"/>
    <n v="4.7"/>
    <n v="5"/>
    <x v="3"/>
  </r>
  <r>
    <x v="409"/>
    <s v="26/02/2025"/>
    <x v="5"/>
    <x v="6"/>
    <x v="1"/>
    <x v="3"/>
    <x v="1"/>
    <x v="0"/>
    <x v="403"/>
    <n v="5"/>
    <n v="4.3"/>
    <n v="7"/>
    <x v="7"/>
  </r>
  <r>
    <x v="410"/>
    <s v="13/03/2025"/>
    <x v="8"/>
    <x v="5"/>
    <x v="4"/>
    <x v="0"/>
    <x v="2"/>
    <x v="2"/>
    <x v="404"/>
    <n v="4"/>
    <n v="3.7"/>
    <n v="3"/>
    <x v="6"/>
  </r>
  <r>
    <x v="411"/>
    <s v="03/12/2025"/>
    <x v="4"/>
    <x v="5"/>
    <x v="4"/>
    <x v="4"/>
    <x v="1"/>
    <x v="3"/>
    <x v="405"/>
    <n v="7"/>
    <n v="4.7"/>
    <n v="7"/>
    <x v="8"/>
  </r>
  <r>
    <x v="412"/>
    <s v="16/07/2025"/>
    <x v="12"/>
    <x v="8"/>
    <x v="1"/>
    <x v="2"/>
    <x v="1"/>
    <x v="1"/>
    <x v="406"/>
    <n v="6"/>
    <n v="4.2"/>
    <n v="4"/>
    <x v="4"/>
  </r>
  <r>
    <x v="413"/>
    <s v="18/10/2025"/>
    <x v="8"/>
    <x v="0"/>
    <x v="0"/>
    <x v="1"/>
    <x v="3"/>
    <x v="3"/>
    <x v="407"/>
    <n v="8"/>
    <n v="4.9000000000000004"/>
    <n v="2"/>
    <x v="1"/>
  </r>
  <r>
    <x v="414"/>
    <s v="25/09/2025"/>
    <x v="4"/>
    <x v="1"/>
    <x v="1"/>
    <x v="0"/>
    <x v="3"/>
    <x v="2"/>
    <x v="408"/>
    <n v="2"/>
    <n v="4.5999999999999996"/>
    <n v="5"/>
    <x v="5"/>
  </r>
  <r>
    <x v="415"/>
    <s v="20/09/2025"/>
    <x v="4"/>
    <x v="11"/>
    <x v="3"/>
    <x v="1"/>
    <x v="3"/>
    <x v="1"/>
    <x v="409"/>
    <n v="8"/>
    <n v="3.7"/>
    <n v="1"/>
    <x v="5"/>
  </r>
  <r>
    <x v="416"/>
    <s v="24/10/2025"/>
    <x v="8"/>
    <x v="15"/>
    <x v="0"/>
    <x v="5"/>
    <x v="2"/>
    <x v="1"/>
    <x v="410"/>
    <n v="3"/>
    <n v="3.7"/>
    <n v="2"/>
    <x v="1"/>
  </r>
  <r>
    <x v="417"/>
    <s v="12/11/2025"/>
    <x v="17"/>
    <x v="2"/>
    <x v="2"/>
    <x v="2"/>
    <x v="0"/>
    <x v="1"/>
    <x v="411"/>
    <n v="5"/>
    <n v="3.5"/>
    <n v="3"/>
    <x v="11"/>
  </r>
  <r>
    <x v="418"/>
    <s v="03/04/2025"/>
    <x v="5"/>
    <x v="5"/>
    <x v="4"/>
    <x v="4"/>
    <x v="1"/>
    <x v="0"/>
    <x v="412"/>
    <n v="1"/>
    <n v="4.7"/>
    <n v="7"/>
    <x v="2"/>
  </r>
  <r>
    <x v="419"/>
    <s v="28/01/2025"/>
    <x v="10"/>
    <x v="13"/>
    <x v="4"/>
    <x v="4"/>
    <x v="1"/>
    <x v="3"/>
    <x v="413"/>
    <n v="5"/>
    <n v="4.0999999999999996"/>
    <n v="8"/>
    <x v="10"/>
  </r>
  <r>
    <x v="420"/>
    <s v="16/03/2025"/>
    <x v="7"/>
    <x v="4"/>
    <x v="3"/>
    <x v="5"/>
    <x v="3"/>
    <x v="3"/>
    <x v="414"/>
    <n v="7"/>
    <n v="3.8"/>
    <n v="1"/>
    <x v="6"/>
  </r>
  <r>
    <x v="421"/>
    <s v="21/06/2025"/>
    <x v="6"/>
    <x v="6"/>
    <x v="1"/>
    <x v="4"/>
    <x v="3"/>
    <x v="0"/>
    <x v="415"/>
    <n v="5"/>
    <n v="4"/>
    <n v="4"/>
    <x v="9"/>
  </r>
  <r>
    <x v="422"/>
    <s v="06/01/2025"/>
    <x v="15"/>
    <x v="19"/>
    <x v="2"/>
    <x v="4"/>
    <x v="3"/>
    <x v="1"/>
    <x v="416"/>
    <n v="1"/>
    <n v="3.4"/>
    <n v="8"/>
    <x v="10"/>
  </r>
  <r>
    <x v="423"/>
    <s v="13/01/2025"/>
    <x v="9"/>
    <x v="17"/>
    <x v="4"/>
    <x v="5"/>
    <x v="0"/>
    <x v="3"/>
    <x v="417"/>
    <n v="2"/>
    <n v="4.5"/>
    <n v="2"/>
    <x v="10"/>
  </r>
  <r>
    <x v="424"/>
    <s v="26/02/2025"/>
    <x v="16"/>
    <x v="9"/>
    <x v="1"/>
    <x v="1"/>
    <x v="3"/>
    <x v="1"/>
    <x v="418"/>
    <n v="3"/>
    <n v="4"/>
    <n v="5"/>
    <x v="7"/>
  </r>
  <r>
    <x v="425"/>
    <s v="22/05/2025"/>
    <x v="1"/>
    <x v="17"/>
    <x v="4"/>
    <x v="3"/>
    <x v="2"/>
    <x v="3"/>
    <x v="419"/>
    <n v="1"/>
    <n v="4.9000000000000004"/>
    <n v="5"/>
    <x v="0"/>
  </r>
  <r>
    <x v="426"/>
    <s v="02/04/2025"/>
    <x v="17"/>
    <x v="5"/>
    <x v="4"/>
    <x v="1"/>
    <x v="3"/>
    <x v="2"/>
    <x v="420"/>
    <n v="8"/>
    <n v="4.3"/>
    <n v="2"/>
    <x v="2"/>
  </r>
  <r>
    <x v="427"/>
    <s v="06/02/2025"/>
    <x v="5"/>
    <x v="0"/>
    <x v="0"/>
    <x v="2"/>
    <x v="0"/>
    <x v="1"/>
    <x v="421"/>
    <n v="5"/>
    <n v="4.4000000000000004"/>
    <n v="1"/>
    <x v="7"/>
  </r>
  <r>
    <x v="428"/>
    <s v="21/09/2025"/>
    <x v="14"/>
    <x v="3"/>
    <x v="3"/>
    <x v="0"/>
    <x v="3"/>
    <x v="1"/>
    <x v="422"/>
    <n v="8"/>
    <n v="3.6"/>
    <n v="7"/>
    <x v="5"/>
  </r>
  <r>
    <x v="429"/>
    <s v="29/01/2025"/>
    <x v="19"/>
    <x v="12"/>
    <x v="2"/>
    <x v="4"/>
    <x v="2"/>
    <x v="3"/>
    <x v="423"/>
    <n v="2"/>
    <n v="4.5999999999999996"/>
    <n v="5"/>
    <x v="10"/>
  </r>
  <r>
    <x v="430"/>
    <s v="23/12/2025"/>
    <x v="8"/>
    <x v="13"/>
    <x v="4"/>
    <x v="0"/>
    <x v="0"/>
    <x v="2"/>
    <x v="424"/>
    <n v="7"/>
    <n v="4"/>
    <n v="4"/>
    <x v="8"/>
  </r>
  <r>
    <x v="431"/>
    <s v="08/09/2025"/>
    <x v="0"/>
    <x v="9"/>
    <x v="1"/>
    <x v="0"/>
    <x v="3"/>
    <x v="2"/>
    <x v="425"/>
    <n v="7"/>
    <n v="4.9000000000000004"/>
    <n v="8"/>
    <x v="5"/>
  </r>
  <r>
    <x v="432"/>
    <s v="27/07/2025"/>
    <x v="9"/>
    <x v="14"/>
    <x v="2"/>
    <x v="0"/>
    <x v="0"/>
    <x v="3"/>
    <x v="426"/>
    <n v="2"/>
    <n v="4.5"/>
    <n v="4"/>
    <x v="4"/>
  </r>
  <r>
    <x v="433"/>
    <s v="13/11/2025"/>
    <x v="7"/>
    <x v="15"/>
    <x v="0"/>
    <x v="3"/>
    <x v="0"/>
    <x v="2"/>
    <x v="427"/>
    <n v="1"/>
    <n v="3.3"/>
    <n v="5"/>
    <x v="11"/>
  </r>
  <r>
    <x v="434"/>
    <s v="12/09/2025"/>
    <x v="6"/>
    <x v="0"/>
    <x v="0"/>
    <x v="5"/>
    <x v="0"/>
    <x v="1"/>
    <x v="428"/>
    <n v="4"/>
    <n v="3.9"/>
    <n v="2"/>
    <x v="5"/>
  </r>
  <r>
    <x v="435"/>
    <s v="31/10/2025"/>
    <x v="15"/>
    <x v="17"/>
    <x v="4"/>
    <x v="5"/>
    <x v="0"/>
    <x v="3"/>
    <x v="429"/>
    <n v="3"/>
    <n v="4.5999999999999996"/>
    <n v="3"/>
    <x v="1"/>
  </r>
  <r>
    <x v="436"/>
    <s v="10/03/2025"/>
    <x v="1"/>
    <x v="17"/>
    <x v="4"/>
    <x v="0"/>
    <x v="3"/>
    <x v="3"/>
    <x v="430"/>
    <n v="2"/>
    <n v="3.3"/>
    <n v="1"/>
    <x v="6"/>
  </r>
  <r>
    <x v="437"/>
    <s v="16/04/2025"/>
    <x v="4"/>
    <x v="18"/>
    <x v="3"/>
    <x v="1"/>
    <x v="2"/>
    <x v="0"/>
    <x v="431"/>
    <n v="3"/>
    <n v="3.6"/>
    <n v="3"/>
    <x v="2"/>
  </r>
  <r>
    <x v="438"/>
    <s v="18/11/2025"/>
    <x v="4"/>
    <x v="3"/>
    <x v="3"/>
    <x v="2"/>
    <x v="0"/>
    <x v="3"/>
    <x v="432"/>
    <n v="5"/>
    <n v="3.5"/>
    <n v="2"/>
    <x v="11"/>
  </r>
  <r>
    <x v="439"/>
    <s v="28/01/2025"/>
    <x v="2"/>
    <x v="13"/>
    <x v="4"/>
    <x v="1"/>
    <x v="3"/>
    <x v="1"/>
    <x v="433"/>
    <n v="4"/>
    <n v="3.5"/>
    <n v="1"/>
    <x v="10"/>
  </r>
  <r>
    <x v="440"/>
    <s v="09/05/2025"/>
    <x v="1"/>
    <x v="5"/>
    <x v="4"/>
    <x v="0"/>
    <x v="1"/>
    <x v="2"/>
    <x v="434"/>
    <n v="6"/>
    <n v="4.9000000000000004"/>
    <n v="3"/>
    <x v="0"/>
  </r>
  <r>
    <x v="441"/>
    <s v="16/08/2025"/>
    <x v="13"/>
    <x v="10"/>
    <x v="0"/>
    <x v="1"/>
    <x v="1"/>
    <x v="0"/>
    <x v="435"/>
    <n v="6"/>
    <n v="3.8"/>
    <n v="2"/>
    <x v="3"/>
  </r>
  <r>
    <x v="442"/>
    <s v="07/02/2025"/>
    <x v="1"/>
    <x v="18"/>
    <x v="3"/>
    <x v="3"/>
    <x v="3"/>
    <x v="0"/>
    <x v="436"/>
    <n v="8"/>
    <n v="3.6"/>
    <n v="8"/>
    <x v="7"/>
  </r>
  <r>
    <x v="443"/>
    <s v="20/11/2025"/>
    <x v="11"/>
    <x v="18"/>
    <x v="3"/>
    <x v="4"/>
    <x v="2"/>
    <x v="3"/>
    <x v="437"/>
    <n v="6"/>
    <n v="4.4000000000000004"/>
    <n v="1"/>
    <x v="11"/>
  </r>
  <r>
    <x v="444"/>
    <s v="29/03/2025"/>
    <x v="6"/>
    <x v="11"/>
    <x v="3"/>
    <x v="5"/>
    <x v="0"/>
    <x v="2"/>
    <x v="438"/>
    <n v="6"/>
    <n v="4.9000000000000004"/>
    <n v="3"/>
    <x v="6"/>
  </r>
  <r>
    <x v="445"/>
    <s v="21/04/2025"/>
    <x v="6"/>
    <x v="11"/>
    <x v="3"/>
    <x v="4"/>
    <x v="0"/>
    <x v="2"/>
    <x v="439"/>
    <n v="8"/>
    <n v="3.6"/>
    <n v="7"/>
    <x v="2"/>
  </r>
  <r>
    <x v="446"/>
    <s v="21/01/2025"/>
    <x v="17"/>
    <x v="3"/>
    <x v="3"/>
    <x v="3"/>
    <x v="0"/>
    <x v="2"/>
    <x v="440"/>
    <n v="8"/>
    <n v="4.0999999999999996"/>
    <n v="2"/>
    <x v="10"/>
  </r>
  <r>
    <x v="447"/>
    <s v="21/12/2025"/>
    <x v="0"/>
    <x v="1"/>
    <x v="1"/>
    <x v="3"/>
    <x v="3"/>
    <x v="0"/>
    <x v="441"/>
    <n v="7"/>
    <n v="4.4000000000000004"/>
    <n v="2"/>
    <x v="8"/>
  </r>
  <r>
    <x v="448"/>
    <s v="21/08/2025"/>
    <x v="9"/>
    <x v="3"/>
    <x v="3"/>
    <x v="3"/>
    <x v="3"/>
    <x v="2"/>
    <x v="442"/>
    <n v="8"/>
    <n v="4"/>
    <n v="1"/>
    <x v="3"/>
  </r>
  <r>
    <x v="449"/>
    <s v="19/05/2025"/>
    <x v="2"/>
    <x v="12"/>
    <x v="2"/>
    <x v="0"/>
    <x v="1"/>
    <x v="1"/>
    <x v="443"/>
    <n v="4"/>
    <n v="4.0999999999999996"/>
    <n v="6"/>
    <x v="0"/>
  </r>
  <r>
    <x v="450"/>
    <s v="07/07/2025"/>
    <x v="10"/>
    <x v="3"/>
    <x v="3"/>
    <x v="0"/>
    <x v="1"/>
    <x v="0"/>
    <x v="444"/>
    <n v="6"/>
    <n v="5"/>
    <n v="4"/>
    <x v="4"/>
  </r>
  <r>
    <x v="451"/>
    <s v="30/06/2025"/>
    <x v="14"/>
    <x v="13"/>
    <x v="4"/>
    <x v="5"/>
    <x v="2"/>
    <x v="3"/>
    <x v="445"/>
    <n v="5"/>
    <n v="3.9"/>
    <n v="8"/>
    <x v="9"/>
  </r>
  <r>
    <x v="452"/>
    <s v="20/08/2025"/>
    <x v="3"/>
    <x v="6"/>
    <x v="1"/>
    <x v="0"/>
    <x v="2"/>
    <x v="0"/>
    <x v="446"/>
    <n v="6"/>
    <n v="3.3"/>
    <n v="3"/>
    <x v="3"/>
  </r>
  <r>
    <x v="453"/>
    <s v="23/12/2025"/>
    <x v="10"/>
    <x v="14"/>
    <x v="2"/>
    <x v="4"/>
    <x v="1"/>
    <x v="1"/>
    <x v="447"/>
    <n v="3"/>
    <n v="3.2"/>
    <n v="7"/>
    <x v="8"/>
  </r>
  <r>
    <x v="454"/>
    <s v="27/11/2025"/>
    <x v="16"/>
    <x v="11"/>
    <x v="3"/>
    <x v="5"/>
    <x v="3"/>
    <x v="1"/>
    <x v="448"/>
    <n v="1"/>
    <n v="4.7"/>
    <n v="6"/>
    <x v="11"/>
  </r>
  <r>
    <x v="455"/>
    <s v="23/08/2025"/>
    <x v="3"/>
    <x v="11"/>
    <x v="3"/>
    <x v="0"/>
    <x v="0"/>
    <x v="1"/>
    <x v="449"/>
    <n v="5"/>
    <n v="3.6"/>
    <n v="6"/>
    <x v="3"/>
  </r>
  <r>
    <x v="456"/>
    <s v="27/03/2025"/>
    <x v="1"/>
    <x v="12"/>
    <x v="2"/>
    <x v="4"/>
    <x v="2"/>
    <x v="2"/>
    <x v="450"/>
    <n v="3"/>
    <n v="4.7"/>
    <n v="3"/>
    <x v="6"/>
  </r>
  <r>
    <x v="457"/>
    <s v="06/03/2025"/>
    <x v="15"/>
    <x v="19"/>
    <x v="2"/>
    <x v="4"/>
    <x v="3"/>
    <x v="3"/>
    <x v="451"/>
    <n v="8"/>
    <n v="4.5"/>
    <n v="6"/>
    <x v="6"/>
  </r>
  <r>
    <x v="458"/>
    <s v="01/10/2025"/>
    <x v="8"/>
    <x v="9"/>
    <x v="1"/>
    <x v="0"/>
    <x v="3"/>
    <x v="1"/>
    <x v="452"/>
    <n v="5"/>
    <n v="4.9000000000000004"/>
    <n v="6"/>
    <x v="1"/>
  </r>
  <r>
    <x v="459"/>
    <s v="21/10/2025"/>
    <x v="10"/>
    <x v="4"/>
    <x v="3"/>
    <x v="0"/>
    <x v="3"/>
    <x v="2"/>
    <x v="453"/>
    <n v="3"/>
    <n v="4.8"/>
    <n v="3"/>
    <x v="1"/>
  </r>
  <r>
    <x v="460"/>
    <s v="17/08/2025"/>
    <x v="11"/>
    <x v="18"/>
    <x v="3"/>
    <x v="4"/>
    <x v="2"/>
    <x v="2"/>
    <x v="454"/>
    <n v="6"/>
    <n v="3.6"/>
    <n v="4"/>
    <x v="3"/>
  </r>
  <r>
    <x v="461"/>
    <s v="13/12/2025"/>
    <x v="15"/>
    <x v="8"/>
    <x v="1"/>
    <x v="3"/>
    <x v="0"/>
    <x v="3"/>
    <x v="455"/>
    <n v="2"/>
    <n v="4.3"/>
    <n v="1"/>
    <x v="8"/>
  </r>
  <r>
    <x v="462"/>
    <s v="10/07/2025"/>
    <x v="19"/>
    <x v="12"/>
    <x v="2"/>
    <x v="1"/>
    <x v="1"/>
    <x v="3"/>
    <x v="456"/>
    <n v="1"/>
    <n v="4.8"/>
    <n v="2"/>
    <x v="4"/>
  </r>
  <r>
    <x v="463"/>
    <s v="25/03/2025"/>
    <x v="3"/>
    <x v="4"/>
    <x v="3"/>
    <x v="3"/>
    <x v="3"/>
    <x v="2"/>
    <x v="457"/>
    <n v="7"/>
    <n v="3.4"/>
    <n v="4"/>
    <x v="6"/>
  </r>
  <r>
    <x v="464"/>
    <s v="15/02/2025"/>
    <x v="19"/>
    <x v="8"/>
    <x v="1"/>
    <x v="4"/>
    <x v="1"/>
    <x v="1"/>
    <x v="458"/>
    <n v="1"/>
    <n v="4"/>
    <n v="3"/>
    <x v="7"/>
  </r>
  <r>
    <x v="465"/>
    <s v="22/01/2025"/>
    <x v="8"/>
    <x v="8"/>
    <x v="1"/>
    <x v="2"/>
    <x v="3"/>
    <x v="3"/>
    <x v="459"/>
    <n v="5"/>
    <n v="3.6"/>
    <n v="1"/>
    <x v="10"/>
  </r>
  <r>
    <x v="466"/>
    <s v="02/08/2025"/>
    <x v="4"/>
    <x v="20"/>
    <x v="0"/>
    <x v="1"/>
    <x v="3"/>
    <x v="3"/>
    <x v="460"/>
    <n v="3"/>
    <n v="4.0999999999999996"/>
    <n v="2"/>
    <x v="3"/>
  </r>
  <r>
    <x v="467"/>
    <s v="13/05/2025"/>
    <x v="1"/>
    <x v="8"/>
    <x v="1"/>
    <x v="5"/>
    <x v="2"/>
    <x v="0"/>
    <x v="461"/>
    <n v="8"/>
    <n v="3.2"/>
    <n v="5"/>
    <x v="0"/>
  </r>
  <r>
    <x v="468"/>
    <s v="21/12/2025"/>
    <x v="2"/>
    <x v="12"/>
    <x v="2"/>
    <x v="2"/>
    <x v="3"/>
    <x v="2"/>
    <x v="462"/>
    <n v="3"/>
    <n v="4"/>
    <n v="6"/>
    <x v="8"/>
  </r>
  <r>
    <x v="469"/>
    <s v="18/11/2025"/>
    <x v="11"/>
    <x v="9"/>
    <x v="1"/>
    <x v="1"/>
    <x v="3"/>
    <x v="2"/>
    <x v="463"/>
    <n v="3"/>
    <n v="4.7"/>
    <n v="5"/>
    <x v="11"/>
  </r>
  <r>
    <x v="470"/>
    <s v="15/03/2025"/>
    <x v="7"/>
    <x v="6"/>
    <x v="1"/>
    <x v="4"/>
    <x v="0"/>
    <x v="0"/>
    <x v="464"/>
    <n v="1"/>
    <n v="3.9"/>
    <n v="3"/>
    <x v="6"/>
  </r>
  <r>
    <x v="471"/>
    <s v="02/08/2025"/>
    <x v="8"/>
    <x v="17"/>
    <x v="4"/>
    <x v="3"/>
    <x v="3"/>
    <x v="0"/>
    <x v="465"/>
    <n v="8"/>
    <n v="3.8"/>
    <n v="6"/>
    <x v="3"/>
  </r>
  <r>
    <x v="472"/>
    <s v="02/03/2025"/>
    <x v="16"/>
    <x v="14"/>
    <x v="2"/>
    <x v="1"/>
    <x v="2"/>
    <x v="2"/>
    <x v="466"/>
    <n v="4"/>
    <n v="3.6"/>
    <n v="2"/>
    <x v="6"/>
  </r>
  <r>
    <x v="473"/>
    <s v="09/08/2025"/>
    <x v="11"/>
    <x v="15"/>
    <x v="0"/>
    <x v="0"/>
    <x v="2"/>
    <x v="1"/>
    <x v="467"/>
    <n v="1"/>
    <n v="3.3"/>
    <n v="2"/>
    <x v="3"/>
  </r>
  <r>
    <x v="474"/>
    <s v="05/03/2025"/>
    <x v="6"/>
    <x v="0"/>
    <x v="0"/>
    <x v="2"/>
    <x v="3"/>
    <x v="0"/>
    <x v="468"/>
    <n v="4"/>
    <n v="3.4"/>
    <n v="5"/>
    <x v="6"/>
  </r>
  <r>
    <x v="475"/>
    <s v="16/09/2025"/>
    <x v="10"/>
    <x v="9"/>
    <x v="1"/>
    <x v="0"/>
    <x v="2"/>
    <x v="0"/>
    <x v="469"/>
    <n v="2"/>
    <n v="4.9000000000000004"/>
    <n v="3"/>
    <x v="5"/>
  </r>
  <r>
    <x v="476"/>
    <s v="07/07/2025"/>
    <x v="16"/>
    <x v="8"/>
    <x v="1"/>
    <x v="0"/>
    <x v="3"/>
    <x v="2"/>
    <x v="470"/>
    <n v="3"/>
    <n v="4"/>
    <n v="4"/>
    <x v="4"/>
  </r>
  <r>
    <x v="477"/>
    <s v="24/09/2025"/>
    <x v="7"/>
    <x v="3"/>
    <x v="3"/>
    <x v="3"/>
    <x v="3"/>
    <x v="3"/>
    <x v="471"/>
    <n v="3"/>
    <n v="3.3"/>
    <n v="8"/>
    <x v="5"/>
  </r>
  <r>
    <x v="478"/>
    <s v="18/12/2025"/>
    <x v="15"/>
    <x v="6"/>
    <x v="1"/>
    <x v="4"/>
    <x v="2"/>
    <x v="3"/>
    <x v="472"/>
    <n v="8"/>
    <n v="4.7"/>
    <n v="8"/>
    <x v="8"/>
  </r>
  <r>
    <x v="479"/>
    <s v="13/08/2025"/>
    <x v="9"/>
    <x v="15"/>
    <x v="0"/>
    <x v="2"/>
    <x v="0"/>
    <x v="1"/>
    <x v="473"/>
    <n v="2"/>
    <n v="5"/>
    <n v="3"/>
    <x v="3"/>
  </r>
  <r>
    <x v="480"/>
    <s v="04/03/2025"/>
    <x v="15"/>
    <x v="5"/>
    <x v="4"/>
    <x v="3"/>
    <x v="1"/>
    <x v="3"/>
    <x v="474"/>
    <n v="4"/>
    <n v="3.7"/>
    <n v="7"/>
    <x v="6"/>
  </r>
  <r>
    <x v="481"/>
    <s v="17/03/2025"/>
    <x v="0"/>
    <x v="6"/>
    <x v="1"/>
    <x v="0"/>
    <x v="2"/>
    <x v="2"/>
    <x v="475"/>
    <n v="8"/>
    <n v="3.6"/>
    <n v="3"/>
    <x v="6"/>
  </r>
  <r>
    <x v="482"/>
    <s v="02/04/2025"/>
    <x v="12"/>
    <x v="3"/>
    <x v="3"/>
    <x v="3"/>
    <x v="1"/>
    <x v="0"/>
    <x v="176"/>
    <n v="7"/>
    <n v="4.3"/>
    <n v="2"/>
    <x v="2"/>
  </r>
  <r>
    <x v="483"/>
    <s v="09/09/2025"/>
    <x v="16"/>
    <x v="12"/>
    <x v="2"/>
    <x v="0"/>
    <x v="1"/>
    <x v="3"/>
    <x v="476"/>
    <n v="5"/>
    <n v="4.9000000000000004"/>
    <n v="1"/>
    <x v="5"/>
  </r>
  <r>
    <x v="484"/>
    <s v="15/08/2025"/>
    <x v="1"/>
    <x v="12"/>
    <x v="2"/>
    <x v="3"/>
    <x v="1"/>
    <x v="0"/>
    <x v="477"/>
    <n v="8"/>
    <n v="4.7"/>
    <n v="5"/>
    <x v="3"/>
  </r>
  <r>
    <x v="485"/>
    <s v="07/09/2025"/>
    <x v="12"/>
    <x v="12"/>
    <x v="2"/>
    <x v="0"/>
    <x v="1"/>
    <x v="1"/>
    <x v="478"/>
    <n v="2"/>
    <n v="4"/>
    <n v="3"/>
    <x v="5"/>
  </r>
  <r>
    <x v="486"/>
    <s v="12/11/2025"/>
    <x v="15"/>
    <x v="11"/>
    <x v="3"/>
    <x v="1"/>
    <x v="2"/>
    <x v="1"/>
    <x v="352"/>
    <n v="6"/>
    <n v="3.3"/>
    <n v="6"/>
    <x v="11"/>
  </r>
  <r>
    <x v="487"/>
    <s v="08/08/2025"/>
    <x v="3"/>
    <x v="3"/>
    <x v="3"/>
    <x v="5"/>
    <x v="2"/>
    <x v="2"/>
    <x v="479"/>
    <n v="6"/>
    <n v="3.6"/>
    <n v="4"/>
    <x v="3"/>
  </r>
  <r>
    <x v="488"/>
    <s v="22/06/2025"/>
    <x v="6"/>
    <x v="14"/>
    <x v="2"/>
    <x v="5"/>
    <x v="1"/>
    <x v="1"/>
    <x v="480"/>
    <n v="3"/>
    <n v="4.4000000000000004"/>
    <n v="7"/>
    <x v="9"/>
  </r>
  <r>
    <x v="489"/>
    <s v="29/10/2025"/>
    <x v="7"/>
    <x v="15"/>
    <x v="0"/>
    <x v="1"/>
    <x v="0"/>
    <x v="1"/>
    <x v="481"/>
    <n v="1"/>
    <n v="4.2"/>
    <n v="8"/>
    <x v="1"/>
  </r>
  <r>
    <x v="490"/>
    <s v="27/03/2025"/>
    <x v="10"/>
    <x v="4"/>
    <x v="3"/>
    <x v="4"/>
    <x v="3"/>
    <x v="1"/>
    <x v="482"/>
    <n v="5"/>
    <n v="4.7"/>
    <n v="2"/>
    <x v="6"/>
  </r>
  <r>
    <x v="491"/>
    <s v="21/10/2025"/>
    <x v="6"/>
    <x v="20"/>
    <x v="0"/>
    <x v="5"/>
    <x v="1"/>
    <x v="3"/>
    <x v="483"/>
    <n v="7"/>
    <n v="3.8"/>
    <n v="2"/>
    <x v="1"/>
  </r>
  <r>
    <x v="492"/>
    <s v="09/02/2025"/>
    <x v="11"/>
    <x v="13"/>
    <x v="4"/>
    <x v="5"/>
    <x v="1"/>
    <x v="0"/>
    <x v="484"/>
    <n v="5"/>
    <n v="3.6"/>
    <n v="7"/>
    <x v="7"/>
  </r>
  <r>
    <x v="493"/>
    <s v="23/10/2025"/>
    <x v="6"/>
    <x v="10"/>
    <x v="0"/>
    <x v="1"/>
    <x v="2"/>
    <x v="0"/>
    <x v="485"/>
    <n v="8"/>
    <n v="4.7"/>
    <n v="7"/>
    <x v="1"/>
  </r>
  <r>
    <x v="494"/>
    <s v="17/03/2025"/>
    <x v="19"/>
    <x v="12"/>
    <x v="2"/>
    <x v="3"/>
    <x v="3"/>
    <x v="1"/>
    <x v="486"/>
    <n v="4"/>
    <n v="4.7"/>
    <n v="2"/>
    <x v="6"/>
  </r>
  <r>
    <x v="495"/>
    <s v="18/12/2025"/>
    <x v="17"/>
    <x v="13"/>
    <x v="4"/>
    <x v="3"/>
    <x v="1"/>
    <x v="3"/>
    <x v="487"/>
    <n v="4"/>
    <n v="3.2"/>
    <n v="5"/>
    <x v="8"/>
  </r>
  <r>
    <x v="496"/>
    <s v="23/03/2025"/>
    <x v="14"/>
    <x v="10"/>
    <x v="0"/>
    <x v="0"/>
    <x v="2"/>
    <x v="2"/>
    <x v="488"/>
    <n v="5"/>
    <n v="4.2"/>
    <n v="1"/>
    <x v="6"/>
  </r>
  <r>
    <x v="497"/>
    <s v="02/06/2025"/>
    <x v="12"/>
    <x v="19"/>
    <x v="2"/>
    <x v="1"/>
    <x v="3"/>
    <x v="3"/>
    <x v="489"/>
    <n v="2"/>
    <n v="3.6"/>
    <n v="2"/>
    <x v="9"/>
  </r>
  <r>
    <x v="498"/>
    <s v="04/11/2025"/>
    <x v="8"/>
    <x v="10"/>
    <x v="0"/>
    <x v="0"/>
    <x v="0"/>
    <x v="0"/>
    <x v="490"/>
    <n v="2"/>
    <n v="4.9000000000000004"/>
    <n v="4"/>
    <x v="11"/>
  </r>
  <r>
    <x v="499"/>
    <s v="29/07/2025"/>
    <x v="18"/>
    <x v="12"/>
    <x v="2"/>
    <x v="5"/>
    <x v="1"/>
    <x v="3"/>
    <x v="491"/>
    <n v="5"/>
    <n v="4.5"/>
    <n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DBACDA-FF32-4AD8-970E-6A4119DAD2C2}" name="PivotTable17" cacheId="0" dataOnRows="1" applyNumberFormats="0" applyBorderFormats="0" applyFontFormats="0" applyPatternFormats="0" applyAlignmentFormats="0" applyWidthHeightFormats="1" dataCaption="Values" updatedVersion="7" minRefreshableVersion="3" itemPrintTitles="1" createdVersion="7" indent="0" compact="0" compactData="0" gridDropZones="1" multipleFieldFilters="0">
  <location ref="K3:O505" firstHeaderRow="2" firstDataRow="2" firstDataCol="4"/>
  <pivotFields count="13">
    <pivotField axis="axisRow" compact="0" outline="0" showAll="0" defaultSubtota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compact="0" outline="0" showAll="0" defaultSubtotal="0"/>
    <pivotField axis="axisRow" compact="0" outline="0" showAll="0" defaultSubtotal="0">
      <items count="20">
        <item x="4"/>
        <item x="8"/>
        <item x="13"/>
        <item x="5"/>
        <item x="7"/>
        <item x="6"/>
        <item x="1"/>
        <item x="15"/>
        <item x="17"/>
        <item x="10"/>
        <item x="2"/>
        <item x="12"/>
        <item x="11"/>
        <item x="3"/>
        <item x="19"/>
        <item x="0"/>
        <item x="14"/>
        <item x="18"/>
        <item x="16"/>
        <item x="9"/>
      </items>
    </pivotField>
    <pivotField axis="axisRow" compact="0" outline="0" showAll="0" measureFilter="1" defaultSubtotal="0">
      <items count="21">
        <item x="12"/>
        <item x="6"/>
        <item x="5"/>
        <item x="1"/>
        <item x="13"/>
        <item x="20"/>
        <item x="2"/>
        <item x="4"/>
        <item x="8"/>
        <item x="14"/>
        <item x="15"/>
        <item x="16"/>
        <item x="9"/>
        <item x="17"/>
        <item x="10"/>
        <item x="7"/>
        <item x="0"/>
        <item x="3"/>
        <item x="19"/>
        <item x="18"/>
        <item x="11"/>
      </items>
    </pivotField>
    <pivotField axis="axisRow" compact="0" outline="0" showAll="0" defaultSubtotal="0">
      <items count="5">
        <item x="0"/>
        <item x="4"/>
        <item x="2"/>
        <item x="3"/>
        <item x="1"/>
      </items>
    </pivotField>
    <pivotField compact="0" outline="0" showAll="0" defaultSubtotal="0"/>
    <pivotField compact="0" outline="0" showAll="0" defaultSubtotal="0">
      <items count="4">
        <item x="2"/>
        <item x="0"/>
        <item x="3"/>
        <item x="1"/>
      </items>
    </pivotField>
    <pivotField compact="0" outline="0" showAll="0" defaultSubtotal="0">
      <items count="4">
        <item x="2"/>
        <item x="0"/>
        <item x="1"/>
        <item x="3"/>
      </items>
    </pivotField>
    <pivotField dataField="1" compact="0" outline="0" showAll="0" defaultSubtotal="0">
      <items count="492">
        <item x="23"/>
        <item x="80"/>
        <item x="239"/>
        <item x="125"/>
        <item x="412"/>
        <item x="391"/>
        <item x="267"/>
        <item x="467"/>
        <item x="247"/>
        <item x="427"/>
        <item x="401"/>
        <item x="448"/>
        <item x="265"/>
        <item x="481"/>
        <item x="13"/>
        <item x="41"/>
        <item x="280"/>
        <item x="91"/>
        <item x="473"/>
        <item x="88"/>
        <item x="199"/>
        <item x="326"/>
        <item x="197"/>
        <item x="231"/>
        <item x="106"/>
        <item x="51"/>
        <item x="235"/>
        <item x="357"/>
        <item x="429"/>
        <item x="356"/>
        <item x="219"/>
        <item x="140"/>
        <item x="96"/>
        <item x="428"/>
        <item x="10"/>
        <item x="163"/>
        <item x="107"/>
        <item x="419"/>
        <item x="312"/>
        <item x="490"/>
        <item x="180"/>
        <item x="292"/>
        <item x="33"/>
        <item x="78"/>
        <item x="164"/>
        <item x="363"/>
        <item x="417"/>
        <item x="142"/>
        <item x="42"/>
        <item x="413"/>
        <item x="165"/>
        <item x="226"/>
        <item x="74"/>
        <item x="291"/>
        <item x="377"/>
        <item x="290"/>
        <item x="159"/>
        <item x="361"/>
        <item x="55"/>
        <item x="488"/>
        <item x="385"/>
        <item x="355"/>
        <item x="0"/>
        <item x="146"/>
        <item x="216"/>
        <item x="52"/>
        <item x="233"/>
        <item x="171"/>
        <item x="98"/>
        <item x="61"/>
        <item x="108"/>
        <item x="103"/>
        <item x="76"/>
        <item x="371"/>
        <item x="123"/>
        <item x="183"/>
        <item x="65"/>
        <item x="110"/>
        <item x="224"/>
        <item x="433"/>
        <item x="323"/>
        <item x="85"/>
        <item x="314"/>
        <item x="347"/>
        <item x="7"/>
        <item x="172"/>
        <item x="430"/>
        <item x="200"/>
        <item x="293"/>
        <item x="287"/>
        <item x="460"/>
        <item x="207"/>
        <item x="136"/>
        <item x="194"/>
        <item x="305"/>
        <item x="373"/>
        <item x="405"/>
        <item x="376"/>
        <item x="301"/>
        <item x="135"/>
        <item x="24"/>
        <item x="117"/>
        <item x="213"/>
        <item x="286"/>
        <item x="278"/>
        <item x="388"/>
        <item x="410"/>
        <item x="28"/>
        <item x="364"/>
        <item x="258"/>
        <item x="87"/>
        <item x="240"/>
        <item x="349"/>
        <item x="264"/>
        <item x="145"/>
        <item x="453"/>
        <item x="487"/>
        <item x="120"/>
        <item x="209"/>
        <item x="169"/>
        <item x="320"/>
        <item x="86"/>
        <item x="71"/>
        <item x="67"/>
        <item x="260"/>
        <item x="274"/>
        <item x="483"/>
        <item x="211"/>
        <item x="223"/>
        <item x="19"/>
        <item x="406"/>
        <item x="162"/>
        <item x="54"/>
        <item x="32"/>
        <item x="352"/>
        <item x="15"/>
        <item x="21"/>
        <item x="242"/>
        <item x="118"/>
        <item x="5"/>
        <item x="379"/>
        <item x="72"/>
        <item x="465"/>
        <item x="166"/>
        <item x="485"/>
        <item x="195"/>
        <item x="155"/>
        <item x="208"/>
        <item x="468"/>
        <item x="421"/>
        <item x="170"/>
        <item x="297"/>
        <item x="234"/>
        <item x="230"/>
        <item x="161"/>
        <item x="143"/>
        <item x="220"/>
        <item x="75"/>
        <item x="66"/>
        <item x="99"/>
        <item x="318"/>
        <item x="141"/>
        <item x="202"/>
        <item x="188"/>
        <item x="62"/>
        <item x="420"/>
        <item x="259"/>
        <item x="272"/>
        <item x="360"/>
        <item x="34"/>
        <item x="252"/>
        <item x="332"/>
        <item x="435"/>
        <item x="339"/>
        <item x="275"/>
        <item x="479"/>
        <item x="343"/>
        <item x="130"/>
        <item x="324"/>
        <item x="330"/>
        <item x="365"/>
        <item x="139"/>
        <item x="186"/>
        <item x="404"/>
        <item x="341"/>
        <item x="484"/>
        <item x="319"/>
        <item x="218"/>
        <item x="253"/>
        <item x="381"/>
        <item x="152"/>
        <item x="469"/>
        <item x="205"/>
        <item x="398"/>
        <item x="113"/>
        <item x="367"/>
        <item x="77"/>
        <item x="304"/>
        <item x="262"/>
        <item x="82"/>
        <item x="303"/>
        <item x="322"/>
        <item x="399"/>
        <item x="14"/>
        <item x="37"/>
        <item x="317"/>
        <item x="261"/>
        <item x="132"/>
        <item x="464"/>
        <item x="167"/>
        <item x="84"/>
        <item x="93"/>
        <item x="60"/>
        <item x="370"/>
        <item x="474"/>
        <item x="397"/>
        <item x="9"/>
        <item x="29"/>
        <item x="296"/>
        <item x="395"/>
        <item x="12"/>
        <item x="196"/>
        <item x="179"/>
        <item x="201"/>
        <item x="389"/>
        <item x="458"/>
        <item x="445"/>
        <item x="396"/>
        <item x="40"/>
        <item x="422"/>
        <item x="359"/>
        <item x="241"/>
        <item x="225"/>
        <item x="337"/>
        <item x="437"/>
        <item x="449"/>
        <item x="237"/>
        <item x="53"/>
        <item x="18"/>
        <item x="378"/>
        <item x="109"/>
        <item x="251"/>
        <item x="309"/>
        <item x="122"/>
        <item x="307"/>
        <item x="288"/>
        <item x="3"/>
        <item x="331"/>
        <item x="26"/>
        <item x="133"/>
        <item x="178"/>
        <item x="127"/>
        <item x="438"/>
        <item x="97"/>
        <item x="281"/>
        <item x="300"/>
        <item x="329"/>
        <item x="455"/>
        <item x="424"/>
        <item x="311"/>
        <item x="129"/>
        <item x="192"/>
        <item x="210"/>
        <item x="39"/>
        <item x="175"/>
        <item x="434"/>
        <item x="384"/>
        <item x="79"/>
        <item x="315"/>
        <item x="431"/>
        <item x="386"/>
        <item x="111"/>
        <item x="446"/>
        <item x="407"/>
        <item x="147"/>
        <item x="444"/>
        <item x="4"/>
        <item x="68"/>
        <item x="390"/>
        <item x="276"/>
        <item x="306"/>
        <item x="131"/>
        <item x="31"/>
        <item x="221"/>
        <item x="471"/>
        <item x="342"/>
        <item x="452"/>
        <item x="105"/>
        <item x="232"/>
        <item x="255"/>
        <item x="184"/>
        <item x="257"/>
        <item x="191"/>
        <item x="244"/>
        <item x="150"/>
        <item x="149"/>
        <item x="116"/>
        <item x="16"/>
        <item x="246"/>
        <item x="463"/>
        <item x="189"/>
        <item x="190"/>
        <item x="282"/>
        <item x="217"/>
        <item x="173"/>
        <item x="308"/>
        <item x="408"/>
        <item x="154"/>
        <item x="348"/>
        <item x="148"/>
        <item x="336"/>
        <item x="36"/>
        <item x="81"/>
        <item x="470"/>
        <item x="392"/>
        <item x="411"/>
        <item x="254"/>
        <item x="69"/>
        <item x="176"/>
        <item x="45"/>
        <item x="35"/>
        <item x="250"/>
        <item x="334"/>
        <item x="284"/>
        <item x="50"/>
        <item x="30"/>
        <item x="46"/>
        <item x="273"/>
        <item x="270"/>
        <item x="482"/>
        <item x="268"/>
        <item x="372"/>
        <item x="104"/>
        <item x="6"/>
        <item x="214"/>
        <item x="283"/>
        <item x="249"/>
        <item x="387"/>
        <item x="58"/>
        <item x="333"/>
        <item x="8"/>
        <item x="38"/>
        <item x="432"/>
        <item x="345"/>
        <item x="70"/>
        <item x="151"/>
        <item x="414"/>
        <item x="121"/>
        <item x="338"/>
        <item x="157"/>
        <item x="137"/>
        <item x="206"/>
        <item x="462"/>
        <item x="489"/>
        <item x="409"/>
        <item x="124"/>
        <item x="119"/>
        <item x="442"/>
        <item x="350"/>
        <item x="222"/>
        <item x="472"/>
        <item x="321"/>
        <item x="302"/>
        <item x="1"/>
        <item x="215"/>
        <item x="134"/>
        <item x="441"/>
        <item x="245"/>
        <item x="115"/>
        <item x="439"/>
        <item x="418"/>
        <item x="335"/>
        <item x="298"/>
        <item x="454"/>
        <item x="436"/>
        <item x="203"/>
        <item x="415"/>
        <item x="279"/>
        <item x="403"/>
        <item x="277"/>
        <item x="92"/>
        <item x="238"/>
        <item x="271"/>
        <item x="457"/>
        <item x="90"/>
        <item x="47"/>
        <item x="269"/>
        <item x="440"/>
        <item x="126"/>
        <item x="459"/>
        <item x="168"/>
        <item x="402"/>
        <item x="380"/>
        <item x="44"/>
        <item x="89"/>
        <item x="94"/>
        <item x="456"/>
        <item x="394"/>
        <item x="144"/>
        <item x="158"/>
        <item x="383"/>
        <item x="313"/>
        <item x="198"/>
        <item x="95"/>
        <item x="416"/>
        <item x="375"/>
        <item x="20"/>
        <item x="263"/>
        <item x="248"/>
        <item x="344"/>
        <item x="425"/>
        <item x="346"/>
        <item x="102"/>
        <item x="100"/>
        <item x="475"/>
        <item x="73"/>
        <item x="174"/>
        <item x="57"/>
        <item x="227"/>
        <item x="461"/>
        <item x="362"/>
        <item x="153"/>
        <item x="11"/>
        <item x="43"/>
        <item x="49"/>
        <item x="447"/>
        <item x="423"/>
        <item x="393"/>
        <item x="185"/>
        <item x="193"/>
        <item x="236"/>
        <item x="369"/>
        <item x="450"/>
        <item x="128"/>
        <item x="426"/>
        <item x="466"/>
        <item x="480"/>
        <item x="358"/>
        <item x="478"/>
        <item x="325"/>
        <item x="294"/>
        <item x="17"/>
        <item x="243"/>
        <item x="354"/>
        <item x="204"/>
        <item x="64"/>
        <item x="182"/>
        <item x="25"/>
        <item x="256"/>
        <item x="181"/>
        <item x="228"/>
        <item x="112"/>
        <item x="477"/>
        <item x="63"/>
        <item x="382"/>
        <item x="289"/>
        <item x="451"/>
        <item x="27"/>
        <item x="114"/>
        <item x="229"/>
        <item x="366"/>
        <item x="101"/>
        <item x="266"/>
        <item x="486"/>
        <item x="22"/>
        <item x="285"/>
        <item x="83"/>
        <item x="374"/>
        <item x="187"/>
        <item x="310"/>
        <item x="48"/>
        <item x="351"/>
        <item x="299"/>
        <item x="340"/>
        <item x="327"/>
        <item x="368"/>
        <item x="316"/>
        <item x="2"/>
        <item x="212"/>
        <item x="56"/>
        <item x="491"/>
        <item x="443"/>
        <item x="156"/>
        <item x="476"/>
        <item x="353"/>
        <item x="295"/>
        <item x="138"/>
        <item x="328"/>
        <item x="400"/>
        <item x="160"/>
        <item x="177"/>
        <item x="59"/>
      </items>
    </pivotField>
    <pivotField compact="0" outline="0" showAll="0" defaultSubtotal="0"/>
    <pivotField compact="0" outline="0" showAll="0" defaultSubtotal="0"/>
    <pivotField compact="0" outline="0" showAll="0" defaultSubtotal="0"/>
    <pivotField compact="0" outline="0" showAll="0" defaultSubtotal="0">
      <items count="12">
        <item x="10"/>
        <item x="7"/>
        <item x="6"/>
        <item x="2"/>
        <item x="0"/>
        <item x="9"/>
        <item x="4"/>
        <item x="3"/>
        <item x="5"/>
        <item x="1"/>
        <item x="11"/>
        <item x="8"/>
      </items>
    </pivotField>
  </pivotFields>
  <rowFields count="4">
    <field x="0"/>
    <field x="2"/>
    <field x="3"/>
    <field x="4"/>
  </rowFields>
  <rowItems count="501">
    <i>
      <x/>
      <x v="15"/>
      <x v="16"/>
      <x/>
    </i>
    <i>
      <x v="1"/>
      <x v="6"/>
      <x v="3"/>
      <x v="4"/>
    </i>
    <i>
      <x v="2"/>
      <x v="10"/>
      <x v="6"/>
      <x v="2"/>
    </i>
    <i>
      <x v="3"/>
      <x v="13"/>
      <x v="17"/>
      <x v="3"/>
    </i>
    <i>
      <x v="4"/>
      <x/>
      <x v="7"/>
      <x v="3"/>
    </i>
    <i>
      <x v="5"/>
      <x v="3"/>
      <x v="2"/>
      <x v="1"/>
    </i>
    <i>
      <x v="6"/>
      <x v="5"/>
      <x v="1"/>
      <x v="4"/>
    </i>
    <i>
      <x v="7"/>
      <x/>
      <x v="15"/>
      <x v="1"/>
    </i>
    <i>
      <x v="8"/>
      <x v="4"/>
      <x v="8"/>
      <x v="4"/>
    </i>
    <i>
      <x v="9"/>
      <x v="1"/>
      <x v="17"/>
      <x v="3"/>
    </i>
    <i>
      <x v="10"/>
      <x v="19"/>
      <x v="1"/>
      <x v="4"/>
    </i>
    <i>
      <x v="11"/>
      <x v="9"/>
      <x v="12"/>
      <x v="4"/>
    </i>
    <i>
      <x v="12"/>
      <x v="5"/>
      <x v="7"/>
      <x v="3"/>
    </i>
    <i>
      <x v="13"/>
      <x v="9"/>
      <x v="14"/>
      <x/>
    </i>
    <i>
      <x v="14"/>
      <x v="4"/>
      <x v="20"/>
      <x v="3"/>
    </i>
    <i>
      <x v="15"/>
      <x v="19"/>
      <x v="14"/>
      <x/>
    </i>
    <i>
      <x v="16"/>
      <x v="6"/>
      <x v="3"/>
      <x v="4"/>
    </i>
    <i>
      <x v="17"/>
      <x v="5"/>
      <x/>
      <x v="2"/>
    </i>
    <i>
      <x v="18"/>
      <x v="19"/>
      <x v="16"/>
      <x/>
    </i>
    <i>
      <x v="19"/>
      <x v="12"/>
      <x v="17"/>
      <x v="3"/>
    </i>
    <i>
      <x v="20"/>
      <x v="19"/>
      <x/>
      <x v="2"/>
    </i>
    <i>
      <x v="21"/>
      <x v="9"/>
      <x v="4"/>
      <x v="1"/>
    </i>
    <i>
      <x v="22"/>
      <x v="11"/>
      <x v="9"/>
      <x v="2"/>
    </i>
    <i>
      <x v="23"/>
      <x v="9"/>
      <x v="10"/>
      <x/>
    </i>
    <i>
      <x v="24"/>
      <x v="10"/>
      <x v="16"/>
      <x/>
    </i>
    <i>
      <x v="25"/>
      <x v="2"/>
      <x v="6"/>
      <x v="2"/>
    </i>
    <i>
      <x v="26"/>
      <x v="16"/>
      <x v="14"/>
      <x/>
    </i>
    <i>
      <x v="27"/>
      <x v="7"/>
      <x v="11"/>
      <x v="2"/>
    </i>
    <i>
      <x v="28"/>
      <x v="18"/>
      <x v="16"/>
      <x/>
    </i>
    <i>
      <x v="29"/>
      <x v="7"/>
      <x v="12"/>
      <x v="4"/>
    </i>
    <i>
      <x v="30"/>
      <x v="13"/>
      <x v="1"/>
      <x v="4"/>
    </i>
    <i>
      <x v="31"/>
      <x v="18"/>
      <x v="20"/>
      <x v="3"/>
    </i>
    <i>
      <x v="32"/>
      <x v="19"/>
      <x v="20"/>
      <x v="3"/>
    </i>
    <i>
      <x v="33"/>
      <x v="3"/>
      <x v="15"/>
      <x v="1"/>
    </i>
    <i>
      <x v="34"/>
      <x v="8"/>
      <x v="13"/>
      <x v="1"/>
    </i>
    <i>
      <x v="35"/>
      <x v="11"/>
      <x v="20"/>
      <x v="3"/>
    </i>
    <i>
      <x v="36"/>
      <x v="3"/>
      <x v="17"/>
      <x v="3"/>
    </i>
    <i>
      <x v="37"/>
      <x v="5"/>
      <x v="10"/>
      <x/>
    </i>
    <i>
      <x v="38"/>
      <x v="2"/>
      <x v="17"/>
      <x v="3"/>
    </i>
    <i>
      <x v="39"/>
      <x v="5"/>
      <x v="10"/>
      <x/>
    </i>
    <i>
      <x v="40"/>
      <x v="3"/>
      <x v="19"/>
      <x v="3"/>
    </i>
    <i>
      <x v="41"/>
      <x v="15"/>
      <x v="10"/>
      <x/>
    </i>
    <i>
      <x v="42"/>
      <x v="6"/>
      <x v="2"/>
      <x v="1"/>
    </i>
    <i>
      <x v="43"/>
      <x/>
      <x v="18"/>
      <x v="2"/>
    </i>
    <i>
      <x v="44"/>
      <x v="18"/>
      <x v="8"/>
      <x v="4"/>
    </i>
    <i>
      <x v="45"/>
      <x v="17"/>
      <x v="19"/>
      <x v="3"/>
    </i>
    <i>
      <x v="46"/>
      <x v="12"/>
      <x v="19"/>
      <x v="3"/>
    </i>
    <i>
      <x v="47"/>
      <x v="16"/>
      <x v="3"/>
      <x v="4"/>
    </i>
    <i>
      <x v="48"/>
      <x v="7"/>
      <x v="6"/>
      <x v="2"/>
    </i>
    <i>
      <x v="49"/>
      <x v="14"/>
      <x v="11"/>
      <x v="2"/>
    </i>
    <i>
      <x v="50"/>
      <x v="12"/>
      <x v="1"/>
      <x v="4"/>
    </i>
    <i>
      <x v="51"/>
      <x v="12"/>
      <x v="2"/>
      <x v="1"/>
    </i>
    <i>
      <x v="52"/>
      <x v="9"/>
      <x v="20"/>
      <x v="3"/>
    </i>
    <i>
      <x v="53"/>
      <x v="19"/>
      <x v="20"/>
      <x v="3"/>
    </i>
    <i>
      <x v="54"/>
      <x v="13"/>
      <x v="3"/>
      <x v="4"/>
    </i>
    <i>
      <x v="55"/>
      <x v="1"/>
      <x v="4"/>
      <x v="1"/>
    </i>
    <i>
      <x v="56"/>
      <x v="8"/>
      <x v="18"/>
      <x v="2"/>
    </i>
    <i>
      <x v="57"/>
      <x v="5"/>
      <x v="18"/>
      <x v="2"/>
    </i>
    <i>
      <x v="58"/>
      <x v="17"/>
      <x v="8"/>
      <x v="4"/>
    </i>
    <i>
      <x v="59"/>
      <x v="17"/>
      <x/>
      <x v="2"/>
    </i>
    <i>
      <x v="60"/>
      <x v="14"/>
      <x v="8"/>
      <x v="4"/>
    </i>
    <i>
      <x v="61"/>
      <x v="19"/>
      <x v="20"/>
      <x v="3"/>
    </i>
    <i>
      <x v="62"/>
      <x v="3"/>
      <x v="14"/>
      <x/>
    </i>
    <i>
      <x v="63"/>
      <x v="1"/>
      <x/>
      <x v="2"/>
    </i>
    <i>
      <x v="64"/>
      <x v="10"/>
      <x v="18"/>
      <x v="2"/>
    </i>
    <i>
      <x v="65"/>
      <x v="4"/>
      <x v="19"/>
      <x v="3"/>
    </i>
    <i>
      <x v="66"/>
      <x v="17"/>
      <x v="2"/>
      <x v="1"/>
    </i>
    <i>
      <x v="67"/>
      <x v="8"/>
      <x v="17"/>
      <x v="3"/>
    </i>
    <i>
      <x v="68"/>
      <x v="6"/>
      <x v="5"/>
      <x/>
    </i>
    <i>
      <x v="69"/>
      <x v="13"/>
      <x v="12"/>
      <x v="4"/>
    </i>
    <i>
      <x v="70"/>
      <x v="16"/>
      <x v="7"/>
      <x v="3"/>
    </i>
    <i>
      <x v="71"/>
      <x/>
      <x v="1"/>
      <x v="4"/>
    </i>
    <i>
      <x v="72"/>
      <x v="13"/>
      <x v="4"/>
      <x v="1"/>
    </i>
    <i>
      <x v="73"/>
      <x v="11"/>
      <x v="13"/>
      <x v="1"/>
    </i>
    <i>
      <x v="74"/>
      <x v="9"/>
      <x/>
      <x v="2"/>
    </i>
    <i>
      <x v="75"/>
      <x v="4"/>
      <x v="5"/>
      <x/>
    </i>
    <i>
      <x v="76"/>
      <x v="10"/>
      <x v="5"/>
      <x/>
    </i>
    <i>
      <x v="77"/>
      <x v="18"/>
      <x v="16"/>
      <x/>
    </i>
    <i>
      <x v="78"/>
      <x v="4"/>
      <x v="8"/>
      <x v="4"/>
    </i>
    <i>
      <x v="79"/>
      <x v="10"/>
      <x v="10"/>
      <x/>
    </i>
    <i>
      <x v="80"/>
      <x v="12"/>
      <x v="12"/>
      <x v="4"/>
    </i>
    <i>
      <x v="81"/>
      <x v="12"/>
      <x v="13"/>
      <x v="1"/>
    </i>
    <i>
      <x v="82"/>
      <x/>
      <x v="3"/>
      <x v="4"/>
    </i>
    <i>
      <x v="83"/>
      <x/>
      <x v="16"/>
      <x/>
    </i>
    <i>
      <x v="84"/>
      <x v="4"/>
      <x v="18"/>
      <x v="2"/>
    </i>
    <i>
      <x v="85"/>
      <x v="7"/>
      <x v="19"/>
      <x v="3"/>
    </i>
    <i>
      <x v="86"/>
      <x v="4"/>
      <x v="16"/>
      <x/>
    </i>
    <i>
      <x v="87"/>
      <x v="2"/>
      <x v="5"/>
      <x/>
    </i>
    <i>
      <x v="88"/>
      <x v="17"/>
      <x v="5"/>
      <x/>
    </i>
    <i>
      <x v="89"/>
      <x v="17"/>
      <x v="2"/>
      <x v="1"/>
    </i>
    <i>
      <x v="90"/>
      <x v="8"/>
      <x v="18"/>
      <x v="2"/>
    </i>
    <i>
      <x v="91"/>
      <x v="11"/>
      <x v="8"/>
      <x v="4"/>
    </i>
    <i>
      <x v="92"/>
      <x v="17"/>
      <x v="2"/>
      <x v="1"/>
    </i>
    <i>
      <x v="93"/>
      <x v="3"/>
      <x v="19"/>
      <x v="3"/>
    </i>
    <i>
      <x v="94"/>
      <x v="3"/>
      <x v="10"/>
      <x/>
    </i>
    <i>
      <x v="95"/>
      <x v="3"/>
      <x v="8"/>
      <x v="4"/>
    </i>
    <i>
      <x v="96"/>
      <x v="2"/>
      <x v="6"/>
      <x v="2"/>
    </i>
    <i>
      <x v="97"/>
      <x v="5"/>
      <x v="15"/>
      <x v="1"/>
    </i>
    <i>
      <x v="98"/>
      <x v="13"/>
      <x v="2"/>
      <x v="1"/>
    </i>
    <i>
      <x v="99"/>
      <x v="8"/>
      <x v="5"/>
      <x/>
    </i>
    <i>
      <x v="100"/>
      <x v="10"/>
      <x v="8"/>
      <x v="4"/>
    </i>
    <i>
      <x v="101"/>
      <x v="19"/>
      <x v="12"/>
      <x v="4"/>
    </i>
    <i>
      <x v="102"/>
      <x v="1"/>
      <x v="11"/>
      <x v="2"/>
    </i>
    <i>
      <x v="103"/>
      <x v="15"/>
      <x v="8"/>
      <x v="4"/>
    </i>
    <i>
      <x v="104"/>
      <x v="11"/>
      <x v="4"/>
      <x v="1"/>
    </i>
    <i>
      <x v="105"/>
      <x v="18"/>
      <x v="12"/>
      <x v="4"/>
    </i>
    <i>
      <x v="106"/>
      <x v="8"/>
      <x v="1"/>
      <x v="4"/>
    </i>
    <i>
      <x v="107"/>
      <x v="13"/>
      <x v="15"/>
      <x v="1"/>
    </i>
    <i>
      <x v="108"/>
      <x v="2"/>
      <x v="19"/>
      <x v="3"/>
    </i>
    <i>
      <x v="109"/>
      <x v="1"/>
      <x v="13"/>
      <x v="1"/>
    </i>
    <i>
      <x v="110"/>
      <x v="13"/>
      <x v="3"/>
      <x v="4"/>
    </i>
    <i>
      <x v="111"/>
      <x v="1"/>
      <x v="14"/>
      <x/>
    </i>
    <i>
      <x v="112"/>
      <x v="3"/>
      <x v="1"/>
      <x v="4"/>
    </i>
    <i>
      <x v="113"/>
      <x v="1"/>
      <x v="11"/>
      <x v="2"/>
    </i>
    <i>
      <x v="114"/>
      <x v="10"/>
      <x v="2"/>
      <x v="1"/>
    </i>
    <i>
      <x v="115"/>
      <x v="17"/>
      <x v="18"/>
      <x v="2"/>
    </i>
    <i>
      <x v="116"/>
      <x v="19"/>
      <x v="20"/>
      <x v="3"/>
    </i>
    <i>
      <x v="117"/>
      <x/>
      <x v="19"/>
      <x v="3"/>
    </i>
    <i>
      <x v="118"/>
      <x v="19"/>
      <x v="7"/>
      <x v="3"/>
    </i>
    <i>
      <x v="119"/>
      <x v="7"/>
      <x v="12"/>
      <x v="4"/>
    </i>
    <i>
      <x v="120"/>
      <x v="2"/>
      <x v="7"/>
      <x v="3"/>
    </i>
    <i>
      <x v="121"/>
      <x v="14"/>
      <x v="20"/>
      <x v="3"/>
    </i>
    <i>
      <x v="122"/>
      <x v="6"/>
      <x v="19"/>
      <x v="3"/>
    </i>
    <i>
      <x v="123"/>
      <x v="8"/>
      <x v="12"/>
      <x v="4"/>
    </i>
    <i>
      <x v="124"/>
      <x v="19"/>
      <x v="5"/>
      <x/>
    </i>
    <i>
      <x v="125"/>
      <x v="17"/>
      <x v="15"/>
      <x v="1"/>
    </i>
    <i>
      <x v="126"/>
      <x v="11"/>
      <x v="1"/>
      <x v="4"/>
    </i>
    <i>
      <x v="127"/>
      <x v="5"/>
      <x v="4"/>
      <x v="1"/>
    </i>
    <i>
      <x v="128"/>
      <x v="6"/>
      <x v="1"/>
      <x v="4"/>
    </i>
    <i>
      <x v="129"/>
      <x v="17"/>
      <x v="19"/>
      <x v="3"/>
    </i>
    <i>
      <x v="130"/>
      <x v="17"/>
      <x/>
      <x v="2"/>
    </i>
    <i>
      <x v="131"/>
      <x v="2"/>
      <x v="2"/>
      <x v="1"/>
    </i>
    <i>
      <x v="132"/>
      <x v="7"/>
      <x v="5"/>
      <x/>
    </i>
    <i>
      <x v="133"/>
      <x/>
      <x v="17"/>
      <x v="3"/>
    </i>
    <i>
      <x v="134"/>
      <x v="10"/>
      <x v="10"/>
      <x/>
    </i>
    <i>
      <x v="135"/>
      <x v="5"/>
      <x v="20"/>
      <x v="3"/>
    </i>
    <i>
      <x v="136"/>
      <x/>
      <x v="17"/>
      <x v="3"/>
    </i>
    <i>
      <x v="137"/>
      <x v="17"/>
      <x v="10"/>
      <x/>
    </i>
    <i>
      <x v="138"/>
      <x v="11"/>
      <x v="2"/>
      <x v="1"/>
    </i>
    <i>
      <x v="139"/>
      <x v="9"/>
      <x v="7"/>
      <x v="3"/>
    </i>
    <i>
      <x v="140"/>
      <x v="3"/>
      <x v="6"/>
      <x v="2"/>
    </i>
    <i>
      <x v="141"/>
      <x v="9"/>
      <x v="5"/>
      <x/>
    </i>
    <i>
      <x v="142"/>
      <x v="17"/>
      <x v="14"/>
      <x/>
    </i>
    <i>
      <x v="143"/>
      <x v="19"/>
      <x v="13"/>
      <x v="1"/>
    </i>
    <i>
      <x v="144"/>
      <x v="17"/>
      <x v="2"/>
      <x v="1"/>
    </i>
    <i>
      <x v="145"/>
      <x v="15"/>
      <x v="2"/>
      <x v="1"/>
    </i>
    <i>
      <x v="146"/>
      <x v="1"/>
      <x v="12"/>
      <x v="4"/>
    </i>
    <i>
      <x v="147"/>
      <x v="12"/>
      <x v="5"/>
      <x/>
    </i>
    <i>
      <x v="148"/>
      <x v="7"/>
      <x v="16"/>
      <x/>
    </i>
    <i>
      <x v="149"/>
      <x v="2"/>
      <x v="2"/>
      <x v="1"/>
    </i>
    <i>
      <x v="150"/>
      <x v="17"/>
      <x v="1"/>
      <x v="4"/>
    </i>
    <i>
      <x v="151"/>
      <x v="9"/>
      <x v="2"/>
      <x v="1"/>
    </i>
    <i>
      <x v="152"/>
      <x v="19"/>
      <x v="7"/>
      <x v="3"/>
    </i>
    <i>
      <x v="153"/>
      <x v="7"/>
      <x v="19"/>
      <x v="3"/>
    </i>
    <i>
      <x v="154"/>
      <x v="2"/>
      <x v="12"/>
      <x v="4"/>
    </i>
    <i>
      <x v="155"/>
      <x/>
      <x v="6"/>
      <x v="2"/>
    </i>
    <i>
      <x v="156"/>
      <x v="2"/>
      <x v="13"/>
      <x v="1"/>
    </i>
    <i>
      <x v="157"/>
      <x v="18"/>
      <x v="4"/>
      <x v="1"/>
    </i>
    <i>
      <x v="158"/>
      <x v="2"/>
      <x/>
      <x v="2"/>
    </i>
    <i>
      <x v="159"/>
      <x v="19"/>
      <x v="17"/>
      <x v="3"/>
    </i>
    <i>
      <x v="160"/>
      <x v="16"/>
      <x v="12"/>
      <x v="4"/>
    </i>
    <i>
      <x v="161"/>
      <x v="13"/>
      <x v="14"/>
      <x/>
    </i>
    <i>
      <x v="162"/>
      <x v="10"/>
      <x v="11"/>
      <x v="2"/>
    </i>
    <i>
      <x v="163"/>
      <x v="16"/>
      <x v="5"/>
      <x/>
    </i>
    <i>
      <x v="164"/>
      <x v="11"/>
      <x v="20"/>
      <x v="3"/>
    </i>
    <i>
      <x v="165"/>
      <x/>
      <x v="10"/>
      <x/>
    </i>
    <i>
      <x v="166"/>
      <x v="11"/>
      <x v="16"/>
      <x/>
    </i>
    <i>
      <x v="167"/>
      <x v="3"/>
      <x v="16"/>
      <x/>
    </i>
    <i>
      <x v="168"/>
      <x v="10"/>
      <x v="19"/>
      <x v="3"/>
    </i>
    <i>
      <x v="169"/>
      <x v="12"/>
      <x v="10"/>
      <x/>
    </i>
    <i>
      <x v="170"/>
      <x v="6"/>
      <x v="3"/>
      <x v="4"/>
    </i>
    <i>
      <x v="171"/>
      <x v="19"/>
      <x v="1"/>
      <x v="4"/>
    </i>
    <i>
      <x v="172"/>
      <x v="19"/>
      <x v="5"/>
      <x/>
    </i>
    <i>
      <x v="173"/>
      <x v="13"/>
      <x v="16"/>
      <x/>
    </i>
    <i>
      <x v="174"/>
      <x v="19"/>
      <x v="14"/>
      <x/>
    </i>
    <i>
      <x v="175"/>
      <x v="6"/>
      <x v="17"/>
      <x v="3"/>
    </i>
    <i>
      <x v="176"/>
      <x v="7"/>
      <x/>
      <x v="2"/>
    </i>
    <i>
      <x v="177"/>
      <x v="17"/>
      <x v="12"/>
      <x v="4"/>
    </i>
    <i>
      <x v="178"/>
      <x v="13"/>
      <x v="12"/>
      <x v="4"/>
    </i>
    <i>
      <x v="179"/>
      <x v="9"/>
      <x/>
      <x v="2"/>
    </i>
    <i>
      <x v="180"/>
      <x v="18"/>
      <x v="7"/>
      <x v="3"/>
    </i>
    <i>
      <x v="181"/>
      <x v="9"/>
      <x v="8"/>
      <x v="4"/>
    </i>
    <i>
      <x v="182"/>
      <x v="2"/>
      <x v="4"/>
      <x v="1"/>
    </i>
    <i>
      <x v="183"/>
      <x v="4"/>
      <x/>
      <x v="2"/>
    </i>
    <i>
      <x v="184"/>
      <x v="17"/>
      <x v="11"/>
      <x v="2"/>
    </i>
    <i>
      <x v="185"/>
      <x v="9"/>
      <x v="16"/>
      <x/>
    </i>
    <i>
      <x v="186"/>
      <x v="15"/>
      <x v="19"/>
      <x v="3"/>
    </i>
    <i>
      <x v="187"/>
      <x v="16"/>
      <x v="9"/>
      <x v="2"/>
    </i>
    <i>
      <x v="188"/>
      <x/>
      <x v="8"/>
      <x v="4"/>
    </i>
    <i>
      <x v="189"/>
      <x v="5"/>
      <x v="9"/>
      <x v="2"/>
    </i>
    <i>
      <x v="190"/>
      <x v="7"/>
      <x v="19"/>
      <x v="3"/>
    </i>
    <i>
      <x v="191"/>
      <x v="2"/>
      <x v="2"/>
      <x v="1"/>
    </i>
    <i>
      <x v="192"/>
      <x v="9"/>
      <x v="4"/>
      <x v="1"/>
    </i>
    <i>
      <x v="193"/>
      <x v="8"/>
      <x v="12"/>
      <x v="4"/>
    </i>
    <i>
      <x v="194"/>
      <x/>
      <x v="1"/>
      <x v="4"/>
    </i>
    <i>
      <x v="195"/>
      <x v="1"/>
      <x v="11"/>
      <x v="2"/>
    </i>
    <i>
      <x v="196"/>
      <x v="3"/>
      <x v="2"/>
      <x v="1"/>
    </i>
    <i>
      <x v="197"/>
      <x v="9"/>
      <x v="20"/>
      <x v="3"/>
    </i>
    <i>
      <x v="198"/>
      <x v="17"/>
      <x v="2"/>
      <x v="1"/>
    </i>
    <i>
      <x v="199"/>
      <x v="13"/>
      <x v="10"/>
      <x/>
    </i>
    <i>
      <x v="200"/>
      <x v="18"/>
      <x v="11"/>
      <x v="2"/>
    </i>
    <i>
      <x v="201"/>
      <x v="4"/>
      <x v="14"/>
      <x/>
    </i>
    <i>
      <x v="202"/>
      <x v="3"/>
      <x v="14"/>
      <x/>
    </i>
    <i>
      <x v="203"/>
      <x v="14"/>
      <x v="3"/>
      <x v="4"/>
    </i>
    <i>
      <x v="204"/>
      <x v="15"/>
      <x v="10"/>
      <x/>
    </i>
    <i>
      <x v="205"/>
      <x/>
      <x v="12"/>
      <x v="4"/>
    </i>
    <i>
      <x v="206"/>
      <x v="15"/>
      <x v="6"/>
      <x v="2"/>
    </i>
    <i>
      <x v="207"/>
      <x v="12"/>
      <x v="10"/>
      <x/>
    </i>
    <i>
      <x v="208"/>
      <x v="18"/>
      <x v="12"/>
      <x v="4"/>
    </i>
    <i>
      <x v="209"/>
      <x v="6"/>
      <x v="6"/>
      <x v="2"/>
    </i>
    <i>
      <x v="210"/>
      <x v="8"/>
      <x v="16"/>
      <x/>
    </i>
    <i>
      <x v="211"/>
      <x v="10"/>
      <x v="19"/>
      <x v="3"/>
    </i>
    <i>
      <x v="212"/>
      <x v="17"/>
      <x v="7"/>
      <x v="3"/>
    </i>
    <i>
      <x v="213"/>
      <x v="17"/>
      <x v="16"/>
      <x/>
    </i>
    <i>
      <x v="214"/>
      <x v="9"/>
      <x v="6"/>
      <x v="2"/>
    </i>
    <i>
      <x v="215"/>
      <x v="4"/>
      <x v="17"/>
      <x v="3"/>
    </i>
    <i>
      <x v="216"/>
      <x v="8"/>
      <x v="17"/>
      <x v="3"/>
    </i>
    <i>
      <x v="217"/>
      <x v="3"/>
      <x v="12"/>
      <x v="4"/>
    </i>
    <i>
      <x v="218"/>
      <x v="8"/>
      <x v="7"/>
      <x v="3"/>
    </i>
    <i>
      <x v="219"/>
      <x/>
      <x v="1"/>
      <x v="4"/>
    </i>
    <i>
      <x v="220"/>
      <x v="15"/>
      <x v="13"/>
      <x v="1"/>
    </i>
    <i>
      <x v="221"/>
      <x v="7"/>
      <x v="10"/>
      <x/>
    </i>
    <i>
      <x v="222"/>
      <x v="10"/>
      <x v="16"/>
      <x/>
    </i>
    <i>
      <x v="223"/>
      <x v="10"/>
      <x v="17"/>
      <x v="3"/>
    </i>
    <i>
      <x v="224"/>
      <x v="9"/>
      <x v="20"/>
      <x v="3"/>
    </i>
    <i>
      <x v="225"/>
      <x v="12"/>
      <x v="20"/>
      <x v="3"/>
    </i>
    <i>
      <x v="226"/>
      <x v="5"/>
      <x v="12"/>
      <x v="4"/>
    </i>
    <i>
      <x v="227"/>
      <x v="5"/>
      <x v="15"/>
      <x v="1"/>
    </i>
    <i>
      <x v="228"/>
      <x v="17"/>
      <x v="2"/>
      <x v="1"/>
    </i>
    <i>
      <x v="229"/>
      <x v="19"/>
      <x v="6"/>
      <x v="2"/>
    </i>
    <i>
      <x v="230"/>
      <x v="2"/>
      <x v="11"/>
      <x v="2"/>
    </i>
    <i>
      <x v="231"/>
      <x/>
      <x v="11"/>
      <x v="2"/>
    </i>
    <i>
      <x v="232"/>
      <x v="8"/>
      <x v="4"/>
      <x v="1"/>
    </i>
    <i>
      <x v="233"/>
      <x v="18"/>
      <x v="13"/>
      <x v="1"/>
    </i>
    <i>
      <x v="234"/>
      <x v="13"/>
      <x v="8"/>
      <x v="4"/>
    </i>
    <i>
      <x v="235"/>
      <x v="15"/>
      <x v="16"/>
      <x/>
    </i>
    <i>
      <x v="236"/>
      <x v="13"/>
      <x v="13"/>
      <x v="1"/>
    </i>
    <i>
      <x v="237"/>
      <x v="14"/>
      <x v="20"/>
      <x v="3"/>
    </i>
    <i>
      <x v="238"/>
      <x v="19"/>
      <x v="4"/>
      <x v="1"/>
    </i>
    <i>
      <x v="239"/>
      <x v="5"/>
      <x/>
      <x v="2"/>
    </i>
    <i>
      <x v="240"/>
      <x v="9"/>
      <x v="5"/>
      <x/>
    </i>
    <i>
      <x v="241"/>
      <x v="4"/>
      <x v="7"/>
      <x v="3"/>
    </i>
    <i>
      <x v="242"/>
      <x v="17"/>
      <x v="15"/>
      <x v="1"/>
    </i>
    <i>
      <x v="243"/>
      <x v="4"/>
      <x v="20"/>
      <x v="3"/>
    </i>
    <i>
      <x v="244"/>
      <x v="5"/>
      <x v="3"/>
      <x v="4"/>
    </i>
    <i>
      <x v="245"/>
      <x v="16"/>
      <x v="4"/>
      <x v="1"/>
    </i>
    <i>
      <x v="246"/>
      <x v="17"/>
      <x v="11"/>
      <x v="2"/>
    </i>
    <i>
      <x v="247"/>
      <x v="13"/>
      <x v="2"/>
      <x v="1"/>
    </i>
    <i>
      <x v="248"/>
      <x v="14"/>
      <x v="3"/>
      <x v="4"/>
    </i>
    <i>
      <x v="249"/>
      <x v="16"/>
      <x v="8"/>
      <x v="4"/>
    </i>
    <i>
      <x v="250"/>
      <x v="2"/>
      <x v="4"/>
      <x v="1"/>
    </i>
    <i>
      <x v="251"/>
      <x v="2"/>
      <x/>
      <x v="2"/>
    </i>
    <i>
      <x v="252"/>
      <x v="5"/>
      <x v="20"/>
      <x v="3"/>
    </i>
    <i>
      <x v="253"/>
      <x v="12"/>
      <x v="1"/>
      <x v="4"/>
    </i>
    <i>
      <x v="254"/>
      <x v="12"/>
      <x v="15"/>
      <x v="1"/>
    </i>
    <i>
      <x v="255"/>
      <x v="9"/>
      <x v="14"/>
      <x/>
    </i>
    <i>
      <x v="256"/>
      <x v="18"/>
      <x v="19"/>
      <x v="3"/>
    </i>
    <i>
      <x v="257"/>
      <x v="11"/>
      <x v="1"/>
      <x v="4"/>
    </i>
    <i>
      <x v="258"/>
      <x v="19"/>
      <x v="17"/>
      <x v="3"/>
    </i>
    <i>
      <x v="259"/>
      <x v="1"/>
      <x v="9"/>
      <x v="2"/>
    </i>
    <i>
      <x v="260"/>
      <x v="11"/>
      <x v="20"/>
      <x v="3"/>
    </i>
    <i>
      <x v="261"/>
      <x v="19"/>
      <x v="15"/>
      <x v="1"/>
    </i>
    <i>
      <x v="262"/>
      <x v="15"/>
      <x v="7"/>
      <x v="3"/>
    </i>
    <i>
      <x v="263"/>
      <x/>
      <x v="13"/>
      <x v="1"/>
    </i>
    <i>
      <x v="264"/>
      <x v="15"/>
      <x v="16"/>
      <x/>
    </i>
    <i>
      <x v="265"/>
      <x v="16"/>
      <x v="1"/>
      <x v="4"/>
    </i>
    <i>
      <x v="266"/>
      <x v="17"/>
      <x v="12"/>
      <x v="4"/>
    </i>
    <i>
      <x v="267"/>
      <x v="8"/>
      <x v="16"/>
      <x/>
    </i>
    <i>
      <x v="268"/>
      <x v="15"/>
      <x v="16"/>
      <x/>
    </i>
    <i>
      <x v="269"/>
      <x v="12"/>
      <x/>
      <x v="2"/>
    </i>
    <i>
      <x v="270"/>
      <x v="6"/>
      <x v="13"/>
      <x v="1"/>
    </i>
    <i>
      <x v="271"/>
      <x v="17"/>
      <x v="3"/>
      <x v="4"/>
    </i>
    <i>
      <x v="272"/>
      <x v="15"/>
      <x v="3"/>
      <x v="4"/>
    </i>
    <i>
      <x v="273"/>
      <x v="3"/>
      <x v="19"/>
      <x v="3"/>
    </i>
    <i>
      <x v="274"/>
      <x v="18"/>
      <x v="20"/>
      <x v="3"/>
    </i>
    <i>
      <x v="275"/>
      <x v="17"/>
      <x v="1"/>
      <x v="4"/>
    </i>
    <i>
      <x v="276"/>
      <x v="4"/>
      <x v="17"/>
      <x v="3"/>
    </i>
    <i>
      <x v="277"/>
      <x v="17"/>
      <x v="2"/>
      <x v="1"/>
    </i>
    <i>
      <x v="278"/>
      <x v="9"/>
      <x v="3"/>
      <x v="4"/>
    </i>
    <i>
      <x v="279"/>
      <x v="12"/>
      <x v="12"/>
      <x v="4"/>
    </i>
    <i>
      <x v="280"/>
      <x v="14"/>
      <x v="19"/>
      <x v="3"/>
    </i>
    <i>
      <x v="281"/>
      <x v="9"/>
      <x v="15"/>
      <x v="1"/>
    </i>
    <i>
      <x v="282"/>
      <x v="13"/>
      <x v="3"/>
      <x v="4"/>
    </i>
    <i>
      <x v="283"/>
      <x v="9"/>
      <x v="5"/>
      <x/>
    </i>
    <i>
      <x v="284"/>
      <x/>
      <x v="10"/>
      <x/>
    </i>
    <i>
      <x v="285"/>
      <x v="3"/>
      <x v="12"/>
      <x v="4"/>
    </i>
    <i>
      <x v="286"/>
      <x v="10"/>
      <x v="1"/>
      <x v="4"/>
    </i>
    <i>
      <x v="287"/>
      <x v="18"/>
      <x v="1"/>
      <x v="4"/>
    </i>
    <i>
      <x v="288"/>
      <x v="4"/>
      <x v="6"/>
      <x v="2"/>
    </i>
    <i>
      <x v="289"/>
      <x v="11"/>
      <x v="15"/>
      <x v="1"/>
    </i>
    <i>
      <x v="290"/>
      <x v="19"/>
      <x v="5"/>
      <x/>
    </i>
    <i>
      <x v="291"/>
      <x v="19"/>
      <x v="14"/>
      <x/>
    </i>
    <i>
      <x v="292"/>
      <x v="15"/>
      <x v="18"/>
      <x v="2"/>
    </i>
    <i>
      <x v="293"/>
      <x/>
      <x v="3"/>
      <x v="4"/>
    </i>
    <i>
      <x v="294"/>
      <x v="1"/>
      <x v="20"/>
      <x v="3"/>
    </i>
    <i>
      <x v="295"/>
      <x v="14"/>
      <x v="12"/>
      <x v="4"/>
    </i>
    <i>
      <x v="296"/>
      <x v="9"/>
      <x v="15"/>
      <x v="1"/>
    </i>
    <i>
      <x v="297"/>
      <x v="14"/>
      <x v="9"/>
      <x v="2"/>
    </i>
    <i>
      <x v="298"/>
      <x v="6"/>
      <x v="18"/>
      <x v="2"/>
    </i>
    <i>
      <x v="299"/>
      <x v="16"/>
      <x v="2"/>
      <x v="1"/>
    </i>
    <i>
      <x v="300"/>
      <x v="11"/>
      <x v="3"/>
      <x v="4"/>
    </i>
    <i>
      <x v="301"/>
      <x v="1"/>
      <x v="12"/>
      <x v="4"/>
    </i>
    <i>
      <x v="302"/>
      <x v="16"/>
      <x v="18"/>
      <x v="2"/>
    </i>
    <i>
      <x v="303"/>
      <x v="3"/>
      <x v="19"/>
      <x v="3"/>
    </i>
    <i>
      <x v="304"/>
      <x v="5"/>
      <x v="5"/>
      <x/>
    </i>
    <i>
      <x v="305"/>
      <x v="8"/>
      <x v="19"/>
      <x v="3"/>
    </i>
    <i>
      <x v="306"/>
      <x v="17"/>
      <x v="1"/>
      <x v="4"/>
    </i>
    <i>
      <x v="307"/>
      <x v="1"/>
      <x v="20"/>
      <x v="3"/>
    </i>
    <i>
      <x v="308"/>
      <x v="19"/>
      <x v="14"/>
      <x/>
    </i>
    <i>
      <x v="309"/>
      <x v="6"/>
      <x v="19"/>
      <x v="3"/>
    </i>
    <i>
      <x v="310"/>
      <x v="1"/>
      <x v="3"/>
      <x v="4"/>
    </i>
    <i>
      <x v="311"/>
      <x v="11"/>
      <x v="17"/>
      <x v="3"/>
    </i>
    <i>
      <x v="312"/>
      <x v="16"/>
      <x v="8"/>
      <x v="4"/>
    </i>
    <i>
      <x v="313"/>
      <x v="14"/>
      <x v="8"/>
      <x v="4"/>
    </i>
    <i>
      <x v="314"/>
      <x v="3"/>
      <x v="9"/>
      <x v="2"/>
    </i>
    <i>
      <x v="315"/>
      <x v="2"/>
      <x v="4"/>
      <x v="1"/>
    </i>
    <i>
      <x v="316"/>
      <x v="19"/>
      <x v="2"/>
      <x v="1"/>
    </i>
    <i>
      <x v="317"/>
      <x v="6"/>
      <x v="9"/>
      <x v="2"/>
    </i>
    <i>
      <x v="318"/>
      <x v="10"/>
      <x v="14"/>
      <x/>
    </i>
    <i>
      <x v="319"/>
      <x v="19"/>
      <x v="13"/>
      <x v="1"/>
    </i>
    <i>
      <x v="320"/>
      <x v="9"/>
      <x v="11"/>
      <x v="2"/>
    </i>
    <i>
      <x v="321"/>
      <x v="8"/>
      <x v="5"/>
      <x/>
    </i>
    <i>
      <x v="322"/>
      <x v="12"/>
      <x v="17"/>
      <x v="3"/>
    </i>
    <i>
      <x v="323"/>
      <x v="16"/>
      <x v="7"/>
      <x v="3"/>
    </i>
    <i>
      <x v="324"/>
      <x v="19"/>
      <x v="4"/>
      <x v="1"/>
    </i>
    <i>
      <x v="325"/>
      <x v="3"/>
      <x v="3"/>
      <x v="4"/>
    </i>
    <i>
      <x v="326"/>
      <x v="17"/>
      <x v="8"/>
      <x v="4"/>
    </i>
    <i>
      <x v="327"/>
      <x v="12"/>
      <x v="2"/>
      <x v="1"/>
    </i>
    <i>
      <x v="328"/>
      <x v="5"/>
      <x v="2"/>
      <x v="1"/>
    </i>
    <i>
      <x v="329"/>
      <x v="18"/>
      <x v="6"/>
      <x v="2"/>
    </i>
    <i>
      <x v="330"/>
      <x v="4"/>
      <x v="7"/>
      <x v="3"/>
    </i>
    <i>
      <x v="331"/>
      <x v="5"/>
      <x v="11"/>
      <x v="2"/>
    </i>
    <i>
      <x v="332"/>
      <x v="6"/>
      <x v="11"/>
      <x v="2"/>
    </i>
    <i>
      <x v="333"/>
      <x/>
      <x v="8"/>
      <x v="4"/>
    </i>
    <i>
      <x v="334"/>
      <x v="19"/>
      <x v="7"/>
      <x v="3"/>
    </i>
    <i>
      <x v="335"/>
      <x v="4"/>
      <x v="16"/>
      <x/>
    </i>
    <i>
      <x v="336"/>
      <x v="15"/>
      <x v="7"/>
      <x v="3"/>
    </i>
    <i>
      <x v="337"/>
      <x v="5"/>
      <x v="20"/>
      <x v="3"/>
    </i>
    <i>
      <x v="338"/>
      <x v="11"/>
      <x v="19"/>
      <x v="3"/>
    </i>
    <i>
      <x v="339"/>
      <x v="9"/>
      <x v="17"/>
      <x v="3"/>
    </i>
    <i>
      <x v="340"/>
      <x v="11"/>
      <x v="8"/>
      <x v="4"/>
    </i>
    <i>
      <x v="341"/>
      <x v="12"/>
      <x v="1"/>
      <x v="4"/>
    </i>
    <i>
      <x v="342"/>
      <x v="15"/>
      <x v="9"/>
      <x v="2"/>
    </i>
    <i>
      <x v="343"/>
      <x v="17"/>
      <x v="10"/>
      <x/>
    </i>
    <i>
      <x v="344"/>
      <x v="3"/>
      <x/>
      <x v="2"/>
    </i>
    <i>
      <x v="345"/>
      <x v="9"/>
      <x v="2"/>
      <x v="1"/>
    </i>
    <i>
      <x v="346"/>
      <x v="6"/>
      <x v="7"/>
      <x v="3"/>
    </i>
    <i>
      <x v="347"/>
      <x/>
      <x v="13"/>
      <x v="1"/>
    </i>
    <i>
      <x v="348"/>
      <x v="8"/>
      <x v="6"/>
      <x v="2"/>
    </i>
    <i>
      <x v="349"/>
      <x v="14"/>
      <x v="7"/>
      <x v="3"/>
    </i>
    <i>
      <x v="350"/>
      <x v="8"/>
      <x/>
      <x v="2"/>
    </i>
    <i>
      <x v="351"/>
      <x v="9"/>
      <x v="5"/>
      <x/>
    </i>
    <i>
      <x v="352"/>
      <x v="4"/>
      <x v="7"/>
      <x v="3"/>
    </i>
    <i>
      <x v="353"/>
      <x v="15"/>
      <x v="10"/>
      <x/>
    </i>
    <i>
      <x v="354"/>
      <x v="13"/>
      <x v="17"/>
      <x v="3"/>
    </i>
    <i>
      <x v="355"/>
      <x v="9"/>
      <x v="14"/>
      <x/>
    </i>
    <i>
      <x v="356"/>
      <x v="6"/>
      <x v="1"/>
      <x v="4"/>
    </i>
    <i>
      <x v="357"/>
      <x v="3"/>
      <x v="18"/>
      <x v="2"/>
    </i>
    <i>
      <x v="358"/>
      <x v="15"/>
      <x v="20"/>
      <x v="3"/>
    </i>
    <i>
      <x v="359"/>
      <x v="8"/>
      <x v="9"/>
      <x v="2"/>
    </i>
    <i>
      <x v="360"/>
      <x v="19"/>
      <x v="11"/>
      <x v="2"/>
    </i>
    <i>
      <x v="361"/>
      <x v="17"/>
      <x v="2"/>
      <x v="1"/>
    </i>
    <i>
      <x v="362"/>
      <x v="17"/>
      <x v="14"/>
      <x/>
    </i>
    <i>
      <x v="363"/>
      <x v="16"/>
      <x v="10"/>
      <x/>
    </i>
    <i>
      <x v="364"/>
      <x v="5"/>
      <x v="9"/>
      <x v="2"/>
    </i>
    <i>
      <x v="365"/>
      <x v="17"/>
      <x v="5"/>
      <x/>
    </i>
    <i>
      <x v="366"/>
      <x v="1"/>
      <x v="4"/>
      <x v="1"/>
    </i>
    <i>
      <x v="367"/>
      <x v="17"/>
      <x v="14"/>
      <x/>
    </i>
    <i>
      <x v="368"/>
      <x v="12"/>
      <x v="1"/>
      <x v="4"/>
    </i>
    <i>
      <x v="369"/>
      <x v="4"/>
      <x v="4"/>
      <x v="1"/>
    </i>
    <i>
      <x v="370"/>
      <x v="9"/>
      <x v="2"/>
      <x v="1"/>
    </i>
    <i>
      <x v="371"/>
      <x v="2"/>
      <x v="4"/>
      <x v="1"/>
    </i>
    <i>
      <x v="372"/>
      <x v="11"/>
      <x/>
      <x v="2"/>
    </i>
    <i>
      <x v="373"/>
      <x v="5"/>
      <x v="15"/>
      <x v="1"/>
    </i>
    <i>
      <x v="374"/>
      <x v="6"/>
      <x v="18"/>
      <x v="2"/>
    </i>
    <i>
      <x v="375"/>
      <x/>
      <x/>
      <x v="2"/>
    </i>
    <i>
      <x v="376"/>
      <x v="7"/>
      <x v="12"/>
      <x v="4"/>
    </i>
    <i>
      <x v="377"/>
      <x v="14"/>
      <x v="19"/>
      <x v="3"/>
    </i>
    <i>
      <x v="378"/>
      <x v="17"/>
      <x v="20"/>
      <x v="3"/>
    </i>
    <i>
      <x v="379"/>
      <x v="14"/>
      <x v="20"/>
      <x v="3"/>
    </i>
    <i>
      <x v="380"/>
      <x v="8"/>
      <x v="11"/>
      <x v="2"/>
    </i>
    <i>
      <x v="381"/>
      <x v="8"/>
      <x v="12"/>
      <x v="4"/>
    </i>
    <i>
      <x v="382"/>
      <x v="3"/>
      <x v="13"/>
      <x v="1"/>
    </i>
    <i>
      <x v="383"/>
      <x v="13"/>
      <x v="4"/>
      <x v="1"/>
    </i>
    <i>
      <x v="384"/>
      <x v="2"/>
      <x v="15"/>
      <x v="1"/>
    </i>
    <i>
      <x v="385"/>
      <x v="10"/>
      <x v="20"/>
      <x v="3"/>
    </i>
    <i>
      <x v="386"/>
      <x v="6"/>
      <x v="9"/>
      <x v="2"/>
    </i>
    <i>
      <x v="387"/>
      <x v="13"/>
      <x v="7"/>
      <x v="3"/>
    </i>
    <i>
      <x v="388"/>
      <x v="16"/>
      <x v="11"/>
      <x v="2"/>
    </i>
    <i>
      <x v="389"/>
      <x/>
      <x v="1"/>
      <x v="4"/>
    </i>
    <i>
      <x v="390"/>
      <x v="7"/>
      <x v="16"/>
      <x/>
    </i>
    <i>
      <x v="391"/>
      <x v="17"/>
      <x v="4"/>
      <x v="1"/>
    </i>
    <i>
      <x v="392"/>
      <x v="8"/>
      <x v="15"/>
      <x v="1"/>
    </i>
    <i>
      <x v="393"/>
      <x v="7"/>
      <x v="17"/>
      <x v="3"/>
    </i>
    <i>
      <x v="394"/>
      <x v="17"/>
      <x v="5"/>
      <x/>
    </i>
    <i>
      <x v="395"/>
      <x v="7"/>
      <x v="17"/>
      <x v="3"/>
    </i>
    <i>
      <x v="396"/>
      <x v="4"/>
      <x v="17"/>
      <x v="3"/>
    </i>
    <i>
      <x v="397"/>
      <x v="4"/>
      <x v="10"/>
      <x/>
    </i>
    <i>
      <x v="398"/>
      <x v="4"/>
      <x v="1"/>
      <x v="4"/>
    </i>
    <i>
      <x v="399"/>
      <x v="5"/>
      <x v="9"/>
      <x v="2"/>
    </i>
    <i>
      <x v="400"/>
      <x v="10"/>
      <x v="18"/>
      <x v="2"/>
    </i>
    <i>
      <x v="401"/>
      <x v="5"/>
      <x v="2"/>
      <x v="1"/>
    </i>
    <i>
      <x v="402"/>
      <x v="3"/>
      <x v="10"/>
      <x/>
    </i>
    <i>
      <x v="403"/>
      <x v="7"/>
      <x v="20"/>
      <x v="3"/>
    </i>
    <i>
      <x v="404"/>
      <x v="9"/>
      <x v="17"/>
      <x v="3"/>
    </i>
    <i>
      <x v="405"/>
      <x v="5"/>
      <x v="5"/>
      <x/>
    </i>
    <i>
      <x v="406"/>
      <x v="17"/>
      <x v="18"/>
      <x v="2"/>
    </i>
    <i>
      <x v="407"/>
      <x v="14"/>
      <x v="15"/>
      <x v="1"/>
    </i>
    <i>
      <x v="408"/>
      <x v="10"/>
      <x v="1"/>
      <x v="4"/>
    </i>
    <i>
      <x v="409"/>
      <x v="3"/>
      <x v="1"/>
      <x v="4"/>
    </i>
    <i>
      <x v="410"/>
      <x v="1"/>
      <x v="2"/>
      <x v="1"/>
    </i>
    <i>
      <x v="411"/>
      <x/>
      <x v="2"/>
      <x v="1"/>
    </i>
    <i>
      <x v="412"/>
      <x v="11"/>
      <x v="8"/>
      <x v="4"/>
    </i>
    <i>
      <x v="413"/>
      <x v="1"/>
      <x v="16"/>
      <x/>
    </i>
    <i>
      <x v="414"/>
      <x/>
      <x v="3"/>
      <x v="4"/>
    </i>
    <i>
      <x v="415"/>
      <x/>
      <x v="20"/>
      <x v="3"/>
    </i>
    <i>
      <x v="416"/>
      <x v="1"/>
      <x v="10"/>
      <x/>
    </i>
    <i>
      <x v="417"/>
      <x v="8"/>
      <x v="6"/>
      <x v="2"/>
    </i>
    <i>
      <x v="418"/>
      <x v="3"/>
      <x v="2"/>
      <x v="1"/>
    </i>
    <i>
      <x v="419"/>
      <x v="9"/>
      <x v="4"/>
      <x v="1"/>
    </i>
    <i>
      <x v="420"/>
      <x v="4"/>
      <x v="7"/>
      <x v="3"/>
    </i>
    <i>
      <x v="421"/>
      <x v="5"/>
      <x v="1"/>
      <x v="4"/>
    </i>
    <i>
      <x v="422"/>
      <x v="7"/>
      <x v="18"/>
      <x v="2"/>
    </i>
    <i>
      <x v="423"/>
      <x v="19"/>
      <x v="13"/>
      <x v="1"/>
    </i>
    <i>
      <x v="424"/>
      <x v="18"/>
      <x v="12"/>
      <x v="4"/>
    </i>
    <i>
      <x v="425"/>
      <x v="6"/>
      <x v="13"/>
      <x v="1"/>
    </i>
    <i>
      <x v="426"/>
      <x v="8"/>
      <x v="2"/>
      <x v="1"/>
    </i>
    <i>
      <x v="427"/>
      <x v="3"/>
      <x v="16"/>
      <x/>
    </i>
    <i>
      <x v="428"/>
      <x v="16"/>
      <x v="17"/>
      <x v="3"/>
    </i>
    <i>
      <x v="429"/>
      <x v="14"/>
      <x/>
      <x v="2"/>
    </i>
    <i>
      <x v="430"/>
      <x v="1"/>
      <x v="4"/>
      <x v="1"/>
    </i>
    <i>
      <x v="431"/>
      <x v="15"/>
      <x v="12"/>
      <x v="4"/>
    </i>
    <i>
      <x v="432"/>
      <x v="19"/>
      <x v="9"/>
      <x v="2"/>
    </i>
    <i>
      <x v="433"/>
      <x v="4"/>
      <x v="10"/>
      <x/>
    </i>
    <i>
      <x v="434"/>
      <x v="5"/>
      <x v="16"/>
      <x/>
    </i>
    <i>
      <x v="435"/>
      <x v="7"/>
      <x v="13"/>
      <x v="1"/>
    </i>
    <i>
      <x v="436"/>
      <x v="6"/>
      <x v="13"/>
      <x v="1"/>
    </i>
    <i>
      <x v="437"/>
      <x/>
      <x v="19"/>
      <x v="3"/>
    </i>
    <i>
      <x v="438"/>
      <x/>
      <x v="17"/>
      <x v="3"/>
    </i>
    <i>
      <x v="439"/>
      <x v="10"/>
      <x v="4"/>
      <x v="1"/>
    </i>
    <i>
      <x v="440"/>
      <x v="6"/>
      <x v="2"/>
      <x v="1"/>
    </i>
    <i>
      <x v="441"/>
      <x v="2"/>
      <x v="14"/>
      <x/>
    </i>
    <i>
      <x v="442"/>
      <x v="6"/>
      <x v="19"/>
      <x v="3"/>
    </i>
    <i>
      <x v="443"/>
      <x v="12"/>
      <x v="19"/>
      <x v="3"/>
    </i>
    <i>
      <x v="444"/>
      <x v="5"/>
      <x v="20"/>
      <x v="3"/>
    </i>
    <i>
      <x v="445"/>
      <x v="5"/>
      <x v="20"/>
      <x v="3"/>
    </i>
    <i>
      <x v="446"/>
      <x v="8"/>
      <x v="17"/>
      <x v="3"/>
    </i>
    <i>
      <x v="447"/>
      <x v="15"/>
      <x v="3"/>
      <x v="4"/>
    </i>
    <i>
      <x v="448"/>
      <x v="19"/>
      <x v="17"/>
      <x v="3"/>
    </i>
    <i>
      <x v="449"/>
      <x v="10"/>
      <x/>
      <x v="2"/>
    </i>
    <i>
      <x v="450"/>
      <x v="9"/>
      <x v="17"/>
      <x v="3"/>
    </i>
    <i>
      <x v="451"/>
      <x v="16"/>
      <x v="4"/>
      <x v="1"/>
    </i>
    <i>
      <x v="452"/>
      <x v="13"/>
      <x v="1"/>
      <x v="4"/>
    </i>
    <i>
      <x v="453"/>
      <x v="9"/>
      <x v="9"/>
      <x v="2"/>
    </i>
    <i>
      <x v="454"/>
      <x v="18"/>
      <x v="20"/>
      <x v="3"/>
    </i>
    <i>
      <x v="455"/>
      <x v="13"/>
      <x v="20"/>
      <x v="3"/>
    </i>
    <i>
      <x v="456"/>
      <x v="6"/>
      <x/>
      <x v="2"/>
    </i>
    <i>
      <x v="457"/>
      <x v="7"/>
      <x v="18"/>
      <x v="2"/>
    </i>
    <i>
      <x v="458"/>
      <x v="1"/>
      <x v="12"/>
      <x v="4"/>
    </i>
    <i>
      <x v="459"/>
      <x v="9"/>
      <x v="7"/>
      <x v="3"/>
    </i>
    <i>
      <x v="460"/>
      <x v="12"/>
      <x v="19"/>
      <x v="3"/>
    </i>
    <i>
      <x v="461"/>
      <x v="7"/>
      <x v="8"/>
      <x v="4"/>
    </i>
    <i>
      <x v="462"/>
      <x v="14"/>
      <x/>
      <x v="2"/>
    </i>
    <i>
      <x v="463"/>
      <x v="13"/>
      <x v="7"/>
      <x v="3"/>
    </i>
    <i>
      <x v="464"/>
      <x v="14"/>
      <x v="8"/>
      <x v="4"/>
    </i>
    <i>
      <x v="465"/>
      <x v="1"/>
      <x v="8"/>
      <x v="4"/>
    </i>
    <i>
      <x v="466"/>
      <x/>
      <x v="5"/>
      <x/>
    </i>
    <i>
      <x v="467"/>
      <x v="6"/>
      <x v="8"/>
      <x v="4"/>
    </i>
    <i>
      <x v="468"/>
      <x v="10"/>
      <x/>
      <x v="2"/>
    </i>
    <i>
      <x v="469"/>
      <x v="12"/>
      <x v="12"/>
      <x v="4"/>
    </i>
    <i>
      <x v="470"/>
      <x v="4"/>
      <x v="1"/>
      <x v="4"/>
    </i>
    <i>
      <x v="471"/>
      <x v="1"/>
      <x v="13"/>
      <x v="1"/>
    </i>
    <i>
      <x v="472"/>
      <x v="18"/>
      <x v="9"/>
      <x v="2"/>
    </i>
    <i>
      <x v="473"/>
      <x v="12"/>
      <x v="10"/>
      <x/>
    </i>
    <i>
      <x v="474"/>
      <x v="5"/>
      <x v="16"/>
      <x/>
    </i>
    <i>
      <x v="475"/>
      <x v="9"/>
      <x v="12"/>
      <x v="4"/>
    </i>
    <i>
      <x v="476"/>
      <x v="18"/>
      <x v="8"/>
      <x v="4"/>
    </i>
    <i>
      <x v="477"/>
      <x v="4"/>
      <x v="17"/>
      <x v="3"/>
    </i>
    <i>
      <x v="478"/>
      <x v="7"/>
      <x v="1"/>
      <x v="4"/>
    </i>
    <i>
      <x v="479"/>
      <x v="19"/>
      <x v="10"/>
      <x/>
    </i>
    <i>
      <x v="480"/>
      <x v="7"/>
      <x v="2"/>
      <x v="1"/>
    </i>
    <i>
      <x v="481"/>
      <x v="15"/>
      <x v="1"/>
      <x v="4"/>
    </i>
    <i>
      <x v="482"/>
      <x v="11"/>
      <x v="17"/>
      <x v="3"/>
    </i>
    <i>
      <x v="483"/>
      <x v="18"/>
      <x/>
      <x v="2"/>
    </i>
    <i>
      <x v="484"/>
      <x v="6"/>
      <x/>
      <x v="2"/>
    </i>
    <i>
      <x v="485"/>
      <x v="11"/>
      <x/>
      <x v="2"/>
    </i>
    <i>
      <x v="486"/>
      <x v="7"/>
      <x v="20"/>
      <x v="3"/>
    </i>
    <i>
      <x v="487"/>
      <x v="13"/>
      <x v="17"/>
      <x v="3"/>
    </i>
    <i>
      <x v="488"/>
      <x v="5"/>
      <x v="9"/>
      <x v="2"/>
    </i>
    <i>
      <x v="489"/>
      <x v="4"/>
      <x v="10"/>
      <x/>
    </i>
    <i>
      <x v="490"/>
      <x v="9"/>
      <x v="7"/>
      <x v="3"/>
    </i>
    <i>
      <x v="491"/>
      <x v="5"/>
      <x v="5"/>
      <x/>
    </i>
    <i>
      <x v="492"/>
      <x v="12"/>
      <x v="4"/>
      <x v="1"/>
    </i>
    <i>
      <x v="493"/>
      <x v="5"/>
      <x v="14"/>
      <x/>
    </i>
    <i>
      <x v="494"/>
      <x v="14"/>
      <x/>
      <x v="2"/>
    </i>
    <i>
      <x v="495"/>
      <x v="8"/>
      <x v="4"/>
      <x v="1"/>
    </i>
    <i>
      <x v="496"/>
      <x v="16"/>
      <x v="14"/>
      <x/>
    </i>
    <i>
      <x v="497"/>
      <x v="11"/>
      <x v="18"/>
      <x v="2"/>
    </i>
    <i>
      <x v="498"/>
      <x v="1"/>
      <x v="14"/>
      <x/>
    </i>
    <i>
      <x v="499"/>
      <x v="17"/>
      <x/>
      <x v="2"/>
    </i>
    <i t="grand">
      <x/>
    </i>
  </rowItems>
  <colItems count="1">
    <i/>
  </colItems>
  <dataFields count="1">
    <dataField name="Sum of Sales" fld="8" baseField="0" baseItem="0"/>
  </dataFields>
  <formats count="1">
    <format dxfId="257">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3E7765-DEC3-4B13-B11A-F936CE66CBEB}" name="PivotTable12"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3:B8" firstHeaderRow="1" firstDataRow="1" firstDataCol="1"/>
  <pivotFields count="13">
    <pivotField dataField="1" showAll="0"/>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dataField="1" showAll="0"/>
    <pivotField dataField="1" showAll="0"/>
    <pivotField dataField="1" showAll="0"/>
    <pivotField showAll="0">
      <items count="13">
        <item x="10"/>
        <item x="7"/>
        <item x="6"/>
        <item x="2"/>
        <item x="0"/>
        <item x="9"/>
        <item x="4"/>
        <item x="3"/>
        <item x="5"/>
        <item x="1"/>
        <item x="11"/>
        <item x="8"/>
        <item t="default"/>
      </items>
    </pivotField>
  </pivotFields>
  <rowFields count="1">
    <field x="-2"/>
  </rowFields>
  <rowItems count="5">
    <i>
      <x/>
    </i>
    <i i="1">
      <x v="1"/>
    </i>
    <i i="2">
      <x v="2"/>
    </i>
    <i i="3">
      <x v="3"/>
    </i>
    <i i="4">
      <x v="4"/>
    </i>
  </rowItems>
  <colItems count="1">
    <i/>
  </colItems>
  <dataFields count="5">
    <dataField name="Count of Order_ID" fld="0" subtotal="count" baseField="0" baseItem="0"/>
    <dataField name="Average of Rating" fld="10" subtotal="average" baseField="0" baseItem="34865372"/>
    <dataField name="Sum of Sales" fld="8" baseField="0" baseItem="0"/>
    <dataField name="Average of Quantity" fld="9" subtotal="average" baseField="0" baseItem="262601"/>
    <dataField name="Sum of Delivery" fld="11" baseField="0" baseItem="0"/>
  </dataFields>
  <formats count="4">
    <format dxfId="261">
      <pivotArea collapsedLevelsAreSubtotals="1" fieldPosition="0">
        <references count="1">
          <reference field="4294967294" count="1">
            <x v="1"/>
          </reference>
        </references>
      </pivotArea>
    </format>
    <format dxfId="260">
      <pivotArea collapsedLevelsAreSubtotals="1" fieldPosition="0">
        <references count="1">
          <reference field="4294967294" count="1">
            <x v="2"/>
          </reference>
        </references>
      </pivotArea>
    </format>
    <format dxfId="259">
      <pivotArea outline="0" fieldPosition="0">
        <references count="1">
          <reference field="4294967294" count="1">
            <x v="4"/>
          </reference>
        </references>
      </pivotArea>
    </format>
    <format dxfId="258">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BDDA11-5E75-4A4C-8DE1-8D5721CBAA8E}" name="PivotTable16"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I3:J9" firstHeaderRow="1" firstDataRow="1" firstDataCol="1"/>
  <pivotFields count="13">
    <pivotField showAll="0"/>
    <pivotField showAll="0"/>
    <pivotField showAll="0"/>
    <pivotField axis="axisRow"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3"/>
  </rowFields>
  <rowItems count="6">
    <i>
      <x/>
    </i>
    <i>
      <x v="6"/>
    </i>
    <i>
      <x v="9"/>
    </i>
    <i>
      <x v="11"/>
    </i>
    <i>
      <x v="18"/>
    </i>
    <i t="grand">
      <x/>
    </i>
  </rowItems>
  <colItems count="1">
    <i/>
  </colItems>
  <dataFields count="1">
    <dataField name="Sum of Sales" fld="8" baseField="0" baseItem="0"/>
  </dataFields>
  <formats count="1">
    <format dxfId="262">
      <pivotArea collapsedLevelsAreSubtotals="1"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7992B8-6AC2-4E28-89B2-6752CCA7E050}" name="PivotTable15"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G3:H8" firstHeaderRow="1" firstDataRow="1" firstDataCol="1"/>
  <pivotFields count="13">
    <pivotField showAll="0"/>
    <pivotField showAll="0"/>
    <pivotField showAll="0"/>
    <pivotField showAll="0"/>
    <pivotField showAll="0">
      <items count="6">
        <item x="0"/>
        <item x="4"/>
        <item x="2"/>
        <item x="3"/>
        <item x="1"/>
        <item t="default"/>
      </items>
    </pivotField>
    <pivotField showAll="0"/>
    <pivotField showAll="0">
      <items count="5">
        <item x="2"/>
        <item x="0"/>
        <item x="3"/>
        <item x="1"/>
        <item t="default"/>
      </items>
    </pivotField>
    <pivotField axis="axisRow"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7"/>
  </rowFields>
  <rowItems count="5">
    <i>
      <x/>
    </i>
    <i>
      <x v="1"/>
    </i>
    <i>
      <x v="2"/>
    </i>
    <i>
      <x v="3"/>
    </i>
    <i t="grand">
      <x/>
    </i>
  </rowItems>
  <colItems count="1">
    <i/>
  </colItems>
  <dataFields count="1">
    <dataField name="Sum of Sales" fld="8" baseField="0" baseItem="0"/>
  </dataFields>
  <formats count="2">
    <format dxfId="264">
      <pivotArea collapsedLevelsAreSubtotals="1" fieldPosition="0">
        <references count="1">
          <reference field="4294967294" count="1">
            <x v="0"/>
          </reference>
        </references>
      </pivotArea>
    </format>
    <format dxfId="263">
      <pivotArea dataOnly="0" fieldPosition="0">
        <references count="1">
          <reference field="7"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5D285C-8C56-4C56-819D-965CAE1746BD}" name="PivotTable14"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E3:F9" firstHeaderRow="1" firstDataRow="1" firstDataCol="1"/>
  <pivotFields count="13">
    <pivotField showAll="0"/>
    <pivotField showAll="0"/>
    <pivotField showAll="0"/>
    <pivotField showAll="0"/>
    <pivotField axis="axisRow" showAll="0" sortType="a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4"/>
  </rowFields>
  <rowItems count="6">
    <i>
      <x/>
    </i>
    <i>
      <x v="1"/>
    </i>
    <i>
      <x v="3"/>
    </i>
    <i>
      <x v="4"/>
    </i>
    <i>
      <x v="2"/>
    </i>
    <i t="grand">
      <x/>
    </i>
  </rowItems>
  <colItems count="1">
    <i/>
  </colItems>
  <dataFields count="1">
    <dataField name="Sum of Sales" fld="8" baseField="0" baseItem="0"/>
  </dataFields>
  <formats count="1">
    <format dxfId="265">
      <pivotArea collapsedLevelsAreSubtotals="1"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96D26A-D856-4125-B2ED-07AD5BC0453D}" name="PivotTable13"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C3:D16" firstHeaderRow="1" firstDataRow="1" firstDataCol="1"/>
  <pivotFields count="13">
    <pivotField showAll="0"/>
    <pivotField showAll="0"/>
    <pivotField showAll="0"/>
    <pivotField showAll="0"/>
    <pivotField showAll="0"/>
    <pivotField showAll="0"/>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axis="axisRow" showAll="0">
      <items count="13">
        <item x="10"/>
        <item x="7"/>
        <item x="6"/>
        <item x="2"/>
        <item x="0"/>
        <item x="9"/>
        <item x="4"/>
        <item x="3"/>
        <item x="5"/>
        <item x="1"/>
        <item x="11"/>
        <item x="8"/>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Sales" fld="8" baseField="0" baseItem="0"/>
  </dataFields>
  <formats count="1">
    <format dxfId="266">
      <pivotArea collapsedLevelsAreSubtotals="1"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ECDA63-7AF9-47B5-9C1D-D021A2C8148C}" name="PivotTable18"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V3:W10" firstHeaderRow="1" firstDataRow="1" firstDataCol="1"/>
  <pivotFields count="13">
    <pivotField showAll="0"/>
    <pivotField showAll="0"/>
    <pivotField showAll="0"/>
    <pivotField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axis="axisRow" showAll="0">
      <items count="7">
        <item x="4"/>
        <item x="1"/>
        <item x="0"/>
        <item x="3"/>
        <item x="5"/>
        <item x="2"/>
        <item t="default"/>
      </items>
    </pivotField>
    <pivotField showAll="0">
      <items count="5">
        <item x="2"/>
        <item x="0"/>
        <item x="3"/>
        <item x="1"/>
        <item t="default"/>
      </items>
    </pivotField>
    <pivotField showAll="0">
      <items count="5">
        <item x="2"/>
        <item x="0"/>
        <item x="1"/>
        <item x="3"/>
        <item t="default"/>
      </items>
    </pivotField>
    <pivotField dataField="1" showAll="0"/>
    <pivotField showAll="0"/>
    <pivotField showAll="0"/>
    <pivotField showAll="0"/>
    <pivotField showAll="0">
      <items count="13">
        <item x="10"/>
        <item x="7"/>
        <item x="6"/>
        <item x="2"/>
        <item x="0"/>
        <item x="9"/>
        <item x="4"/>
        <item x="3"/>
        <item x="5"/>
        <item x="1"/>
        <item x="11"/>
        <item x="8"/>
        <item t="default"/>
      </items>
    </pivotField>
  </pivotFields>
  <rowFields count="1">
    <field x="5"/>
  </rowFields>
  <rowItems count="7">
    <i>
      <x/>
    </i>
    <i>
      <x v="1"/>
    </i>
    <i>
      <x v="2"/>
    </i>
    <i>
      <x v="3"/>
    </i>
    <i>
      <x v="4"/>
    </i>
    <i>
      <x v="5"/>
    </i>
    <i t="grand">
      <x/>
    </i>
  </rowItems>
  <colItems count="1">
    <i/>
  </colItems>
  <dataFields count="1">
    <dataField name="Sum of Sales" fld="8" baseField="0" baseItem="0"/>
  </dataFields>
  <formats count="1">
    <format dxfId="267">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A80A22C3-E859-421E-ADCC-FA9E8247AAF8}" sourceName="Seller">
  <pivotTables>
    <pivotTable tabId="7" name="PivotTable17"/>
    <pivotTable tabId="7" name="PivotTable12"/>
    <pivotTable tabId="7" name="PivotTable13"/>
    <pivotTable tabId="7" name="PivotTable14"/>
    <pivotTable tabId="7" name="PivotTable15"/>
    <pivotTable tabId="7" name="PivotTable16"/>
    <pivotTable tabId="7" name="PivotTable18"/>
  </pivotTables>
  <data>
    <tabular pivotCacheId="189972845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BC7FEA8-DB28-4385-9E33-1F7BA8152AF4}" sourceName="Payment_Method">
  <pivotTables>
    <pivotTable tabId="7" name="PivotTable17"/>
    <pivotTable tabId="7" name="PivotTable12"/>
    <pivotTable tabId="7" name="PivotTable13"/>
    <pivotTable tabId="7" name="PivotTable14"/>
    <pivotTable tabId="7" name="PivotTable15"/>
    <pivotTable tabId="7" name="PivotTable16"/>
    <pivotTable tabId="7" name="PivotTable18"/>
  </pivotTables>
  <data>
    <tabular pivotCacheId="189972845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67F6D88-040F-4013-800B-BD0C2D295E1F}" sourceName="Sales">
  <pivotTables>
    <pivotTable tabId="7" name="PivotTable17"/>
  </pivotTables>
  <data>
    <tabular pivotCacheId="1899728452">
      <items count="492">
        <i x="23" s="1"/>
        <i x="80" s="1"/>
        <i x="239" s="1"/>
        <i x="125" s="1"/>
        <i x="412" s="1"/>
        <i x="391" s="1"/>
        <i x="267" s="1"/>
        <i x="467" s="1"/>
        <i x="247" s="1"/>
        <i x="427" s="1"/>
        <i x="401" s="1"/>
        <i x="448" s="1"/>
        <i x="265" s="1"/>
        <i x="481" s="1"/>
        <i x="13" s="1"/>
        <i x="41" s="1"/>
        <i x="280" s="1"/>
        <i x="91" s="1"/>
        <i x="473" s="1"/>
        <i x="88" s="1"/>
        <i x="199" s="1"/>
        <i x="326" s="1"/>
        <i x="197" s="1"/>
        <i x="231" s="1"/>
        <i x="106" s="1"/>
        <i x="51" s="1"/>
        <i x="235" s="1"/>
        <i x="357" s="1"/>
        <i x="429" s="1"/>
        <i x="356" s="1"/>
        <i x="219" s="1"/>
        <i x="140" s="1"/>
        <i x="96" s="1"/>
        <i x="428" s="1"/>
        <i x="10" s="1"/>
        <i x="163" s="1"/>
        <i x="107" s="1"/>
        <i x="419" s="1"/>
        <i x="312" s="1"/>
        <i x="490" s="1"/>
        <i x="180" s="1"/>
        <i x="292" s="1"/>
        <i x="33" s="1"/>
        <i x="78" s="1"/>
        <i x="164" s="1"/>
        <i x="363" s="1"/>
        <i x="417" s="1"/>
        <i x="142" s="1"/>
        <i x="42" s="1"/>
        <i x="413" s="1"/>
        <i x="165" s="1"/>
        <i x="226" s="1"/>
        <i x="74" s="1"/>
        <i x="291" s="1"/>
        <i x="377" s="1"/>
        <i x="290" s="1"/>
        <i x="159" s="1"/>
        <i x="361" s="1"/>
        <i x="55" s="1"/>
        <i x="488" s="1"/>
        <i x="385" s="1"/>
        <i x="355" s="1"/>
        <i x="0" s="1"/>
        <i x="146" s="1"/>
        <i x="216" s="1"/>
        <i x="52" s="1"/>
        <i x="233" s="1"/>
        <i x="171" s="1"/>
        <i x="98" s="1"/>
        <i x="61" s="1"/>
        <i x="108" s="1"/>
        <i x="103" s="1"/>
        <i x="76" s="1"/>
        <i x="371" s="1"/>
        <i x="123" s="1"/>
        <i x="183" s="1"/>
        <i x="65" s="1"/>
        <i x="110" s="1"/>
        <i x="224" s="1"/>
        <i x="433" s="1"/>
        <i x="323" s="1"/>
        <i x="85" s="1"/>
        <i x="314" s="1"/>
        <i x="347" s="1"/>
        <i x="7" s="1"/>
        <i x="172" s="1"/>
        <i x="430" s="1"/>
        <i x="200" s="1"/>
        <i x="293" s="1"/>
        <i x="287" s="1"/>
        <i x="460" s="1"/>
        <i x="207" s="1"/>
        <i x="136" s="1"/>
        <i x="194" s="1"/>
        <i x="305" s="1"/>
        <i x="373" s="1"/>
        <i x="405" s="1"/>
        <i x="376" s="1"/>
        <i x="301" s="1"/>
        <i x="135" s="1"/>
        <i x="24" s="1"/>
        <i x="117" s="1"/>
        <i x="213" s="1"/>
        <i x="286" s="1"/>
        <i x="278" s="1"/>
        <i x="388" s="1"/>
        <i x="410" s="1"/>
        <i x="28" s="1"/>
        <i x="364" s="1"/>
        <i x="258" s="1"/>
        <i x="87" s="1"/>
        <i x="240" s="1"/>
        <i x="349" s="1"/>
        <i x="264" s="1"/>
        <i x="145" s="1"/>
        <i x="453" s="1"/>
        <i x="487" s="1"/>
        <i x="120" s="1"/>
        <i x="209" s="1"/>
        <i x="169" s="1"/>
        <i x="320" s="1"/>
        <i x="86" s="1"/>
        <i x="71" s="1"/>
        <i x="67" s="1"/>
        <i x="260" s="1"/>
        <i x="274" s="1"/>
        <i x="483" s="1"/>
        <i x="211" s="1"/>
        <i x="223" s="1"/>
        <i x="19" s="1"/>
        <i x="406" s="1"/>
        <i x="162" s="1"/>
        <i x="54" s="1"/>
        <i x="32" s="1"/>
        <i x="352" s="1"/>
        <i x="15" s="1"/>
        <i x="21" s="1"/>
        <i x="242" s="1"/>
        <i x="118" s="1"/>
        <i x="5" s="1"/>
        <i x="379" s="1"/>
        <i x="72" s="1"/>
        <i x="465" s="1"/>
        <i x="166" s="1"/>
        <i x="485" s="1"/>
        <i x="195" s="1"/>
        <i x="155" s="1"/>
        <i x="208" s="1"/>
        <i x="468" s="1"/>
        <i x="421" s="1"/>
        <i x="170" s="1"/>
        <i x="297" s="1"/>
        <i x="234" s="1"/>
        <i x="230" s="1"/>
        <i x="161" s="1"/>
        <i x="143" s="1"/>
        <i x="220" s="1"/>
        <i x="75" s="1"/>
        <i x="66" s="1"/>
        <i x="99" s="1"/>
        <i x="318" s="1"/>
        <i x="141" s="1"/>
        <i x="202" s="1"/>
        <i x="188" s="1"/>
        <i x="62" s="1"/>
        <i x="420" s="1"/>
        <i x="259" s="1"/>
        <i x="272" s="1"/>
        <i x="360" s="1"/>
        <i x="34" s="1"/>
        <i x="252" s="1"/>
        <i x="332" s="1"/>
        <i x="435" s="1"/>
        <i x="339" s="1"/>
        <i x="275" s="1"/>
        <i x="479" s="1"/>
        <i x="343" s="1"/>
        <i x="130" s="1"/>
        <i x="324" s="1"/>
        <i x="330" s="1"/>
        <i x="365" s="1"/>
        <i x="139" s="1"/>
        <i x="186" s="1"/>
        <i x="404" s="1"/>
        <i x="341" s="1"/>
        <i x="484" s="1"/>
        <i x="319" s="1"/>
        <i x="218" s="1"/>
        <i x="253" s="1"/>
        <i x="381" s="1"/>
        <i x="152" s="1"/>
        <i x="469" s="1"/>
        <i x="205" s="1"/>
        <i x="398" s="1"/>
        <i x="113" s="1"/>
        <i x="367" s="1"/>
        <i x="77" s="1"/>
        <i x="304" s="1"/>
        <i x="262" s="1"/>
        <i x="82" s="1"/>
        <i x="303" s="1"/>
        <i x="322" s="1"/>
        <i x="399" s="1"/>
        <i x="14" s="1"/>
        <i x="37" s="1"/>
        <i x="317" s="1"/>
        <i x="261" s="1"/>
        <i x="132" s="1"/>
        <i x="464" s="1"/>
        <i x="167" s="1"/>
        <i x="84" s="1"/>
        <i x="93" s="1"/>
        <i x="60" s="1"/>
        <i x="370" s="1"/>
        <i x="474" s="1"/>
        <i x="397" s="1"/>
        <i x="9" s="1"/>
        <i x="29" s="1"/>
        <i x="296" s="1"/>
        <i x="395" s="1"/>
        <i x="12" s="1"/>
        <i x="196" s="1"/>
        <i x="179" s="1"/>
        <i x="201" s="1"/>
        <i x="389" s="1"/>
        <i x="458" s="1"/>
        <i x="445" s="1"/>
        <i x="396" s="1"/>
        <i x="40" s="1"/>
        <i x="422" s="1"/>
        <i x="359" s="1"/>
        <i x="241" s="1"/>
        <i x="225" s="1"/>
        <i x="337" s="1"/>
        <i x="437" s="1"/>
        <i x="449" s="1"/>
        <i x="237" s="1"/>
        <i x="53" s="1"/>
        <i x="18" s="1"/>
        <i x="378" s="1"/>
        <i x="109" s="1"/>
        <i x="251" s="1"/>
        <i x="309" s="1"/>
        <i x="122" s="1"/>
        <i x="307" s="1"/>
        <i x="288" s="1"/>
        <i x="3" s="1"/>
        <i x="331" s="1"/>
        <i x="26" s="1"/>
        <i x="133" s="1"/>
        <i x="178" s="1"/>
        <i x="127" s="1"/>
        <i x="438" s="1"/>
        <i x="97" s="1"/>
        <i x="281" s="1"/>
        <i x="300" s="1"/>
        <i x="329" s="1"/>
        <i x="455" s="1"/>
        <i x="424" s="1"/>
        <i x="311" s="1"/>
        <i x="129" s="1"/>
        <i x="192" s="1"/>
        <i x="210" s="1"/>
        <i x="39" s="1"/>
        <i x="175" s="1"/>
        <i x="434" s="1"/>
        <i x="384" s="1"/>
        <i x="79" s="1"/>
        <i x="315" s="1"/>
        <i x="431" s="1"/>
        <i x="386" s="1"/>
        <i x="111" s="1"/>
        <i x="446" s="1"/>
        <i x="407" s="1"/>
        <i x="147" s="1"/>
        <i x="444" s="1"/>
        <i x="4" s="1"/>
        <i x="68" s="1"/>
        <i x="390" s="1"/>
        <i x="276" s="1"/>
        <i x="306" s="1"/>
        <i x="131" s="1"/>
        <i x="31" s="1"/>
        <i x="221" s="1"/>
        <i x="471" s="1"/>
        <i x="342" s="1"/>
        <i x="452" s="1"/>
        <i x="105" s="1"/>
        <i x="232" s="1"/>
        <i x="255" s="1"/>
        <i x="184" s="1"/>
        <i x="257" s="1"/>
        <i x="191" s="1"/>
        <i x="244" s="1"/>
        <i x="150" s="1"/>
        <i x="149" s="1"/>
        <i x="116" s="1"/>
        <i x="16" s="1"/>
        <i x="246" s="1"/>
        <i x="463" s="1"/>
        <i x="189" s="1"/>
        <i x="190" s="1"/>
        <i x="282" s="1"/>
        <i x="217" s="1"/>
        <i x="173" s="1"/>
        <i x="308" s="1"/>
        <i x="408" s="1"/>
        <i x="154" s="1"/>
        <i x="348" s="1"/>
        <i x="148" s="1"/>
        <i x="336" s="1"/>
        <i x="36" s="1"/>
        <i x="81" s="1"/>
        <i x="470" s="1"/>
        <i x="392" s="1"/>
        <i x="411" s="1"/>
        <i x="254" s="1"/>
        <i x="69" s="1"/>
        <i x="176" s="1"/>
        <i x="45" s="1"/>
        <i x="35" s="1"/>
        <i x="250" s="1"/>
        <i x="334" s="1"/>
        <i x="284" s="1"/>
        <i x="50" s="1"/>
        <i x="30" s="1"/>
        <i x="46" s="1"/>
        <i x="273" s="1"/>
        <i x="270" s="1"/>
        <i x="482" s="1"/>
        <i x="268" s="1"/>
        <i x="372" s="1"/>
        <i x="104" s="1"/>
        <i x="6" s="1"/>
        <i x="214" s="1"/>
        <i x="283" s="1"/>
        <i x="249" s="1"/>
        <i x="387" s="1"/>
        <i x="58" s="1"/>
        <i x="333" s="1"/>
        <i x="8" s="1"/>
        <i x="38" s="1"/>
        <i x="432" s="1"/>
        <i x="345" s="1"/>
        <i x="70" s="1"/>
        <i x="151" s="1"/>
        <i x="414" s="1"/>
        <i x="121" s="1"/>
        <i x="338" s="1"/>
        <i x="157" s="1"/>
        <i x="137" s="1"/>
        <i x="206" s="1"/>
        <i x="462" s="1"/>
        <i x="489" s="1"/>
        <i x="409" s="1"/>
        <i x="124" s="1"/>
        <i x="119" s="1"/>
        <i x="442" s="1"/>
        <i x="350" s="1"/>
        <i x="222" s="1"/>
        <i x="472" s="1"/>
        <i x="321" s="1"/>
        <i x="302" s="1"/>
        <i x="1" s="1"/>
        <i x="215" s="1"/>
        <i x="134" s="1"/>
        <i x="441" s="1"/>
        <i x="245" s="1"/>
        <i x="115" s="1"/>
        <i x="439" s="1"/>
        <i x="418" s="1"/>
        <i x="335" s="1"/>
        <i x="298" s="1"/>
        <i x="454" s="1"/>
        <i x="436" s="1"/>
        <i x="203" s="1"/>
        <i x="415" s="1"/>
        <i x="279" s="1"/>
        <i x="403" s="1"/>
        <i x="277" s="1"/>
        <i x="92" s="1"/>
        <i x="238" s="1"/>
        <i x="271" s="1"/>
        <i x="457" s="1"/>
        <i x="90" s="1"/>
        <i x="47" s="1"/>
        <i x="269" s="1"/>
        <i x="440" s="1"/>
        <i x="126" s="1"/>
        <i x="459" s="1"/>
        <i x="168" s="1"/>
        <i x="402" s="1"/>
        <i x="380" s="1"/>
        <i x="44" s="1"/>
        <i x="89" s="1"/>
        <i x="94" s="1"/>
        <i x="456" s="1"/>
        <i x="394" s="1"/>
        <i x="144" s="1"/>
        <i x="158" s="1"/>
        <i x="383" s="1"/>
        <i x="313" s="1"/>
        <i x="198" s="1"/>
        <i x="95" s="1"/>
        <i x="416" s="1"/>
        <i x="375" s="1"/>
        <i x="20" s="1"/>
        <i x="263" s="1"/>
        <i x="248" s="1"/>
        <i x="344" s="1"/>
        <i x="425" s="1"/>
        <i x="346" s="1"/>
        <i x="102" s="1"/>
        <i x="100" s="1"/>
        <i x="475" s="1"/>
        <i x="73" s="1"/>
        <i x="174" s="1"/>
        <i x="57" s="1"/>
        <i x="227" s="1"/>
        <i x="461" s="1"/>
        <i x="362" s="1"/>
        <i x="153" s="1"/>
        <i x="11" s="1"/>
        <i x="43" s="1"/>
        <i x="49" s="1"/>
        <i x="447" s="1"/>
        <i x="423" s="1"/>
        <i x="393" s="1"/>
        <i x="185" s="1"/>
        <i x="193" s="1"/>
        <i x="236" s="1"/>
        <i x="369" s="1"/>
        <i x="450" s="1"/>
        <i x="128" s="1"/>
        <i x="426" s="1"/>
        <i x="466" s="1"/>
        <i x="480" s="1"/>
        <i x="358" s="1"/>
        <i x="478" s="1"/>
        <i x="325" s="1"/>
        <i x="294" s="1"/>
        <i x="17" s="1"/>
        <i x="243" s="1"/>
        <i x="354" s="1"/>
        <i x="204" s="1"/>
        <i x="64" s="1"/>
        <i x="182" s="1"/>
        <i x="25" s="1"/>
        <i x="256" s="1"/>
        <i x="181" s="1"/>
        <i x="228" s="1"/>
        <i x="112" s="1"/>
        <i x="477" s="1"/>
        <i x="63" s="1"/>
        <i x="382" s="1"/>
        <i x="289" s="1"/>
        <i x="451" s="1"/>
        <i x="27" s="1"/>
        <i x="114" s="1"/>
        <i x="229" s="1"/>
        <i x="366" s="1"/>
        <i x="101" s="1"/>
        <i x="266" s="1"/>
        <i x="486" s="1"/>
        <i x="22" s="1"/>
        <i x="285" s="1"/>
        <i x="83" s="1"/>
        <i x="374" s="1"/>
        <i x="187" s="1"/>
        <i x="310" s="1"/>
        <i x="48" s="1"/>
        <i x="351" s="1"/>
        <i x="299" s="1"/>
        <i x="340" s="1"/>
        <i x="327" s="1"/>
        <i x="368" s="1"/>
        <i x="316" s="1"/>
        <i x="2" s="1"/>
        <i x="212" s="1"/>
        <i x="56" s="1"/>
        <i x="491" s="1"/>
        <i x="443" s="1"/>
        <i x="156" s="1"/>
        <i x="476" s="1"/>
        <i x="353" s="1"/>
        <i x="295" s="1"/>
        <i x="138" s="1"/>
        <i x="328" s="1"/>
        <i x="400" s="1"/>
        <i x="160" s="1"/>
        <i x="177" s="1"/>
        <i x="5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38ABFD6-4B99-4FC0-9686-4B4DCC232434}" sourceName="Month">
  <pivotTables>
    <pivotTable tabId="7" name="PivotTable17"/>
    <pivotTable tabId="7" name="PivotTable12"/>
    <pivotTable tabId="7" name="PivotTable13"/>
    <pivotTable tabId="7" name="PivotTable14"/>
    <pivotTable tabId="7" name="PivotTable15"/>
    <pivotTable tabId="7" name="PivotTable16"/>
    <pivotTable tabId="7" name="PivotTable18"/>
  </pivotTables>
  <data>
    <tabular pivotCacheId="1899728452">
      <items count="12">
        <i x="10" s="1"/>
        <i x="7" s="1"/>
        <i x="6" s="1"/>
        <i x="2" s="1"/>
        <i x="0" s="1"/>
        <i x="9" s="1"/>
        <i x="4" s="1"/>
        <i x="3" s="1"/>
        <i x="5" s="1"/>
        <i x="1"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63C2A623-49E3-4A3E-92D8-BA175205CF54}" cache="Slicer_Seller" caption="Seller" rowHeight="241300"/>
  <slicer name="Payment_Method" xr10:uid="{5C445043-DDAA-4EBB-AABE-70A632ED0169}" cache="Slicer_Payment_Method" caption="Payment_Method" rowHeight="241300"/>
  <slicer name="Sales" xr10:uid="{77106D44-40C6-476A-B6F8-96198D030699}" cache="Slicer_Sales" caption="Sales" startItem="8" rowHeight="241300"/>
  <slicer name="Month" xr10:uid="{8835B09B-A4E2-4BD9-BEBD-C5DBC5DDF8C5}"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1" xr10:uid="{EFBF4E2B-A78C-4B7B-BDB9-6D7DAA67906E}" cache="Slicer_Seller" caption="Seller" style="SlicerStyleOther1" rowHeight="180000"/>
  <slicer name="Payment_Method 1" xr10:uid="{1381B570-BF08-4FC8-90AA-5FE1FCE0710A}" cache="Slicer_Payment_Method" caption="Payment_Method" style="SlicerStyleOther1" rowHeight="180000"/>
  <slicer name="Month 1" xr10:uid="{64909291-4C2E-4006-A9C0-BC5275874CB6}" cache="Slicer_Month" caption="Month" columnCount="2" style="SlicerStyleOther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4C12AA-F022-4A28-893E-8372F24070C0}" name="Table3" displayName="Table3" ref="A1:M501" totalsRowShown="0">
  <autoFilter ref="A1:M501" xr:uid="{A54C12AA-F022-4A28-893E-8372F24070C0}"/>
  <tableColumns count="13">
    <tableColumn id="1" xr3:uid="{8C420140-C631-4E26-8E23-5F01DFBB08D4}" name="Column1"/>
    <tableColumn id="2" xr3:uid="{A9E0659C-6A03-4EF1-B915-BB0A45CE52A5}" name="Date"/>
    <tableColumn id="3" xr3:uid="{192B9F89-9E10-418B-BC75-EEEEDA949984}" name="Customer_Name"/>
    <tableColumn id="4" xr3:uid="{A02000D4-9730-4AFF-8566-DB7BFD5EAD8F}" name="Product"/>
    <tableColumn id="5" xr3:uid="{CE73AAEE-9035-43DD-AB06-A508B8C252A8}" name="Category"/>
    <tableColumn id="6" xr3:uid="{648C1A95-98F3-484C-972C-CD76C89E1253}" name="State"/>
    <tableColumn id="7" xr3:uid="{F51A7D13-3D99-4E95-98B3-E25722C70333}" name="Seller"/>
    <tableColumn id="8" xr3:uid="{F1118EB2-E7C7-48E4-B243-96785E8F1EF8}" name="Payment_Method"/>
    <tableColumn id="9" xr3:uid="{2CA55635-AE8B-44DD-B2EE-58C199AB5A5B}" name="Sales"/>
    <tableColumn id="10" xr3:uid="{F2B3C360-CBF3-49F3-855A-28FEEC94DD5F}" name="Quantity"/>
    <tableColumn id="11" xr3:uid="{77EB2A1E-0983-4663-BB81-2D0427709AF7}" name="Rating"/>
    <tableColumn id="12" xr3:uid="{3105B5B7-8554-48EC-B539-0C30238887B8}" name="Delivery"/>
    <tableColumn id="13" xr3:uid="{8C44E694-E168-4256-B8FB-9FBAC007A5B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80D071-5323-4C66-BA22-00F82BF17697}" name="Table2" displayName="Table2" ref="A1:M501" totalsRowShown="0">
  <autoFilter ref="A1:M501" xr:uid="{2480D071-5323-4C66-BA22-00F82BF17697}"/>
  <tableColumns count="13">
    <tableColumn id="1" xr3:uid="{4619DDE8-E45E-40F5-9CDE-83F49B529241}" name="Order_ID"/>
    <tableColumn id="2" xr3:uid="{135ACC30-3CAE-4A4B-B5CB-59E5AD460DD3}" name="Date"/>
    <tableColumn id="3" xr3:uid="{CAE3042A-9808-464A-BC2A-9A5D7F3F309C}" name="Customer_Name"/>
    <tableColumn id="4" xr3:uid="{FB80DA67-A5C8-4B90-A1EF-46E18B030293}" name="Product"/>
    <tableColumn id="5" xr3:uid="{5E81FBA1-71A1-4F40-BD7A-FBF54904BE1A}" name="Category"/>
    <tableColumn id="6" xr3:uid="{2F226CA1-19E8-4AB1-A5D6-BBE87C5DB869}" name="State"/>
    <tableColumn id="7" xr3:uid="{F8102C39-594C-41AC-9686-541DDD1537E7}" name="Seller"/>
    <tableColumn id="8" xr3:uid="{0A8097C8-83EB-4DE0-A641-267C0F4EFC44}" name="Payment_Method"/>
    <tableColumn id="9" xr3:uid="{081A5C4B-54A1-4BBF-A014-0EBBF3191B2D}" name="Sales"/>
    <tableColumn id="10" xr3:uid="{C9E67D15-90D1-48D9-862A-8498B31085A7}" name="Quantity"/>
    <tableColumn id="11" xr3:uid="{AE998671-AC4D-4B9A-AFF2-4F542F21E837}" name="Rating"/>
    <tableColumn id="12" xr3:uid="{49941C77-18ED-46A5-8B32-A178909E271D}" name="Delivery"/>
    <tableColumn id="13" xr3:uid="{7F51789C-1BBD-40A2-89EF-B0174FE343E5}" name="Month"/>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B868-8CEE-46B0-81B2-9BDF4192B76F}">
  <dimension ref="A1:M501"/>
  <sheetViews>
    <sheetView workbookViewId="0">
      <selection activeCell="H5" sqref="H5"/>
    </sheetView>
  </sheetViews>
  <sheetFormatPr defaultRowHeight="14.25"/>
  <cols>
    <col min="1" max="1" width="10.875" customWidth="1"/>
    <col min="3" max="3" width="17.375" customWidth="1"/>
    <col min="4" max="4" width="9.75" customWidth="1"/>
    <col min="5" max="5" width="10.75" customWidth="1"/>
    <col min="8" max="8" width="18" customWidth="1"/>
    <col min="10" max="10" width="10.125" customWidth="1"/>
    <col min="12" max="12" width="10.125" customWidth="1"/>
  </cols>
  <sheetData>
    <row r="1" spans="1:13">
      <c r="A1" t="s">
        <v>878</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v>3028</v>
      </c>
      <c r="J2">
        <v>4</v>
      </c>
      <c r="K2">
        <v>4.3</v>
      </c>
      <c r="L2">
        <v>1</v>
      </c>
      <c r="M2" t="s">
        <v>21</v>
      </c>
    </row>
    <row r="3" spans="1:13">
      <c r="A3" t="s">
        <v>22</v>
      </c>
      <c r="B3" t="s">
        <v>23</v>
      </c>
      <c r="C3" t="s">
        <v>24</v>
      </c>
      <c r="D3" t="s">
        <v>25</v>
      </c>
      <c r="E3" t="s">
        <v>26</v>
      </c>
      <c r="F3" t="s">
        <v>27</v>
      </c>
      <c r="G3" t="s">
        <v>28</v>
      </c>
      <c r="H3" t="s">
        <v>29</v>
      </c>
      <c r="I3">
        <v>32636</v>
      </c>
      <c r="J3">
        <v>4</v>
      </c>
      <c r="K3">
        <v>4.3</v>
      </c>
      <c r="L3">
        <v>1</v>
      </c>
      <c r="M3" t="s">
        <v>30</v>
      </c>
    </row>
    <row r="4" spans="1:13">
      <c r="A4" t="s">
        <v>31</v>
      </c>
      <c r="B4" t="s">
        <v>32</v>
      </c>
      <c r="C4" t="s">
        <v>33</v>
      </c>
      <c r="D4" t="s">
        <v>34</v>
      </c>
      <c r="E4" t="s">
        <v>35</v>
      </c>
      <c r="F4" t="s">
        <v>27</v>
      </c>
      <c r="G4" t="s">
        <v>28</v>
      </c>
      <c r="H4" t="s">
        <v>36</v>
      </c>
      <c r="I4">
        <v>313782</v>
      </c>
      <c r="J4">
        <v>6</v>
      </c>
      <c r="K4">
        <v>4.7</v>
      </c>
      <c r="L4">
        <v>5</v>
      </c>
      <c r="M4" t="s">
        <v>37</v>
      </c>
    </row>
    <row r="5" spans="1:13">
      <c r="A5" t="s">
        <v>38</v>
      </c>
      <c r="B5" t="s">
        <v>39</v>
      </c>
      <c r="C5" t="s">
        <v>40</v>
      </c>
      <c r="D5" t="s">
        <v>41</v>
      </c>
      <c r="E5" t="s">
        <v>42</v>
      </c>
      <c r="F5" t="s">
        <v>18</v>
      </c>
      <c r="G5" t="s">
        <v>19</v>
      </c>
      <c r="H5" t="s">
        <v>36</v>
      </c>
      <c r="I5">
        <v>11375</v>
      </c>
      <c r="J5">
        <v>5</v>
      </c>
      <c r="K5">
        <v>3.3</v>
      </c>
      <c r="L5">
        <v>4</v>
      </c>
      <c r="M5" t="s">
        <v>30</v>
      </c>
    </row>
    <row r="6" spans="1:13">
      <c r="A6" t="s">
        <v>43</v>
      </c>
      <c r="B6" t="s">
        <v>44</v>
      </c>
      <c r="C6" t="s">
        <v>45</v>
      </c>
      <c r="D6" t="s">
        <v>46</v>
      </c>
      <c r="E6" t="s">
        <v>42</v>
      </c>
      <c r="F6" t="s">
        <v>27</v>
      </c>
      <c r="G6" t="s">
        <v>19</v>
      </c>
      <c r="H6" t="s">
        <v>20</v>
      </c>
      <c r="I6">
        <v>14496</v>
      </c>
      <c r="J6">
        <v>6</v>
      </c>
      <c r="K6">
        <v>3.7</v>
      </c>
      <c r="L6">
        <v>2</v>
      </c>
      <c r="M6" t="s">
        <v>47</v>
      </c>
    </row>
    <row r="7" spans="1:13">
      <c r="A7" t="s">
        <v>48</v>
      </c>
      <c r="B7" t="s">
        <v>49</v>
      </c>
      <c r="C7" t="s">
        <v>50</v>
      </c>
      <c r="D7" t="s">
        <v>51</v>
      </c>
      <c r="E7" t="s">
        <v>52</v>
      </c>
      <c r="F7" t="s">
        <v>53</v>
      </c>
      <c r="G7" t="s">
        <v>54</v>
      </c>
      <c r="H7" t="s">
        <v>20</v>
      </c>
      <c r="I7">
        <v>5745</v>
      </c>
      <c r="J7">
        <v>5</v>
      </c>
      <c r="K7">
        <v>4.7</v>
      </c>
      <c r="L7">
        <v>6</v>
      </c>
      <c r="M7" t="s">
        <v>55</v>
      </c>
    </row>
    <row r="8" spans="1:13">
      <c r="A8" t="s">
        <v>56</v>
      </c>
      <c r="B8" t="s">
        <v>57</v>
      </c>
      <c r="C8" t="s">
        <v>58</v>
      </c>
      <c r="D8" t="s">
        <v>59</v>
      </c>
      <c r="E8" t="s">
        <v>26</v>
      </c>
      <c r="F8" t="s">
        <v>60</v>
      </c>
      <c r="G8" t="s">
        <v>28</v>
      </c>
      <c r="H8" t="s">
        <v>29</v>
      </c>
      <c r="I8">
        <v>24696</v>
      </c>
      <c r="J8">
        <v>8</v>
      </c>
      <c r="K8">
        <v>3.6</v>
      </c>
      <c r="L8">
        <v>5</v>
      </c>
      <c r="M8" t="s">
        <v>37</v>
      </c>
    </row>
    <row r="9" spans="1:13">
      <c r="A9" t="s">
        <v>61</v>
      </c>
      <c r="B9" t="s">
        <v>62</v>
      </c>
      <c r="C9" t="s">
        <v>45</v>
      </c>
      <c r="D9" t="s">
        <v>63</v>
      </c>
      <c r="E9" t="s">
        <v>52</v>
      </c>
      <c r="F9" t="s">
        <v>18</v>
      </c>
      <c r="G9" t="s">
        <v>28</v>
      </c>
      <c r="H9" t="s">
        <v>64</v>
      </c>
      <c r="I9">
        <v>3536</v>
      </c>
      <c r="J9">
        <v>8</v>
      </c>
      <c r="K9">
        <v>3.5</v>
      </c>
      <c r="L9">
        <v>7</v>
      </c>
      <c r="M9" t="s">
        <v>65</v>
      </c>
    </row>
    <row r="10" spans="1:13">
      <c r="A10" t="s">
        <v>66</v>
      </c>
      <c r="B10" t="s">
        <v>67</v>
      </c>
      <c r="C10" t="s">
        <v>68</v>
      </c>
      <c r="D10" t="s">
        <v>69</v>
      </c>
      <c r="E10" t="s">
        <v>26</v>
      </c>
      <c r="F10" t="s">
        <v>53</v>
      </c>
      <c r="G10" t="s">
        <v>28</v>
      </c>
      <c r="H10" t="s">
        <v>20</v>
      </c>
      <c r="I10">
        <v>25855</v>
      </c>
      <c r="J10">
        <v>5</v>
      </c>
      <c r="K10">
        <v>4.5999999999999996</v>
      </c>
      <c r="L10">
        <v>6</v>
      </c>
      <c r="M10" t="s">
        <v>65</v>
      </c>
    </row>
    <row r="11" spans="1:13">
      <c r="A11" t="s">
        <v>70</v>
      </c>
      <c r="B11" t="s">
        <v>71</v>
      </c>
      <c r="C11" t="s">
        <v>72</v>
      </c>
      <c r="D11" t="s">
        <v>41</v>
      </c>
      <c r="E11" t="s">
        <v>42</v>
      </c>
      <c r="F11" t="s">
        <v>53</v>
      </c>
      <c r="G11" t="s">
        <v>19</v>
      </c>
      <c r="H11" t="s">
        <v>36</v>
      </c>
      <c r="I11">
        <v>9432</v>
      </c>
      <c r="J11">
        <v>3</v>
      </c>
      <c r="K11">
        <v>4.0999999999999996</v>
      </c>
      <c r="L11">
        <v>4</v>
      </c>
      <c r="M11" t="s">
        <v>21</v>
      </c>
    </row>
    <row r="12" spans="1:13">
      <c r="A12" t="s">
        <v>73</v>
      </c>
      <c r="B12" t="s">
        <v>74</v>
      </c>
      <c r="C12" t="s">
        <v>75</v>
      </c>
      <c r="D12" t="s">
        <v>59</v>
      </c>
      <c r="E12" t="s">
        <v>26</v>
      </c>
      <c r="F12" t="s">
        <v>27</v>
      </c>
      <c r="G12" t="s">
        <v>28</v>
      </c>
      <c r="H12" t="s">
        <v>36</v>
      </c>
      <c r="I12">
        <v>1749</v>
      </c>
      <c r="J12">
        <v>1</v>
      </c>
      <c r="K12">
        <v>3.6</v>
      </c>
      <c r="L12">
        <v>2</v>
      </c>
      <c r="M12" t="s">
        <v>65</v>
      </c>
    </row>
    <row r="13" spans="1:13">
      <c r="A13" t="s">
        <v>76</v>
      </c>
      <c r="B13" t="s">
        <v>77</v>
      </c>
      <c r="C13" t="s">
        <v>78</v>
      </c>
      <c r="D13" t="s">
        <v>79</v>
      </c>
      <c r="E13" t="s">
        <v>26</v>
      </c>
      <c r="F13" t="s">
        <v>27</v>
      </c>
      <c r="G13" t="s">
        <v>19</v>
      </c>
      <c r="H13" t="s">
        <v>29</v>
      </c>
      <c r="I13">
        <v>85904</v>
      </c>
      <c r="J13">
        <v>8</v>
      </c>
      <c r="K13">
        <v>4</v>
      </c>
      <c r="L13">
        <v>4</v>
      </c>
      <c r="M13" t="s">
        <v>80</v>
      </c>
    </row>
    <row r="14" spans="1:13">
      <c r="A14" t="s">
        <v>81</v>
      </c>
      <c r="B14" t="s">
        <v>82</v>
      </c>
      <c r="C14" t="s">
        <v>58</v>
      </c>
      <c r="D14" t="s">
        <v>46</v>
      </c>
      <c r="E14" t="s">
        <v>42</v>
      </c>
      <c r="F14" t="s">
        <v>83</v>
      </c>
      <c r="G14" t="s">
        <v>54</v>
      </c>
      <c r="H14" t="s">
        <v>36</v>
      </c>
      <c r="I14">
        <v>9792</v>
      </c>
      <c r="J14">
        <v>8</v>
      </c>
      <c r="K14">
        <v>3.2</v>
      </c>
      <c r="L14">
        <v>4</v>
      </c>
      <c r="M14" t="s">
        <v>47</v>
      </c>
    </row>
    <row r="15" spans="1:13">
      <c r="A15" t="s">
        <v>84</v>
      </c>
      <c r="B15" t="s">
        <v>85</v>
      </c>
      <c r="C15" t="s">
        <v>78</v>
      </c>
      <c r="D15" t="s">
        <v>86</v>
      </c>
      <c r="E15" t="s">
        <v>17</v>
      </c>
      <c r="F15" t="s">
        <v>83</v>
      </c>
      <c r="G15" t="s">
        <v>28</v>
      </c>
      <c r="H15" t="s">
        <v>20</v>
      </c>
      <c r="I15">
        <v>976</v>
      </c>
      <c r="J15">
        <v>1</v>
      </c>
      <c r="K15">
        <v>4.4000000000000004</v>
      </c>
      <c r="L15">
        <v>4</v>
      </c>
      <c r="M15" t="s">
        <v>87</v>
      </c>
    </row>
    <row r="16" spans="1:13">
      <c r="A16" t="s">
        <v>88</v>
      </c>
      <c r="B16" t="s">
        <v>89</v>
      </c>
      <c r="C16" t="s">
        <v>68</v>
      </c>
      <c r="D16" t="s">
        <v>90</v>
      </c>
      <c r="E16" t="s">
        <v>42</v>
      </c>
      <c r="F16" t="s">
        <v>18</v>
      </c>
      <c r="G16" t="s">
        <v>28</v>
      </c>
      <c r="H16" t="s">
        <v>29</v>
      </c>
      <c r="I16">
        <v>8338</v>
      </c>
      <c r="J16">
        <v>2</v>
      </c>
      <c r="K16">
        <v>4</v>
      </c>
      <c r="L16">
        <v>1</v>
      </c>
      <c r="M16" t="s">
        <v>37</v>
      </c>
    </row>
    <row r="17" spans="1:13">
      <c r="A17" t="s">
        <v>91</v>
      </c>
      <c r="B17" t="s">
        <v>92</v>
      </c>
      <c r="C17" t="s">
        <v>75</v>
      </c>
      <c r="D17" t="s">
        <v>86</v>
      </c>
      <c r="E17" t="s">
        <v>17</v>
      </c>
      <c r="F17" t="s">
        <v>60</v>
      </c>
      <c r="G17" t="s">
        <v>54</v>
      </c>
      <c r="H17" t="s">
        <v>36</v>
      </c>
      <c r="I17">
        <v>5592</v>
      </c>
      <c r="J17">
        <v>4</v>
      </c>
      <c r="K17">
        <v>3.7</v>
      </c>
      <c r="L17">
        <v>4</v>
      </c>
      <c r="M17" t="s">
        <v>37</v>
      </c>
    </row>
    <row r="18" spans="1:13">
      <c r="A18" t="s">
        <v>93</v>
      </c>
      <c r="B18" t="s">
        <v>94</v>
      </c>
      <c r="C18" t="s">
        <v>24</v>
      </c>
      <c r="D18" t="s">
        <v>25</v>
      </c>
      <c r="E18" t="s">
        <v>26</v>
      </c>
      <c r="F18" t="s">
        <v>60</v>
      </c>
      <c r="G18" t="s">
        <v>54</v>
      </c>
      <c r="H18" t="s">
        <v>64</v>
      </c>
      <c r="I18">
        <v>17208</v>
      </c>
      <c r="J18">
        <v>4</v>
      </c>
      <c r="K18">
        <v>4.8</v>
      </c>
      <c r="L18">
        <v>1</v>
      </c>
      <c r="M18" t="s">
        <v>87</v>
      </c>
    </row>
    <row r="19" spans="1:13">
      <c r="A19" t="s">
        <v>95</v>
      </c>
      <c r="B19" t="s">
        <v>96</v>
      </c>
      <c r="C19" t="s">
        <v>58</v>
      </c>
      <c r="D19" t="s">
        <v>97</v>
      </c>
      <c r="E19" t="s">
        <v>35</v>
      </c>
      <c r="F19" t="s">
        <v>27</v>
      </c>
      <c r="G19" t="s">
        <v>54</v>
      </c>
      <c r="H19" t="s">
        <v>29</v>
      </c>
      <c r="I19">
        <v>159523</v>
      </c>
      <c r="J19">
        <v>7</v>
      </c>
      <c r="K19">
        <v>3.6</v>
      </c>
      <c r="L19">
        <v>1</v>
      </c>
      <c r="M19" t="s">
        <v>21</v>
      </c>
    </row>
    <row r="20" spans="1:13">
      <c r="A20" t="s">
        <v>98</v>
      </c>
      <c r="B20" t="s">
        <v>99</v>
      </c>
      <c r="C20" t="s">
        <v>75</v>
      </c>
      <c r="D20" t="s">
        <v>16</v>
      </c>
      <c r="E20" t="s">
        <v>17</v>
      </c>
      <c r="F20" t="s">
        <v>100</v>
      </c>
      <c r="G20" t="s">
        <v>54</v>
      </c>
      <c r="H20" t="s">
        <v>20</v>
      </c>
      <c r="I20">
        <v>10632</v>
      </c>
      <c r="J20">
        <v>8</v>
      </c>
      <c r="K20">
        <v>3.3</v>
      </c>
      <c r="L20">
        <v>3</v>
      </c>
      <c r="M20" t="s">
        <v>30</v>
      </c>
    </row>
    <row r="21" spans="1:13">
      <c r="A21" t="s">
        <v>101</v>
      </c>
      <c r="B21" t="s">
        <v>102</v>
      </c>
      <c r="C21" t="s">
        <v>103</v>
      </c>
      <c r="D21" t="s">
        <v>41</v>
      </c>
      <c r="E21" t="s">
        <v>42</v>
      </c>
      <c r="F21" t="s">
        <v>100</v>
      </c>
      <c r="G21" t="s">
        <v>104</v>
      </c>
      <c r="H21" t="s">
        <v>20</v>
      </c>
      <c r="I21">
        <v>5484</v>
      </c>
      <c r="J21">
        <v>4</v>
      </c>
      <c r="K21">
        <v>4.4000000000000004</v>
      </c>
      <c r="L21">
        <v>6</v>
      </c>
      <c r="M21" t="s">
        <v>30</v>
      </c>
    </row>
    <row r="22" spans="1:13">
      <c r="A22" t="s">
        <v>105</v>
      </c>
      <c r="B22" t="s">
        <v>106</v>
      </c>
      <c r="C22" t="s">
        <v>75</v>
      </c>
      <c r="D22" t="s">
        <v>97</v>
      </c>
      <c r="E22" t="s">
        <v>35</v>
      </c>
      <c r="F22" t="s">
        <v>100</v>
      </c>
      <c r="G22" t="s">
        <v>19</v>
      </c>
      <c r="H22" t="s">
        <v>29</v>
      </c>
      <c r="I22">
        <v>60040</v>
      </c>
      <c r="J22">
        <v>5</v>
      </c>
      <c r="K22">
        <v>4.3</v>
      </c>
      <c r="L22">
        <v>2</v>
      </c>
      <c r="M22" t="s">
        <v>80</v>
      </c>
    </row>
    <row r="23" spans="1:13">
      <c r="A23" t="s">
        <v>107</v>
      </c>
      <c r="B23" t="s">
        <v>108</v>
      </c>
      <c r="C23" t="s">
        <v>78</v>
      </c>
      <c r="D23" t="s">
        <v>109</v>
      </c>
      <c r="E23" t="s">
        <v>52</v>
      </c>
      <c r="F23" t="s">
        <v>53</v>
      </c>
      <c r="G23" t="s">
        <v>54</v>
      </c>
      <c r="H23" t="s">
        <v>20</v>
      </c>
      <c r="I23">
        <v>5668</v>
      </c>
      <c r="J23">
        <v>4</v>
      </c>
      <c r="K23">
        <v>4.5</v>
      </c>
      <c r="L23">
        <v>1</v>
      </c>
      <c r="M23" t="s">
        <v>87</v>
      </c>
    </row>
    <row r="24" spans="1:13">
      <c r="A24" t="s">
        <v>110</v>
      </c>
      <c r="B24" t="s">
        <v>111</v>
      </c>
      <c r="C24" t="s">
        <v>112</v>
      </c>
      <c r="D24" t="s">
        <v>113</v>
      </c>
      <c r="E24" t="s">
        <v>35</v>
      </c>
      <c r="F24" t="s">
        <v>60</v>
      </c>
      <c r="G24" t="s">
        <v>104</v>
      </c>
      <c r="H24" t="s">
        <v>36</v>
      </c>
      <c r="I24">
        <v>245328</v>
      </c>
      <c r="J24">
        <v>3</v>
      </c>
      <c r="K24">
        <v>3.6</v>
      </c>
      <c r="L24">
        <v>5</v>
      </c>
      <c r="M24" t="s">
        <v>87</v>
      </c>
    </row>
    <row r="25" spans="1:13">
      <c r="A25" t="s">
        <v>114</v>
      </c>
      <c r="B25" t="s">
        <v>115</v>
      </c>
      <c r="C25" t="s">
        <v>78</v>
      </c>
      <c r="D25" t="s">
        <v>116</v>
      </c>
      <c r="E25" t="s">
        <v>17</v>
      </c>
      <c r="F25" t="s">
        <v>27</v>
      </c>
      <c r="G25" t="s">
        <v>28</v>
      </c>
      <c r="H25" t="s">
        <v>36</v>
      </c>
      <c r="I25">
        <v>307</v>
      </c>
      <c r="J25">
        <v>1</v>
      </c>
      <c r="K25">
        <v>3.5</v>
      </c>
      <c r="L25">
        <v>8</v>
      </c>
      <c r="M25" t="s">
        <v>21</v>
      </c>
    </row>
    <row r="26" spans="1:13">
      <c r="A26" t="s">
        <v>117</v>
      </c>
      <c r="B26" t="s">
        <v>118</v>
      </c>
      <c r="C26" t="s">
        <v>33</v>
      </c>
      <c r="D26" t="s">
        <v>16</v>
      </c>
      <c r="E26" t="s">
        <v>17</v>
      </c>
      <c r="F26" t="s">
        <v>53</v>
      </c>
      <c r="G26" t="s">
        <v>104</v>
      </c>
      <c r="H26" t="s">
        <v>36</v>
      </c>
      <c r="I26">
        <v>4251</v>
      </c>
      <c r="J26">
        <v>3</v>
      </c>
      <c r="K26">
        <v>3.5</v>
      </c>
      <c r="L26">
        <v>3</v>
      </c>
      <c r="M26" t="s">
        <v>119</v>
      </c>
    </row>
    <row r="27" spans="1:13">
      <c r="A27" t="s">
        <v>120</v>
      </c>
      <c r="B27" t="s">
        <v>121</v>
      </c>
      <c r="C27" t="s">
        <v>122</v>
      </c>
      <c r="D27" t="s">
        <v>34</v>
      </c>
      <c r="E27" t="s">
        <v>35</v>
      </c>
      <c r="F27" t="s">
        <v>83</v>
      </c>
      <c r="G27" t="s">
        <v>19</v>
      </c>
      <c r="H27" t="s">
        <v>64</v>
      </c>
      <c r="I27">
        <v>195428</v>
      </c>
      <c r="J27">
        <v>4</v>
      </c>
      <c r="K27">
        <v>5</v>
      </c>
      <c r="L27">
        <v>3</v>
      </c>
      <c r="M27" t="s">
        <v>119</v>
      </c>
    </row>
    <row r="28" spans="1:13">
      <c r="A28" t="s">
        <v>123</v>
      </c>
      <c r="B28" t="s">
        <v>124</v>
      </c>
      <c r="C28" t="s">
        <v>125</v>
      </c>
      <c r="D28" t="s">
        <v>86</v>
      </c>
      <c r="E28" t="s">
        <v>17</v>
      </c>
      <c r="F28" t="s">
        <v>83</v>
      </c>
      <c r="G28" t="s">
        <v>19</v>
      </c>
      <c r="H28" t="s">
        <v>64</v>
      </c>
      <c r="I28">
        <v>11697</v>
      </c>
      <c r="J28">
        <v>7</v>
      </c>
      <c r="K28">
        <v>3.9</v>
      </c>
      <c r="L28">
        <v>1</v>
      </c>
      <c r="M28" t="s">
        <v>126</v>
      </c>
    </row>
    <row r="29" spans="1:13">
      <c r="A29" t="s">
        <v>127</v>
      </c>
      <c r="B29" t="s">
        <v>128</v>
      </c>
      <c r="C29" t="s">
        <v>129</v>
      </c>
      <c r="D29" t="s">
        <v>130</v>
      </c>
      <c r="E29" t="s">
        <v>35</v>
      </c>
      <c r="F29" t="s">
        <v>27</v>
      </c>
      <c r="G29" t="s">
        <v>28</v>
      </c>
      <c r="H29" t="s">
        <v>29</v>
      </c>
      <c r="I29">
        <v>218908</v>
      </c>
      <c r="J29">
        <v>4</v>
      </c>
      <c r="K29">
        <v>4.8</v>
      </c>
      <c r="L29">
        <v>5</v>
      </c>
      <c r="M29" t="s">
        <v>37</v>
      </c>
    </row>
    <row r="30" spans="1:13">
      <c r="A30" t="s">
        <v>131</v>
      </c>
      <c r="B30" t="s">
        <v>132</v>
      </c>
      <c r="C30" t="s">
        <v>133</v>
      </c>
      <c r="D30" t="s">
        <v>16</v>
      </c>
      <c r="E30" t="s">
        <v>17</v>
      </c>
      <c r="F30" t="s">
        <v>100</v>
      </c>
      <c r="G30" t="s">
        <v>54</v>
      </c>
      <c r="H30" t="s">
        <v>64</v>
      </c>
      <c r="I30">
        <v>4467</v>
      </c>
      <c r="J30">
        <v>3</v>
      </c>
      <c r="K30">
        <v>4</v>
      </c>
      <c r="L30">
        <v>6</v>
      </c>
      <c r="M30" t="s">
        <v>21</v>
      </c>
    </row>
    <row r="31" spans="1:13">
      <c r="A31" t="s">
        <v>134</v>
      </c>
      <c r="B31" t="s">
        <v>135</v>
      </c>
      <c r="C31" t="s">
        <v>129</v>
      </c>
      <c r="D31" t="s">
        <v>79</v>
      </c>
      <c r="E31" t="s">
        <v>26</v>
      </c>
      <c r="F31" t="s">
        <v>60</v>
      </c>
      <c r="G31" t="s">
        <v>54</v>
      </c>
      <c r="H31" t="s">
        <v>29</v>
      </c>
      <c r="I31">
        <v>9621</v>
      </c>
      <c r="J31">
        <v>1</v>
      </c>
      <c r="K31">
        <v>4.4000000000000004</v>
      </c>
      <c r="L31">
        <v>4</v>
      </c>
      <c r="M31" t="s">
        <v>21</v>
      </c>
    </row>
    <row r="32" spans="1:13">
      <c r="A32" t="s">
        <v>136</v>
      </c>
      <c r="B32" t="s">
        <v>137</v>
      </c>
      <c r="C32" t="s">
        <v>40</v>
      </c>
      <c r="D32" t="s">
        <v>59</v>
      </c>
      <c r="E32" t="s">
        <v>26</v>
      </c>
      <c r="F32" t="s">
        <v>100</v>
      </c>
      <c r="G32" t="s">
        <v>19</v>
      </c>
      <c r="H32" t="s">
        <v>20</v>
      </c>
      <c r="I32">
        <v>23452</v>
      </c>
      <c r="J32">
        <v>2</v>
      </c>
      <c r="K32">
        <v>3.9</v>
      </c>
      <c r="L32">
        <v>7</v>
      </c>
      <c r="M32" t="s">
        <v>119</v>
      </c>
    </row>
    <row r="33" spans="1:13">
      <c r="A33" t="s">
        <v>138</v>
      </c>
      <c r="B33" t="s">
        <v>139</v>
      </c>
      <c r="C33" t="s">
        <v>133</v>
      </c>
      <c r="D33" t="s">
        <v>90</v>
      </c>
      <c r="E33" t="s">
        <v>42</v>
      </c>
      <c r="F33" t="s">
        <v>100</v>
      </c>
      <c r="G33" t="s">
        <v>104</v>
      </c>
      <c r="H33" t="s">
        <v>64</v>
      </c>
      <c r="I33">
        <v>15564</v>
      </c>
      <c r="J33">
        <v>3</v>
      </c>
      <c r="K33">
        <v>3.7</v>
      </c>
      <c r="L33">
        <v>4</v>
      </c>
      <c r="M33" t="s">
        <v>119</v>
      </c>
    </row>
    <row r="34" spans="1:13">
      <c r="A34" t="s">
        <v>140</v>
      </c>
      <c r="B34" t="s">
        <v>141</v>
      </c>
      <c r="C34" t="s">
        <v>75</v>
      </c>
      <c r="D34" t="s">
        <v>90</v>
      </c>
      <c r="E34" t="s">
        <v>42</v>
      </c>
      <c r="F34" t="s">
        <v>83</v>
      </c>
      <c r="G34" t="s">
        <v>104</v>
      </c>
      <c r="H34" t="s">
        <v>20</v>
      </c>
      <c r="I34">
        <v>5576</v>
      </c>
      <c r="J34">
        <v>4</v>
      </c>
      <c r="K34">
        <v>4.0999999999999996</v>
      </c>
      <c r="L34">
        <v>6</v>
      </c>
      <c r="M34" t="s">
        <v>119</v>
      </c>
    </row>
    <row r="35" spans="1:13">
      <c r="A35" t="s">
        <v>142</v>
      </c>
      <c r="B35" t="s">
        <v>143</v>
      </c>
      <c r="C35" t="s">
        <v>50</v>
      </c>
      <c r="D35" t="s">
        <v>63</v>
      </c>
      <c r="E35" t="s">
        <v>52</v>
      </c>
      <c r="F35" t="s">
        <v>60</v>
      </c>
      <c r="G35" t="s">
        <v>28</v>
      </c>
      <c r="H35" t="s">
        <v>20</v>
      </c>
      <c r="I35">
        <v>2196</v>
      </c>
      <c r="J35">
        <v>1</v>
      </c>
      <c r="K35">
        <v>3.9</v>
      </c>
      <c r="L35">
        <v>4</v>
      </c>
      <c r="M35" t="s">
        <v>144</v>
      </c>
    </row>
    <row r="36" spans="1:13">
      <c r="A36" t="s">
        <v>145</v>
      </c>
      <c r="B36" t="s">
        <v>111</v>
      </c>
      <c r="C36" t="s">
        <v>146</v>
      </c>
      <c r="D36" t="s">
        <v>147</v>
      </c>
      <c r="E36" t="s">
        <v>52</v>
      </c>
      <c r="F36" t="s">
        <v>83</v>
      </c>
      <c r="G36" t="s">
        <v>28</v>
      </c>
      <c r="H36" t="s">
        <v>29</v>
      </c>
      <c r="I36">
        <v>6790</v>
      </c>
      <c r="J36">
        <v>7</v>
      </c>
      <c r="K36">
        <v>4.2</v>
      </c>
      <c r="L36">
        <v>2</v>
      </c>
      <c r="M36" t="s">
        <v>87</v>
      </c>
    </row>
    <row r="37" spans="1:13">
      <c r="A37" t="s">
        <v>148</v>
      </c>
      <c r="B37" t="s">
        <v>149</v>
      </c>
      <c r="C37" t="s">
        <v>112</v>
      </c>
      <c r="D37" t="s">
        <v>90</v>
      </c>
      <c r="E37" t="s">
        <v>42</v>
      </c>
      <c r="F37" t="s">
        <v>60</v>
      </c>
      <c r="G37" t="s">
        <v>19</v>
      </c>
      <c r="H37" t="s">
        <v>29</v>
      </c>
      <c r="I37">
        <v>22584</v>
      </c>
      <c r="J37">
        <v>8</v>
      </c>
      <c r="K37">
        <v>4.7</v>
      </c>
      <c r="L37">
        <v>5</v>
      </c>
      <c r="M37" t="s">
        <v>30</v>
      </c>
    </row>
    <row r="38" spans="1:13">
      <c r="A38" t="s">
        <v>150</v>
      </c>
      <c r="B38" t="s">
        <v>96</v>
      </c>
      <c r="C38" t="s">
        <v>50</v>
      </c>
      <c r="D38" t="s">
        <v>41</v>
      </c>
      <c r="E38" t="s">
        <v>42</v>
      </c>
      <c r="F38" t="s">
        <v>27</v>
      </c>
      <c r="G38" t="s">
        <v>19</v>
      </c>
      <c r="H38" t="s">
        <v>20</v>
      </c>
      <c r="I38">
        <v>20496</v>
      </c>
      <c r="J38">
        <v>4</v>
      </c>
      <c r="K38">
        <v>3.4</v>
      </c>
      <c r="L38">
        <v>4</v>
      </c>
      <c r="M38" t="s">
        <v>21</v>
      </c>
    </row>
    <row r="39" spans="1:13">
      <c r="A39" t="s">
        <v>151</v>
      </c>
      <c r="B39" t="s">
        <v>152</v>
      </c>
      <c r="C39" t="s">
        <v>58</v>
      </c>
      <c r="D39" t="s">
        <v>116</v>
      </c>
      <c r="E39" t="s">
        <v>17</v>
      </c>
      <c r="F39" t="s">
        <v>27</v>
      </c>
      <c r="G39" t="s">
        <v>54</v>
      </c>
      <c r="H39" t="s">
        <v>64</v>
      </c>
      <c r="I39">
        <v>8466</v>
      </c>
      <c r="J39">
        <v>6</v>
      </c>
      <c r="K39">
        <v>4.7</v>
      </c>
      <c r="L39">
        <v>7</v>
      </c>
      <c r="M39" t="s">
        <v>55</v>
      </c>
    </row>
    <row r="40" spans="1:13">
      <c r="A40" t="s">
        <v>153</v>
      </c>
      <c r="B40" t="s">
        <v>154</v>
      </c>
      <c r="C40" t="s">
        <v>122</v>
      </c>
      <c r="D40" t="s">
        <v>41</v>
      </c>
      <c r="E40" t="s">
        <v>42</v>
      </c>
      <c r="F40" t="s">
        <v>53</v>
      </c>
      <c r="G40" t="s">
        <v>28</v>
      </c>
      <c r="H40" t="s">
        <v>64</v>
      </c>
      <c r="I40">
        <v>25865</v>
      </c>
      <c r="J40">
        <v>5</v>
      </c>
      <c r="K40">
        <v>4.8</v>
      </c>
      <c r="L40">
        <v>8</v>
      </c>
      <c r="M40" t="s">
        <v>126</v>
      </c>
    </row>
    <row r="41" spans="1:13">
      <c r="A41" t="s">
        <v>155</v>
      </c>
      <c r="B41" t="s">
        <v>156</v>
      </c>
      <c r="C41" t="s">
        <v>58</v>
      </c>
      <c r="D41" t="s">
        <v>116</v>
      </c>
      <c r="E41" t="s">
        <v>17</v>
      </c>
      <c r="F41" t="s">
        <v>100</v>
      </c>
      <c r="G41" t="s">
        <v>54</v>
      </c>
      <c r="H41" t="s">
        <v>36</v>
      </c>
      <c r="I41">
        <v>12481</v>
      </c>
      <c r="J41">
        <v>7</v>
      </c>
      <c r="K41">
        <v>4.2</v>
      </c>
      <c r="L41">
        <v>7</v>
      </c>
      <c r="M41" t="s">
        <v>126</v>
      </c>
    </row>
    <row r="42" spans="1:13">
      <c r="A42" t="s">
        <v>157</v>
      </c>
      <c r="B42" t="s">
        <v>158</v>
      </c>
      <c r="C42" t="s">
        <v>50</v>
      </c>
      <c r="D42" t="s">
        <v>159</v>
      </c>
      <c r="E42" t="s">
        <v>42</v>
      </c>
      <c r="F42" t="s">
        <v>53</v>
      </c>
      <c r="G42" t="s">
        <v>28</v>
      </c>
      <c r="H42" t="s">
        <v>29</v>
      </c>
      <c r="I42">
        <v>10143</v>
      </c>
      <c r="J42">
        <v>3</v>
      </c>
      <c r="K42">
        <v>4</v>
      </c>
      <c r="L42">
        <v>6</v>
      </c>
      <c r="M42" t="s">
        <v>47</v>
      </c>
    </row>
    <row r="43" spans="1:13">
      <c r="A43" t="s">
        <v>160</v>
      </c>
      <c r="B43" t="s">
        <v>161</v>
      </c>
      <c r="C43" t="s">
        <v>15</v>
      </c>
      <c r="D43" t="s">
        <v>116</v>
      </c>
      <c r="E43" t="s">
        <v>17</v>
      </c>
      <c r="F43" t="s">
        <v>100</v>
      </c>
      <c r="G43" t="s">
        <v>19</v>
      </c>
      <c r="H43" t="s">
        <v>20</v>
      </c>
      <c r="I43">
        <v>1016</v>
      </c>
      <c r="J43">
        <v>1</v>
      </c>
      <c r="K43">
        <v>4.9000000000000004</v>
      </c>
      <c r="L43">
        <v>4</v>
      </c>
      <c r="M43" t="s">
        <v>144</v>
      </c>
    </row>
    <row r="44" spans="1:13">
      <c r="A44" t="s">
        <v>162</v>
      </c>
      <c r="B44" t="s">
        <v>163</v>
      </c>
      <c r="C44" t="s">
        <v>24</v>
      </c>
      <c r="D44" t="s">
        <v>51</v>
      </c>
      <c r="E44" t="s">
        <v>52</v>
      </c>
      <c r="F44" t="s">
        <v>53</v>
      </c>
      <c r="G44" t="s">
        <v>54</v>
      </c>
      <c r="H44" t="s">
        <v>36</v>
      </c>
      <c r="I44">
        <v>2284</v>
      </c>
      <c r="J44">
        <v>2</v>
      </c>
      <c r="K44">
        <v>3.5</v>
      </c>
      <c r="L44">
        <v>2</v>
      </c>
      <c r="M44" t="s">
        <v>119</v>
      </c>
    </row>
    <row r="45" spans="1:13">
      <c r="A45" t="s">
        <v>164</v>
      </c>
      <c r="B45" t="s">
        <v>139</v>
      </c>
      <c r="C45" t="s">
        <v>45</v>
      </c>
      <c r="D45" t="s">
        <v>165</v>
      </c>
      <c r="E45" t="s">
        <v>35</v>
      </c>
      <c r="F45" t="s">
        <v>18</v>
      </c>
      <c r="G45" t="s">
        <v>54</v>
      </c>
      <c r="H45" t="s">
        <v>29</v>
      </c>
      <c r="I45">
        <v>87227</v>
      </c>
      <c r="J45">
        <v>7</v>
      </c>
      <c r="K45">
        <v>3.6</v>
      </c>
      <c r="L45">
        <v>5</v>
      </c>
      <c r="M45" t="s">
        <v>119</v>
      </c>
    </row>
    <row r="46" spans="1:13">
      <c r="A46" t="s">
        <v>166</v>
      </c>
      <c r="B46" t="s">
        <v>167</v>
      </c>
      <c r="C46" t="s">
        <v>133</v>
      </c>
      <c r="D46" t="s">
        <v>69</v>
      </c>
      <c r="E46" t="s">
        <v>26</v>
      </c>
      <c r="F46" t="s">
        <v>53</v>
      </c>
      <c r="G46" t="s">
        <v>28</v>
      </c>
      <c r="H46" t="s">
        <v>20</v>
      </c>
      <c r="I46">
        <v>46092</v>
      </c>
      <c r="J46">
        <v>6</v>
      </c>
      <c r="K46">
        <v>4.7</v>
      </c>
      <c r="L46">
        <v>2</v>
      </c>
      <c r="M46" t="s">
        <v>119</v>
      </c>
    </row>
    <row r="47" spans="1:13">
      <c r="A47" t="s">
        <v>168</v>
      </c>
      <c r="B47" t="s">
        <v>169</v>
      </c>
      <c r="C47" t="s">
        <v>170</v>
      </c>
      <c r="D47" t="s">
        <v>159</v>
      </c>
      <c r="E47" t="s">
        <v>42</v>
      </c>
      <c r="F47" t="s">
        <v>83</v>
      </c>
      <c r="G47" t="s">
        <v>54</v>
      </c>
      <c r="H47" t="s">
        <v>29</v>
      </c>
      <c r="I47">
        <v>22540</v>
      </c>
      <c r="J47">
        <v>5</v>
      </c>
      <c r="K47">
        <v>4.7</v>
      </c>
      <c r="L47">
        <v>5</v>
      </c>
      <c r="M47" t="s">
        <v>65</v>
      </c>
    </row>
    <row r="48" spans="1:13">
      <c r="A48" t="s">
        <v>171</v>
      </c>
      <c r="B48" t="s">
        <v>172</v>
      </c>
      <c r="C48" t="s">
        <v>103</v>
      </c>
      <c r="D48" t="s">
        <v>159</v>
      </c>
      <c r="E48" t="s">
        <v>42</v>
      </c>
      <c r="F48" t="s">
        <v>53</v>
      </c>
      <c r="G48" t="s">
        <v>104</v>
      </c>
      <c r="H48" t="s">
        <v>29</v>
      </c>
      <c r="I48">
        <v>23534</v>
      </c>
      <c r="J48">
        <v>7</v>
      </c>
      <c r="K48">
        <v>4.0999999999999996</v>
      </c>
      <c r="L48">
        <v>6</v>
      </c>
      <c r="M48" t="s">
        <v>47</v>
      </c>
    </row>
    <row r="49" spans="1:13">
      <c r="A49" t="s">
        <v>173</v>
      </c>
      <c r="B49" t="s">
        <v>174</v>
      </c>
      <c r="C49" t="s">
        <v>125</v>
      </c>
      <c r="D49" t="s">
        <v>25</v>
      </c>
      <c r="E49" t="s">
        <v>26</v>
      </c>
      <c r="F49" t="s">
        <v>60</v>
      </c>
      <c r="G49" t="s">
        <v>54</v>
      </c>
      <c r="H49" t="s">
        <v>36</v>
      </c>
      <c r="I49">
        <v>39584</v>
      </c>
      <c r="J49">
        <v>4</v>
      </c>
      <c r="K49">
        <v>4.5999999999999996</v>
      </c>
      <c r="L49">
        <v>8</v>
      </c>
      <c r="M49" t="s">
        <v>65</v>
      </c>
    </row>
    <row r="50" spans="1:13">
      <c r="A50" t="s">
        <v>175</v>
      </c>
      <c r="B50" t="s">
        <v>176</v>
      </c>
      <c r="C50" t="s">
        <v>129</v>
      </c>
      <c r="D50" t="s">
        <v>34</v>
      </c>
      <c r="E50" t="s">
        <v>35</v>
      </c>
      <c r="F50" t="s">
        <v>27</v>
      </c>
      <c r="G50" t="s">
        <v>28</v>
      </c>
      <c r="H50" t="s">
        <v>29</v>
      </c>
      <c r="I50">
        <v>258124</v>
      </c>
      <c r="J50">
        <v>4</v>
      </c>
      <c r="K50">
        <v>3.8</v>
      </c>
      <c r="L50">
        <v>6</v>
      </c>
      <c r="M50" t="s">
        <v>55</v>
      </c>
    </row>
    <row r="51" spans="1:13">
      <c r="A51" t="s">
        <v>177</v>
      </c>
      <c r="B51" t="s">
        <v>178</v>
      </c>
      <c r="C51" t="s">
        <v>179</v>
      </c>
      <c r="D51" t="s">
        <v>130</v>
      </c>
      <c r="E51" t="s">
        <v>35</v>
      </c>
      <c r="F51" t="s">
        <v>83</v>
      </c>
      <c r="G51" t="s">
        <v>28</v>
      </c>
      <c r="H51" t="s">
        <v>29</v>
      </c>
      <c r="I51">
        <v>87718</v>
      </c>
      <c r="J51">
        <v>2</v>
      </c>
      <c r="K51">
        <v>4.9000000000000004</v>
      </c>
      <c r="L51">
        <v>3</v>
      </c>
      <c r="M51" t="s">
        <v>37</v>
      </c>
    </row>
    <row r="52" spans="1:13">
      <c r="A52" t="s">
        <v>180</v>
      </c>
      <c r="B52" t="s">
        <v>181</v>
      </c>
      <c r="C52" t="s">
        <v>103</v>
      </c>
      <c r="D52" t="s">
        <v>59</v>
      </c>
      <c r="E52" t="s">
        <v>26</v>
      </c>
      <c r="F52" t="s">
        <v>18</v>
      </c>
      <c r="G52" t="s">
        <v>54</v>
      </c>
      <c r="H52" t="s">
        <v>29</v>
      </c>
      <c r="I52">
        <v>23008</v>
      </c>
      <c r="J52">
        <v>4</v>
      </c>
      <c r="K52">
        <v>3.2</v>
      </c>
      <c r="L52">
        <v>3</v>
      </c>
      <c r="M52" t="s">
        <v>87</v>
      </c>
    </row>
    <row r="53" spans="1:13">
      <c r="A53" t="s">
        <v>182</v>
      </c>
      <c r="B53" t="s">
        <v>183</v>
      </c>
      <c r="C53" t="s">
        <v>103</v>
      </c>
      <c r="D53" t="s">
        <v>51</v>
      </c>
      <c r="E53" t="s">
        <v>52</v>
      </c>
      <c r="F53" t="s">
        <v>60</v>
      </c>
      <c r="G53" t="s">
        <v>54</v>
      </c>
      <c r="H53" t="s">
        <v>36</v>
      </c>
      <c r="I53">
        <v>1414</v>
      </c>
      <c r="J53">
        <v>1</v>
      </c>
      <c r="K53">
        <v>3.8</v>
      </c>
      <c r="L53">
        <v>1</v>
      </c>
      <c r="M53" t="s">
        <v>87</v>
      </c>
    </row>
    <row r="54" spans="1:13">
      <c r="A54" t="s">
        <v>184</v>
      </c>
      <c r="B54" t="s">
        <v>185</v>
      </c>
      <c r="C54" t="s">
        <v>78</v>
      </c>
      <c r="D54" t="s">
        <v>90</v>
      </c>
      <c r="E54" t="s">
        <v>42</v>
      </c>
      <c r="F54" t="s">
        <v>60</v>
      </c>
      <c r="G54" t="s">
        <v>19</v>
      </c>
      <c r="H54" t="s">
        <v>64</v>
      </c>
      <c r="I54">
        <v>3189</v>
      </c>
      <c r="J54">
        <v>1</v>
      </c>
      <c r="K54">
        <v>5</v>
      </c>
      <c r="L54">
        <v>2</v>
      </c>
      <c r="M54" t="s">
        <v>87</v>
      </c>
    </row>
    <row r="55" spans="1:13">
      <c r="A55" t="s">
        <v>186</v>
      </c>
      <c r="B55" t="s">
        <v>187</v>
      </c>
      <c r="C55" t="s">
        <v>75</v>
      </c>
      <c r="D55" t="s">
        <v>90</v>
      </c>
      <c r="E55" t="s">
        <v>42</v>
      </c>
      <c r="F55" t="s">
        <v>83</v>
      </c>
      <c r="G55" t="s">
        <v>19</v>
      </c>
      <c r="H55" t="s">
        <v>20</v>
      </c>
      <c r="I55">
        <v>10584</v>
      </c>
      <c r="J55">
        <v>7</v>
      </c>
      <c r="K55">
        <v>4.3</v>
      </c>
      <c r="L55">
        <v>5</v>
      </c>
      <c r="M55" t="s">
        <v>126</v>
      </c>
    </row>
    <row r="56" spans="1:13">
      <c r="A56" t="s">
        <v>188</v>
      </c>
      <c r="B56" t="s">
        <v>189</v>
      </c>
      <c r="C56" t="s">
        <v>40</v>
      </c>
      <c r="D56" t="s">
        <v>25</v>
      </c>
      <c r="E56" t="s">
        <v>26</v>
      </c>
      <c r="F56" t="s">
        <v>27</v>
      </c>
      <c r="G56" t="s">
        <v>28</v>
      </c>
      <c r="H56" t="s">
        <v>36</v>
      </c>
      <c r="I56">
        <v>5571</v>
      </c>
      <c r="J56">
        <v>1</v>
      </c>
      <c r="K56">
        <v>3.3</v>
      </c>
      <c r="L56">
        <v>5</v>
      </c>
      <c r="M56" t="s">
        <v>80</v>
      </c>
    </row>
    <row r="57" spans="1:13">
      <c r="A57" t="s">
        <v>190</v>
      </c>
      <c r="B57" t="s">
        <v>191</v>
      </c>
      <c r="C57" t="s">
        <v>72</v>
      </c>
      <c r="D57" t="s">
        <v>109</v>
      </c>
      <c r="E57" t="s">
        <v>52</v>
      </c>
      <c r="F57" t="s">
        <v>18</v>
      </c>
      <c r="G57" t="s">
        <v>54</v>
      </c>
      <c r="H57" t="s">
        <v>20</v>
      </c>
      <c r="I57">
        <v>2880</v>
      </c>
      <c r="J57">
        <v>4</v>
      </c>
      <c r="K57">
        <v>3.5</v>
      </c>
      <c r="L57">
        <v>5</v>
      </c>
      <c r="M57" t="s">
        <v>192</v>
      </c>
    </row>
    <row r="58" spans="1:13">
      <c r="A58" t="s">
        <v>193</v>
      </c>
      <c r="B58" t="s">
        <v>102</v>
      </c>
      <c r="C58" t="s">
        <v>146</v>
      </c>
      <c r="D58" t="s">
        <v>165</v>
      </c>
      <c r="E58" t="s">
        <v>35</v>
      </c>
      <c r="F58" t="s">
        <v>18</v>
      </c>
      <c r="G58" t="s">
        <v>54</v>
      </c>
      <c r="H58" t="s">
        <v>64</v>
      </c>
      <c r="I58">
        <v>319665</v>
      </c>
      <c r="J58">
        <v>5</v>
      </c>
      <c r="K58">
        <v>4.9000000000000004</v>
      </c>
      <c r="L58">
        <v>8</v>
      </c>
      <c r="M58" t="s">
        <v>30</v>
      </c>
    </row>
    <row r="59" spans="1:13">
      <c r="A59" t="s">
        <v>194</v>
      </c>
      <c r="B59" t="s">
        <v>195</v>
      </c>
      <c r="C59" t="s">
        <v>58</v>
      </c>
      <c r="D59" t="s">
        <v>165</v>
      </c>
      <c r="E59" t="s">
        <v>35</v>
      </c>
      <c r="F59" t="s">
        <v>18</v>
      </c>
      <c r="G59" t="s">
        <v>19</v>
      </c>
      <c r="H59" t="s">
        <v>64</v>
      </c>
      <c r="I59">
        <v>77892</v>
      </c>
      <c r="J59">
        <v>1</v>
      </c>
      <c r="K59">
        <v>5</v>
      </c>
      <c r="L59">
        <v>5</v>
      </c>
      <c r="M59" t="s">
        <v>21</v>
      </c>
    </row>
    <row r="60" spans="1:13">
      <c r="A60" t="s">
        <v>196</v>
      </c>
      <c r="B60" t="s">
        <v>197</v>
      </c>
      <c r="C60" t="s">
        <v>170</v>
      </c>
      <c r="D60" t="s">
        <v>69</v>
      </c>
      <c r="E60" t="s">
        <v>26</v>
      </c>
      <c r="F60" t="s">
        <v>27</v>
      </c>
      <c r="G60" t="s">
        <v>54</v>
      </c>
      <c r="H60" t="s">
        <v>20</v>
      </c>
      <c r="I60">
        <v>25500</v>
      </c>
      <c r="J60">
        <v>3</v>
      </c>
      <c r="K60">
        <v>3.8</v>
      </c>
      <c r="L60">
        <v>6</v>
      </c>
      <c r="M60" t="s">
        <v>21</v>
      </c>
    </row>
    <row r="61" spans="1:13">
      <c r="A61" t="s">
        <v>198</v>
      </c>
      <c r="B61" t="s">
        <v>199</v>
      </c>
      <c r="C61" t="s">
        <v>170</v>
      </c>
      <c r="D61" t="s">
        <v>97</v>
      </c>
      <c r="E61" t="s">
        <v>35</v>
      </c>
      <c r="F61" t="s">
        <v>18</v>
      </c>
      <c r="G61" t="s">
        <v>28</v>
      </c>
      <c r="H61" t="s">
        <v>36</v>
      </c>
      <c r="I61">
        <v>596816</v>
      </c>
      <c r="J61">
        <v>8</v>
      </c>
      <c r="K61">
        <v>3.4</v>
      </c>
      <c r="L61">
        <v>5</v>
      </c>
      <c r="M61" t="s">
        <v>119</v>
      </c>
    </row>
    <row r="62" spans="1:13">
      <c r="A62" t="s">
        <v>200</v>
      </c>
      <c r="B62" t="s">
        <v>201</v>
      </c>
      <c r="C62" t="s">
        <v>179</v>
      </c>
      <c r="D62" t="s">
        <v>69</v>
      </c>
      <c r="E62" t="s">
        <v>26</v>
      </c>
      <c r="F62" t="s">
        <v>53</v>
      </c>
      <c r="G62" t="s">
        <v>19</v>
      </c>
      <c r="H62" t="s">
        <v>29</v>
      </c>
      <c r="I62">
        <v>8967</v>
      </c>
      <c r="J62">
        <v>1</v>
      </c>
      <c r="K62">
        <v>4.3</v>
      </c>
      <c r="L62">
        <v>1</v>
      </c>
      <c r="M62" t="s">
        <v>55</v>
      </c>
    </row>
    <row r="63" spans="1:13">
      <c r="A63" t="s">
        <v>202</v>
      </c>
      <c r="B63" t="s">
        <v>203</v>
      </c>
      <c r="C63" t="s">
        <v>75</v>
      </c>
      <c r="D63" t="s">
        <v>90</v>
      </c>
      <c r="E63" t="s">
        <v>42</v>
      </c>
      <c r="F63" t="s">
        <v>83</v>
      </c>
      <c r="G63" t="s">
        <v>54</v>
      </c>
      <c r="H63" t="s">
        <v>64</v>
      </c>
      <c r="I63">
        <v>3245</v>
      </c>
      <c r="J63">
        <v>1</v>
      </c>
      <c r="K63">
        <v>3.2</v>
      </c>
      <c r="L63">
        <v>7</v>
      </c>
      <c r="M63" t="s">
        <v>80</v>
      </c>
    </row>
    <row r="64" spans="1:13">
      <c r="A64" t="s">
        <v>204</v>
      </c>
      <c r="B64" t="s">
        <v>205</v>
      </c>
      <c r="C64" t="s">
        <v>50</v>
      </c>
      <c r="D64" t="s">
        <v>86</v>
      </c>
      <c r="E64" t="s">
        <v>17</v>
      </c>
      <c r="F64" t="s">
        <v>83</v>
      </c>
      <c r="G64" t="s">
        <v>19</v>
      </c>
      <c r="H64" t="s">
        <v>36</v>
      </c>
      <c r="I64">
        <v>6710</v>
      </c>
      <c r="J64">
        <v>5</v>
      </c>
      <c r="K64">
        <v>3.6</v>
      </c>
      <c r="L64">
        <v>3</v>
      </c>
      <c r="M64" t="s">
        <v>65</v>
      </c>
    </row>
    <row r="65" spans="1:13">
      <c r="A65" t="s">
        <v>206</v>
      </c>
      <c r="B65" t="s">
        <v>207</v>
      </c>
      <c r="C65" t="s">
        <v>72</v>
      </c>
      <c r="D65" t="s">
        <v>97</v>
      </c>
      <c r="E65" t="s">
        <v>35</v>
      </c>
      <c r="F65" t="s">
        <v>60</v>
      </c>
      <c r="G65" t="s">
        <v>28</v>
      </c>
      <c r="H65" t="s">
        <v>29</v>
      </c>
      <c r="I65">
        <v>208160</v>
      </c>
      <c r="J65">
        <v>5</v>
      </c>
      <c r="K65">
        <v>5</v>
      </c>
      <c r="L65">
        <v>8</v>
      </c>
      <c r="M65" t="s">
        <v>126</v>
      </c>
    </row>
    <row r="66" spans="1:13">
      <c r="A66" t="s">
        <v>208</v>
      </c>
      <c r="B66" t="s">
        <v>209</v>
      </c>
      <c r="C66" t="s">
        <v>33</v>
      </c>
      <c r="D66" t="s">
        <v>165</v>
      </c>
      <c r="E66" t="s">
        <v>35</v>
      </c>
      <c r="F66" t="s">
        <v>53</v>
      </c>
      <c r="G66" t="s">
        <v>28</v>
      </c>
      <c r="H66" t="s">
        <v>64</v>
      </c>
      <c r="I66">
        <v>190589</v>
      </c>
      <c r="J66">
        <v>7</v>
      </c>
      <c r="K66">
        <v>3.9</v>
      </c>
      <c r="L66">
        <v>7</v>
      </c>
      <c r="M66" t="s">
        <v>30</v>
      </c>
    </row>
    <row r="67" spans="1:13">
      <c r="A67" t="s">
        <v>210</v>
      </c>
      <c r="B67" t="s">
        <v>211</v>
      </c>
      <c r="C67" t="s">
        <v>68</v>
      </c>
      <c r="D67" t="s">
        <v>159</v>
      </c>
      <c r="E67" t="s">
        <v>42</v>
      </c>
      <c r="F67" t="s">
        <v>100</v>
      </c>
      <c r="G67" t="s">
        <v>28</v>
      </c>
      <c r="H67" t="s">
        <v>36</v>
      </c>
      <c r="I67">
        <v>3419</v>
      </c>
      <c r="J67">
        <v>1</v>
      </c>
      <c r="K67">
        <v>4.8</v>
      </c>
      <c r="L67">
        <v>8</v>
      </c>
      <c r="M67" t="s">
        <v>65</v>
      </c>
    </row>
    <row r="68" spans="1:13">
      <c r="A68" t="s">
        <v>212</v>
      </c>
      <c r="B68" t="s">
        <v>213</v>
      </c>
      <c r="C68" t="s">
        <v>170</v>
      </c>
      <c r="D68" t="s">
        <v>51</v>
      </c>
      <c r="E68" t="s">
        <v>52</v>
      </c>
      <c r="F68" t="s">
        <v>27</v>
      </c>
      <c r="G68" t="s">
        <v>28</v>
      </c>
      <c r="H68" t="s">
        <v>29</v>
      </c>
      <c r="I68">
        <v>6519</v>
      </c>
      <c r="J68">
        <v>3</v>
      </c>
      <c r="K68">
        <v>4.4000000000000004</v>
      </c>
      <c r="L68">
        <v>2</v>
      </c>
      <c r="M68" t="s">
        <v>119</v>
      </c>
    </row>
    <row r="69" spans="1:13">
      <c r="A69" t="s">
        <v>214</v>
      </c>
      <c r="B69" t="s">
        <v>215</v>
      </c>
      <c r="C69" t="s">
        <v>146</v>
      </c>
      <c r="D69" t="s">
        <v>41</v>
      </c>
      <c r="E69" t="s">
        <v>42</v>
      </c>
      <c r="F69" t="s">
        <v>83</v>
      </c>
      <c r="G69" t="s">
        <v>104</v>
      </c>
      <c r="H69" t="s">
        <v>36</v>
      </c>
      <c r="I69">
        <v>2880</v>
      </c>
      <c r="J69">
        <v>2</v>
      </c>
      <c r="K69">
        <v>5</v>
      </c>
      <c r="L69">
        <v>2</v>
      </c>
      <c r="M69" t="s">
        <v>192</v>
      </c>
    </row>
    <row r="70" spans="1:13">
      <c r="A70" t="s">
        <v>216</v>
      </c>
      <c r="B70" t="s">
        <v>217</v>
      </c>
      <c r="C70" t="s">
        <v>24</v>
      </c>
      <c r="D70" t="s">
        <v>218</v>
      </c>
      <c r="E70" t="s">
        <v>17</v>
      </c>
      <c r="F70" t="s">
        <v>83</v>
      </c>
      <c r="G70" t="s">
        <v>54</v>
      </c>
      <c r="H70" t="s">
        <v>64</v>
      </c>
      <c r="I70">
        <v>5170</v>
      </c>
      <c r="J70">
        <v>5</v>
      </c>
      <c r="K70">
        <v>4.2</v>
      </c>
      <c r="L70">
        <v>3</v>
      </c>
      <c r="M70" t="s">
        <v>144</v>
      </c>
    </row>
    <row r="71" spans="1:13">
      <c r="A71" t="s">
        <v>219</v>
      </c>
      <c r="B71" t="s">
        <v>220</v>
      </c>
      <c r="C71" t="s">
        <v>40</v>
      </c>
      <c r="D71" t="s">
        <v>79</v>
      </c>
      <c r="E71" t="s">
        <v>26</v>
      </c>
      <c r="F71" t="s">
        <v>27</v>
      </c>
      <c r="G71" t="s">
        <v>19</v>
      </c>
      <c r="H71" t="s">
        <v>36</v>
      </c>
      <c r="I71">
        <v>14949</v>
      </c>
      <c r="J71">
        <v>3</v>
      </c>
      <c r="K71">
        <v>4.4000000000000004</v>
      </c>
      <c r="L71">
        <v>8</v>
      </c>
      <c r="M71" t="s">
        <v>65</v>
      </c>
    </row>
    <row r="72" spans="1:13">
      <c r="A72" t="s">
        <v>221</v>
      </c>
      <c r="B72" t="s">
        <v>222</v>
      </c>
      <c r="C72" t="s">
        <v>125</v>
      </c>
      <c r="D72" t="s">
        <v>46</v>
      </c>
      <c r="E72" t="s">
        <v>42</v>
      </c>
      <c r="F72" t="s">
        <v>18</v>
      </c>
      <c r="G72" t="s">
        <v>19</v>
      </c>
      <c r="H72" t="s">
        <v>64</v>
      </c>
      <c r="I72">
        <v>22210</v>
      </c>
      <c r="J72">
        <v>5</v>
      </c>
      <c r="K72">
        <v>3.6</v>
      </c>
      <c r="L72">
        <v>7</v>
      </c>
      <c r="M72" t="s">
        <v>30</v>
      </c>
    </row>
    <row r="73" spans="1:13">
      <c r="A73" t="s">
        <v>223</v>
      </c>
      <c r="B73" t="s">
        <v>224</v>
      </c>
      <c r="C73" t="s">
        <v>45</v>
      </c>
      <c r="D73" t="s">
        <v>59</v>
      </c>
      <c r="E73" t="s">
        <v>26</v>
      </c>
      <c r="F73" t="s">
        <v>27</v>
      </c>
      <c r="G73" t="s">
        <v>28</v>
      </c>
      <c r="H73" t="s">
        <v>29</v>
      </c>
      <c r="I73">
        <v>26485</v>
      </c>
      <c r="J73">
        <v>5</v>
      </c>
      <c r="K73">
        <v>3.2</v>
      </c>
      <c r="L73">
        <v>1</v>
      </c>
      <c r="M73" t="s">
        <v>30</v>
      </c>
    </row>
    <row r="74" spans="1:13">
      <c r="A74" t="s">
        <v>225</v>
      </c>
      <c r="B74" t="s">
        <v>226</v>
      </c>
      <c r="C74" t="s">
        <v>40</v>
      </c>
      <c r="D74" t="s">
        <v>109</v>
      </c>
      <c r="E74" t="s">
        <v>52</v>
      </c>
      <c r="F74" t="s">
        <v>60</v>
      </c>
      <c r="G74" t="s">
        <v>54</v>
      </c>
      <c r="H74" t="s">
        <v>29</v>
      </c>
      <c r="I74">
        <v>5104</v>
      </c>
      <c r="J74">
        <v>4</v>
      </c>
      <c r="K74">
        <v>4.8</v>
      </c>
      <c r="L74">
        <v>1</v>
      </c>
      <c r="M74" t="s">
        <v>37</v>
      </c>
    </row>
    <row r="75" spans="1:13">
      <c r="A75" t="s">
        <v>227</v>
      </c>
      <c r="B75" t="s">
        <v>228</v>
      </c>
      <c r="C75" t="s">
        <v>112</v>
      </c>
      <c r="D75" t="s">
        <v>147</v>
      </c>
      <c r="E75" t="s">
        <v>52</v>
      </c>
      <c r="F75" t="s">
        <v>100</v>
      </c>
      <c r="G75" t="s">
        <v>104</v>
      </c>
      <c r="H75" t="s">
        <v>20</v>
      </c>
      <c r="I75">
        <v>5814</v>
      </c>
      <c r="J75">
        <v>6</v>
      </c>
      <c r="K75">
        <v>4.8</v>
      </c>
      <c r="L75">
        <v>6</v>
      </c>
      <c r="M75" t="s">
        <v>126</v>
      </c>
    </row>
    <row r="76" spans="1:13">
      <c r="A76" t="s">
        <v>229</v>
      </c>
      <c r="B76" t="s">
        <v>228</v>
      </c>
      <c r="C76" t="s">
        <v>78</v>
      </c>
      <c r="D76" t="s">
        <v>97</v>
      </c>
      <c r="E76" t="s">
        <v>35</v>
      </c>
      <c r="F76" t="s">
        <v>53</v>
      </c>
      <c r="G76" t="s">
        <v>54</v>
      </c>
      <c r="H76" t="s">
        <v>64</v>
      </c>
      <c r="I76">
        <v>74214</v>
      </c>
      <c r="J76">
        <v>6</v>
      </c>
      <c r="K76">
        <v>4.7</v>
      </c>
      <c r="L76">
        <v>7</v>
      </c>
      <c r="M76" t="s">
        <v>126</v>
      </c>
    </row>
    <row r="77" spans="1:13">
      <c r="A77" t="s">
        <v>230</v>
      </c>
      <c r="B77" t="s">
        <v>231</v>
      </c>
      <c r="C77" t="s">
        <v>68</v>
      </c>
      <c r="D77" t="s">
        <v>218</v>
      </c>
      <c r="E77" t="s">
        <v>17</v>
      </c>
      <c r="F77" t="s">
        <v>27</v>
      </c>
      <c r="G77" t="s">
        <v>19</v>
      </c>
      <c r="H77" t="s">
        <v>64</v>
      </c>
      <c r="I77">
        <v>2462</v>
      </c>
      <c r="J77">
        <v>2</v>
      </c>
      <c r="K77">
        <v>4.7</v>
      </c>
      <c r="L77">
        <v>6</v>
      </c>
      <c r="M77" t="s">
        <v>30</v>
      </c>
    </row>
    <row r="78" spans="1:13">
      <c r="A78" t="s">
        <v>232</v>
      </c>
      <c r="B78" t="s">
        <v>233</v>
      </c>
      <c r="C78" t="s">
        <v>33</v>
      </c>
      <c r="D78" t="s">
        <v>218</v>
      </c>
      <c r="E78" t="s">
        <v>17</v>
      </c>
      <c r="F78" t="s">
        <v>18</v>
      </c>
      <c r="G78" t="s">
        <v>104</v>
      </c>
      <c r="H78" t="s">
        <v>64</v>
      </c>
      <c r="I78">
        <v>6504</v>
      </c>
      <c r="J78">
        <v>4</v>
      </c>
      <c r="K78">
        <v>3.9</v>
      </c>
      <c r="L78">
        <v>3</v>
      </c>
      <c r="M78" t="s">
        <v>192</v>
      </c>
    </row>
    <row r="79" spans="1:13">
      <c r="A79" t="s">
        <v>234</v>
      </c>
      <c r="B79" t="s">
        <v>235</v>
      </c>
      <c r="C79" t="s">
        <v>133</v>
      </c>
      <c r="D79" t="s">
        <v>16</v>
      </c>
      <c r="E79" t="s">
        <v>17</v>
      </c>
      <c r="F79" t="s">
        <v>27</v>
      </c>
      <c r="G79" t="s">
        <v>54</v>
      </c>
      <c r="H79" t="s">
        <v>64</v>
      </c>
      <c r="I79">
        <v>3285</v>
      </c>
      <c r="J79">
        <v>3</v>
      </c>
      <c r="K79">
        <v>4.3</v>
      </c>
      <c r="L79">
        <v>3</v>
      </c>
      <c r="M79" t="s">
        <v>21</v>
      </c>
    </row>
    <row r="80" spans="1:13">
      <c r="A80" t="s">
        <v>236</v>
      </c>
      <c r="B80" t="s">
        <v>237</v>
      </c>
      <c r="C80" t="s">
        <v>68</v>
      </c>
      <c r="D80" t="s">
        <v>69</v>
      </c>
      <c r="E80" t="s">
        <v>26</v>
      </c>
      <c r="F80" t="s">
        <v>27</v>
      </c>
      <c r="G80" t="s">
        <v>104</v>
      </c>
      <c r="H80" t="s">
        <v>29</v>
      </c>
      <c r="I80">
        <v>8085</v>
      </c>
      <c r="J80">
        <v>1</v>
      </c>
      <c r="K80">
        <v>4.9000000000000004</v>
      </c>
      <c r="L80">
        <v>6</v>
      </c>
      <c r="M80" t="s">
        <v>21</v>
      </c>
    </row>
    <row r="81" spans="1:13">
      <c r="A81" t="s">
        <v>238</v>
      </c>
      <c r="B81" t="s">
        <v>115</v>
      </c>
      <c r="C81" t="s">
        <v>33</v>
      </c>
      <c r="D81" t="s">
        <v>116</v>
      </c>
      <c r="E81" t="s">
        <v>17</v>
      </c>
      <c r="F81" t="s">
        <v>53</v>
      </c>
      <c r="G81" t="s">
        <v>19</v>
      </c>
      <c r="H81" t="s">
        <v>20</v>
      </c>
      <c r="I81">
        <v>2200</v>
      </c>
      <c r="J81">
        <v>4</v>
      </c>
      <c r="K81">
        <v>4.4000000000000004</v>
      </c>
      <c r="L81">
        <v>1</v>
      </c>
      <c r="M81" t="s">
        <v>21</v>
      </c>
    </row>
    <row r="82" spans="1:13">
      <c r="A82" t="s">
        <v>239</v>
      </c>
      <c r="B82" t="s">
        <v>108</v>
      </c>
      <c r="C82" t="s">
        <v>103</v>
      </c>
      <c r="D82" t="s">
        <v>79</v>
      </c>
      <c r="E82" t="s">
        <v>26</v>
      </c>
      <c r="F82" t="s">
        <v>83</v>
      </c>
      <c r="G82" t="s">
        <v>19</v>
      </c>
      <c r="H82" t="s">
        <v>29</v>
      </c>
      <c r="I82">
        <v>12868</v>
      </c>
      <c r="J82">
        <v>4</v>
      </c>
      <c r="K82">
        <v>4.5999999999999996</v>
      </c>
      <c r="L82">
        <v>1</v>
      </c>
      <c r="M82" t="s">
        <v>87</v>
      </c>
    </row>
    <row r="83" spans="1:13">
      <c r="A83" t="s">
        <v>240</v>
      </c>
      <c r="B83" t="s">
        <v>167</v>
      </c>
      <c r="C83" t="s">
        <v>103</v>
      </c>
      <c r="D83" t="s">
        <v>147</v>
      </c>
      <c r="E83" t="s">
        <v>52</v>
      </c>
      <c r="F83" t="s">
        <v>18</v>
      </c>
      <c r="G83" t="s">
        <v>19</v>
      </c>
      <c r="H83" t="s">
        <v>64</v>
      </c>
      <c r="I83">
        <v>310</v>
      </c>
      <c r="J83">
        <v>1</v>
      </c>
      <c r="K83">
        <v>3.8</v>
      </c>
      <c r="L83">
        <v>3</v>
      </c>
      <c r="M83" t="s">
        <v>119</v>
      </c>
    </row>
    <row r="84" spans="1:13">
      <c r="A84" t="s">
        <v>241</v>
      </c>
      <c r="B84" t="s">
        <v>242</v>
      </c>
      <c r="C84" t="s">
        <v>45</v>
      </c>
      <c r="D84" t="s">
        <v>25</v>
      </c>
      <c r="E84" t="s">
        <v>26</v>
      </c>
      <c r="F84" t="s">
        <v>18</v>
      </c>
      <c r="G84" t="s">
        <v>104</v>
      </c>
      <c r="H84" t="s">
        <v>64</v>
      </c>
      <c r="I84">
        <v>20688</v>
      </c>
      <c r="J84">
        <v>8</v>
      </c>
      <c r="K84">
        <v>4</v>
      </c>
      <c r="L84">
        <v>4</v>
      </c>
      <c r="M84" t="s">
        <v>87</v>
      </c>
    </row>
    <row r="85" spans="1:13">
      <c r="A85" t="s">
        <v>243</v>
      </c>
      <c r="B85" t="s">
        <v>244</v>
      </c>
      <c r="C85" t="s">
        <v>45</v>
      </c>
      <c r="D85" t="s">
        <v>16</v>
      </c>
      <c r="E85" t="s">
        <v>17</v>
      </c>
      <c r="F85" t="s">
        <v>83</v>
      </c>
      <c r="G85" t="s">
        <v>54</v>
      </c>
      <c r="H85" t="s">
        <v>20</v>
      </c>
      <c r="I85">
        <v>8211</v>
      </c>
      <c r="J85">
        <v>7</v>
      </c>
      <c r="K85">
        <v>4.8</v>
      </c>
      <c r="L85">
        <v>6</v>
      </c>
      <c r="M85" t="s">
        <v>65</v>
      </c>
    </row>
    <row r="86" spans="1:13">
      <c r="A86" t="s">
        <v>245</v>
      </c>
      <c r="B86" t="s">
        <v>246</v>
      </c>
      <c r="C86" t="s">
        <v>68</v>
      </c>
      <c r="D86" t="s">
        <v>165</v>
      </c>
      <c r="E86" t="s">
        <v>35</v>
      </c>
      <c r="F86" t="s">
        <v>27</v>
      </c>
      <c r="G86" t="s">
        <v>19</v>
      </c>
      <c r="H86" t="s">
        <v>64</v>
      </c>
      <c r="I86">
        <v>246912</v>
      </c>
      <c r="J86">
        <v>6</v>
      </c>
      <c r="K86">
        <v>4.3</v>
      </c>
      <c r="L86">
        <v>2</v>
      </c>
      <c r="M86" t="s">
        <v>192</v>
      </c>
    </row>
    <row r="87" spans="1:13">
      <c r="A87" t="s">
        <v>247</v>
      </c>
      <c r="B87" t="s">
        <v>201</v>
      </c>
      <c r="C87" t="s">
        <v>129</v>
      </c>
      <c r="D87" t="s">
        <v>159</v>
      </c>
      <c r="E87" t="s">
        <v>42</v>
      </c>
      <c r="F87" t="s">
        <v>83</v>
      </c>
      <c r="G87" t="s">
        <v>28</v>
      </c>
      <c r="H87" t="s">
        <v>36</v>
      </c>
      <c r="I87">
        <v>8868</v>
      </c>
      <c r="J87">
        <v>6</v>
      </c>
      <c r="K87">
        <v>4</v>
      </c>
      <c r="L87">
        <v>5</v>
      </c>
      <c r="M87" t="s">
        <v>55</v>
      </c>
    </row>
    <row r="88" spans="1:13">
      <c r="A88" t="s">
        <v>248</v>
      </c>
      <c r="B88" t="s">
        <v>94</v>
      </c>
      <c r="C88" t="s">
        <v>68</v>
      </c>
      <c r="D88" t="s">
        <v>16</v>
      </c>
      <c r="E88" t="s">
        <v>17</v>
      </c>
      <c r="F88" t="s">
        <v>60</v>
      </c>
      <c r="G88" t="s">
        <v>104</v>
      </c>
      <c r="H88" t="s">
        <v>64</v>
      </c>
      <c r="I88">
        <v>3479</v>
      </c>
      <c r="J88">
        <v>7</v>
      </c>
      <c r="K88">
        <v>4.3</v>
      </c>
      <c r="L88">
        <v>6</v>
      </c>
      <c r="M88" t="s">
        <v>87</v>
      </c>
    </row>
    <row r="89" spans="1:13">
      <c r="A89" t="s">
        <v>249</v>
      </c>
      <c r="B89" t="s">
        <v>250</v>
      </c>
      <c r="C89" t="s">
        <v>122</v>
      </c>
      <c r="D89" t="s">
        <v>218</v>
      </c>
      <c r="E89" t="s">
        <v>17</v>
      </c>
      <c r="F89" t="s">
        <v>18</v>
      </c>
      <c r="G89" t="s">
        <v>104</v>
      </c>
      <c r="H89" t="s">
        <v>29</v>
      </c>
      <c r="I89">
        <v>5100</v>
      </c>
      <c r="J89">
        <v>5</v>
      </c>
      <c r="K89">
        <v>3.5</v>
      </c>
      <c r="L89">
        <v>8</v>
      </c>
      <c r="M89" t="s">
        <v>192</v>
      </c>
    </row>
    <row r="90" spans="1:13">
      <c r="A90" t="s">
        <v>251</v>
      </c>
      <c r="B90" t="s">
        <v>252</v>
      </c>
      <c r="C90" t="s">
        <v>170</v>
      </c>
      <c r="D90" t="s">
        <v>218</v>
      </c>
      <c r="E90" t="s">
        <v>17</v>
      </c>
      <c r="F90" t="s">
        <v>53</v>
      </c>
      <c r="G90" t="s">
        <v>54</v>
      </c>
      <c r="H90" t="s">
        <v>20</v>
      </c>
      <c r="I90">
        <v>4712</v>
      </c>
      <c r="J90">
        <v>4</v>
      </c>
      <c r="K90">
        <v>3.5</v>
      </c>
      <c r="L90">
        <v>5</v>
      </c>
      <c r="M90" t="s">
        <v>30</v>
      </c>
    </row>
    <row r="91" spans="1:13">
      <c r="A91" t="s">
        <v>253</v>
      </c>
      <c r="B91" t="s">
        <v>108</v>
      </c>
      <c r="C91" t="s">
        <v>170</v>
      </c>
      <c r="D91" t="s">
        <v>51</v>
      </c>
      <c r="E91" t="s">
        <v>52</v>
      </c>
      <c r="F91" t="s">
        <v>83</v>
      </c>
      <c r="G91" t="s">
        <v>104</v>
      </c>
      <c r="H91" t="s">
        <v>29</v>
      </c>
      <c r="I91">
        <v>1125</v>
      </c>
      <c r="J91">
        <v>3</v>
      </c>
      <c r="K91">
        <v>3.9</v>
      </c>
      <c r="L91">
        <v>8</v>
      </c>
      <c r="M91" t="s">
        <v>87</v>
      </c>
    </row>
    <row r="92" spans="1:13">
      <c r="A92" t="s">
        <v>254</v>
      </c>
      <c r="B92" t="s">
        <v>255</v>
      </c>
      <c r="C92" t="s">
        <v>146</v>
      </c>
      <c r="D92" t="s">
        <v>165</v>
      </c>
      <c r="E92" t="s">
        <v>35</v>
      </c>
      <c r="F92" t="s">
        <v>27</v>
      </c>
      <c r="G92" t="s">
        <v>28</v>
      </c>
      <c r="H92" t="s">
        <v>64</v>
      </c>
      <c r="I92">
        <v>46264</v>
      </c>
      <c r="J92">
        <v>2</v>
      </c>
      <c r="K92">
        <v>4.4000000000000004</v>
      </c>
      <c r="L92">
        <v>5</v>
      </c>
      <c r="M92" t="s">
        <v>192</v>
      </c>
    </row>
    <row r="93" spans="1:13">
      <c r="A93" t="s">
        <v>256</v>
      </c>
      <c r="B93" t="s">
        <v>257</v>
      </c>
      <c r="C93" t="s">
        <v>112</v>
      </c>
      <c r="D93" t="s">
        <v>69</v>
      </c>
      <c r="E93" t="s">
        <v>26</v>
      </c>
      <c r="F93" t="s">
        <v>27</v>
      </c>
      <c r="G93" t="s">
        <v>104</v>
      </c>
      <c r="H93" t="s">
        <v>36</v>
      </c>
      <c r="I93">
        <v>39215</v>
      </c>
      <c r="J93">
        <v>5</v>
      </c>
      <c r="K93">
        <v>3.4</v>
      </c>
      <c r="L93">
        <v>8</v>
      </c>
      <c r="M93" t="s">
        <v>47</v>
      </c>
    </row>
    <row r="94" spans="1:13">
      <c r="A94" t="s">
        <v>258</v>
      </c>
      <c r="B94" t="s">
        <v>259</v>
      </c>
      <c r="C94" t="s">
        <v>170</v>
      </c>
      <c r="D94" t="s">
        <v>51</v>
      </c>
      <c r="E94" t="s">
        <v>52</v>
      </c>
      <c r="F94" t="s">
        <v>18</v>
      </c>
      <c r="G94" t="s">
        <v>54</v>
      </c>
      <c r="H94" t="s">
        <v>64</v>
      </c>
      <c r="I94">
        <v>1087</v>
      </c>
      <c r="J94">
        <v>1</v>
      </c>
      <c r="K94">
        <v>4.5999999999999996</v>
      </c>
      <c r="L94">
        <v>5</v>
      </c>
      <c r="M94" t="s">
        <v>192</v>
      </c>
    </row>
    <row r="95" spans="1:13">
      <c r="A95" t="s">
        <v>260</v>
      </c>
      <c r="B95" t="s">
        <v>261</v>
      </c>
      <c r="C95" t="s">
        <v>50</v>
      </c>
      <c r="D95" t="s">
        <v>159</v>
      </c>
      <c r="E95" t="s">
        <v>42</v>
      </c>
      <c r="F95" t="s">
        <v>27</v>
      </c>
      <c r="G95" t="s">
        <v>54</v>
      </c>
      <c r="H95" t="s">
        <v>64</v>
      </c>
      <c r="I95">
        <v>36939</v>
      </c>
      <c r="J95">
        <v>7</v>
      </c>
      <c r="K95">
        <v>4.7</v>
      </c>
      <c r="L95">
        <v>2</v>
      </c>
      <c r="M95" t="s">
        <v>80</v>
      </c>
    </row>
    <row r="96" spans="1:13">
      <c r="A96" t="s">
        <v>262</v>
      </c>
      <c r="B96" t="s">
        <v>263</v>
      </c>
      <c r="C96" t="s">
        <v>50</v>
      </c>
      <c r="D96" t="s">
        <v>116</v>
      </c>
      <c r="E96" t="s">
        <v>17</v>
      </c>
      <c r="F96" t="s">
        <v>18</v>
      </c>
      <c r="G96" t="s">
        <v>104</v>
      </c>
      <c r="H96" t="s">
        <v>20</v>
      </c>
      <c r="I96">
        <v>8874</v>
      </c>
      <c r="J96">
        <v>6</v>
      </c>
      <c r="K96">
        <v>4</v>
      </c>
      <c r="L96">
        <v>2</v>
      </c>
      <c r="M96" t="s">
        <v>87</v>
      </c>
    </row>
    <row r="97" spans="1:13">
      <c r="A97" t="s">
        <v>264</v>
      </c>
      <c r="B97" t="s">
        <v>118</v>
      </c>
      <c r="C97" t="s">
        <v>50</v>
      </c>
      <c r="D97" t="s">
        <v>69</v>
      </c>
      <c r="E97" t="s">
        <v>26</v>
      </c>
      <c r="F97" t="s">
        <v>53</v>
      </c>
      <c r="G97" t="s">
        <v>104</v>
      </c>
      <c r="H97" t="s">
        <v>20</v>
      </c>
      <c r="I97">
        <v>47628</v>
      </c>
      <c r="J97">
        <v>6</v>
      </c>
      <c r="K97">
        <v>4.3</v>
      </c>
      <c r="L97">
        <v>2</v>
      </c>
      <c r="M97" t="s">
        <v>119</v>
      </c>
    </row>
    <row r="98" spans="1:13">
      <c r="A98" t="s">
        <v>265</v>
      </c>
      <c r="B98" t="s">
        <v>263</v>
      </c>
      <c r="C98" t="s">
        <v>122</v>
      </c>
      <c r="D98" t="s">
        <v>34</v>
      </c>
      <c r="E98" t="s">
        <v>35</v>
      </c>
      <c r="F98" t="s">
        <v>18</v>
      </c>
      <c r="G98" t="s">
        <v>19</v>
      </c>
      <c r="H98" t="s">
        <v>29</v>
      </c>
      <c r="I98">
        <v>55830</v>
      </c>
      <c r="J98">
        <v>2</v>
      </c>
      <c r="K98">
        <v>4.5</v>
      </c>
      <c r="L98">
        <v>3</v>
      </c>
      <c r="M98" t="s">
        <v>87</v>
      </c>
    </row>
    <row r="99" spans="1:13">
      <c r="A99" t="s">
        <v>266</v>
      </c>
      <c r="B99" t="s">
        <v>267</v>
      </c>
      <c r="C99" t="s">
        <v>58</v>
      </c>
      <c r="D99" t="s">
        <v>63</v>
      </c>
      <c r="E99" t="s">
        <v>52</v>
      </c>
      <c r="F99" t="s">
        <v>27</v>
      </c>
      <c r="G99" t="s">
        <v>104</v>
      </c>
      <c r="H99" t="s">
        <v>29</v>
      </c>
      <c r="I99">
        <v>1674</v>
      </c>
      <c r="J99">
        <v>3</v>
      </c>
      <c r="K99">
        <v>4</v>
      </c>
      <c r="L99">
        <v>8</v>
      </c>
      <c r="M99" t="s">
        <v>192</v>
      </c>
    </row>
    <row r="100" spans="1:13">
      <c r="A100" t="s">
        <v>268</v>
      </c>
      <c r="B100" t="s">
        <v>85</v>
      </c>
      <c r="C100" t="s">
        <v>40</v>
      </c>
      <c r="D100" t="s">
        <v>51</v>
      </c>
      <c r="E100" t="s">
        <v>52</v>
      </c>
      <c r="F100" t="s">
        <v>60</v>
      </c>
      <c r="G100" t="s">
        <v>28</v>
      </c>
      <c r="H100" t="s">
        <v>36</v>
      </c>
      <c r="I100">
        <v>11920</v>
      </c>
      <c r="J100">
        <v>8</v>
      </c>
      <c r="K100">
        <v>3.8</v>
      </c>
      <c r="L100">
        <v>2</v>
      </c>
      <c r="M100" t="s">
        <v>87</v>
      </c>
    </row>
    <row r="101" spans="1:13">
      <c r="A101" t="s">
        <v>269</v>
      </c>
      <c r="B101" t="s">
        <v>96</v>
      </c>
      <c r="C101" t="s">
        <v>146</v>
      </c>
      <c r="D101" t="s">
        <v>218</v>
      </c>
      <c r="E101" t="s">
        <v>17</v>
      </c>
      <c r="F101" t="s">
        <v>100</v>
      </c>
      <c r="G101" t="s">
        <v>19</v>
      </c>
      <c r="H101" t="s">
        <v>29</v>
      </c>
      <c r="I101">
        <v>3240</v>
      </c>
      <c r="J101">
        <v>2</v>
      </c>
      <c r="K101">
        <v>3.9</v>
      </c>
      <c r="L101">
        <v>1</v>
      </c>
      <c r="M101" t="s">
        <v>21</v>
      </c>
    </row>
    <row r="102" spans="1:13">
      <c r="A102" t="s">
        <v>270</v>
      </c>
      <c r="B102" t="s">
        <v>271</v>
      </c>
      <c r="C102" t="s">
        <v>33</v>
      </c>
      <c r="D102" t="s">
        <v>69</v>
      </c>
      <c r="E102" t="s">
        <v>26</v>
      </c>
      <c r="F102" t="s">
        <v>83</v>
      </c>
      <c r="G102" t="s">
        <v>28</v>
      </c>
      <c r="H102" t="s">
        <v>64</v>
      </c>
      <c r="I102">
        <v>6543</v>
      </c>
      <c r="J102">
        <v>3</v>
      </c>
      <c r="K102">
        <v>4.0999999999999996</v>
      </c>
      <c r="L102">
        <v>3</v>
      </c>
      <c r="M102" t="s">
        <v>65</v>
      </c>
    </row>
    <row r="103" spans="1:13">
      <c r="A103" t="s">
        <v>272</v>
      </c>
      <c r="B103" t="s">
        <v>273</v>
      </c>
      <c r="C103" t="s">
        <v>75</v>
      </c>
      <c r="D103" t="s">
        <v>79</v>
      </c>
      <c r="E103" t="s">
        <v>26</v>
      </c>
      <c r="F103" t="s">
        <v>53</v>
      </c>
      <c r="G103" t="s">
        <v>54</v>
      </c>
      <c r="H103" t="s">
        <v>64</v>
      </c>
      <c r="I103">
        <v>71538</v>
      </c>
      <c r="J103">
        <v>6</v>
      </c>
      <c r="K103">
        <v>4.3</v>
      </c>
      <c r="L103">
        <v>6</v>
      </c>
      <c r="M103" t="s">
        <v>55</v>
      </c>
    </row>
    <row r="104" spans="1:13">
      <c r="A104" t="s">
        <v>274</v>
      </c>
      <c r="B104" t="s">
        <v>275</v>
      </c>
      <c r="C104" t="s">
        <v>72</v>
      </c>
      <c r="D104" t="s">
        <v>130</v>
      </c>
      <c r="E104" t="s">
        <v>35</v>
      </c>
      <c r="F104" t="s">
        <v>100</v>
      </c>
      <c r="G104" t="s">
        <v>54</v>
      </c>
      <c r="H104" t="s">
        <v>29</v>
      </c>
      <c r="I104">
        <v>236640</v>
      </c>
      <c r="J104">
        <v>3</v>
      </c>
      <c r="K104">
        <v>3.8</v>
      </c>
      <c r="L104">
        <v>7</v>
      </c>
      <c r="M104" t="s">
        <v>119</v>
      </c>
    </row>
    <row r="105" spans="1:13">
      <c r="A105" t="s">
        <v>276</v>
      </c>
      <c r="B105" t="s">
        <v>277</v>
      </c>
      <c r="C105" t="s">
        <v>15</v>
      </c>
      <c r="D105" t="s">
        <v>69</v>
      </c>
      <c r="E105" t="s">
        <v>26</v>
      </c>
      <c r="F105" t="s">
        <v>53</v>
      </c>
      <c r="G105" t="s">
        <v>104</v>
      </c>
      <c r="H105" t="s">
        <v>20</v>
      </c>
      <c r="I105">
        <v>70704</v>
      </c>
      <c r="J105">
        <v>6</v>
      </c>
      <c r="K105">
        <v>4</v>
      </c>
      <c r="L105">
        <v>6</v>
      </c>
      <c r="M105" t="s">
        <v>192</v>
      </c>
    </row>
    <row r="106" spans="1:13">
      <c r="A106" t="s">
        <v>278</v>
      </c>
      <c r="B106" t="s">
        <v>279</v>
      </c>
      <c r="C106" t="s">
        <v>112</v>
      </c>
      <c r="D106" t="s">
        <v>109</v>
      </c>
      <c r="E106" t="s">
        <v>52</v>
      </c>
      <c r="F106" t="s">
        <v>100</v>
      </c>
      <c r="G106" t="s">
        <v>54</v>
      </c>
      <c r="H106" t="s">
        <v>29</v>
      </c>
      <c r="I106">
        <v>3252</v>
      </c>
      <c r="J106">
        <v>4</v>
      </c>
      <c r="K106">
        <v>4.7</v>
      </c>
      <c r="L106">
        <v>2</v>
      </c>
      <c r="M106" t="s">
        <v>65</v>
      </c>
    </row>
    <row r="107" spans="1:13">
      <c r="A107" t="s">
        <v>280</v>
      </c>
      <c r="B107" t="s">
        <v>255</v>
      </c>
      <c r="C107" t="s">
        <v>133</v>
      </c>
      <c r="D107" t="s">
        <v>79</v>
      </c>
      <c r="E107" t="s">
        <v>26</v>
      </c>
      <c r="F107" t="s">
        <v>53</v>
      </c>
      <c r="G107" t="s">
        <v>19</v>
      </c>
      <c r="H107" t="s">
        <v>64</v>
      </c>
      <c r="I107">
        <v>24584</v>
      </c>
      <c r="J107">
        <v>7</v>
      </c>
      <c r="K107">
        <v>4.5</v>
      </c>
      <c r="L107">
        <v>1</v>
      </c>
      <c r="M107" t="s">
        <v>192</v>
      </c>
    </row>
    <row r="108" spans="1:13">
      <c r="A108" t="s">
        <v>281</v>
      </c>
      <c r="B108" t="s">
        <v>282</v>
      </c>
      <c r="C108" t="s">
        <v>146</v>
      </c>
      <c r="D108" t="s">
        <v>59</v>
      </c>
      <c r="E108" t="s">
        <v>26</v>
      </c>
      <c r="F108" t="s">
        <v>53</v>
      </c>
      <c r="G108" t="s">
        <v>28</v>
      </c>
      <c r="H108" t="s">
        <v>64</v>
      </c>
      <c r="I108">
        <v>15912</v>
      </c>
      <c r="J108">
        <v>4</v>
      </c>
      <c r="K108">
        <v>3.9</v>
      </c>
      <c r="L108">
        <v>8</v>
      </c>
      <c r="M108" t="s">
        <v>47</v>
      </c>
    </row>
    <row r="109" spans="1:13">
      <c r="A109" t="s">
        <v>283</v>
      </c>
      <c r="B109" t="s">
        <v>284</v>
      </c>
      <c r="C109" t="s">
        <v>40</v>
      </c>
      <c r="D109" t="s">
        <v>63</v>
      </c>
      <c r="E109" t="s">
        <v>52</v>
      </c>
      <c r="F109" t="s">
        <v>18</v>
      </c>
      <c r="G109" t="s">
        <v>19</v>
      </c>
      <c r="H109" t="s">
        <v>29</v>
      </c>
      <c r="I109">
        <v>1389</v>
      </c>
      <c r="J109">
        <v>3</v>
      </c>
      <c r="K109">
        <v>4.9000000000000004</v>
      </c>
      <c r="L109">
        <v>2</v>
      </c>
      <c r="M109" t="s">
        <v>192</v>
      </c>
    </row>
    <row r="110" spans="1:13">
      <c r="A110" t="s">
        <v>285</v>
      </c>
      <c r="B110" t="s">
        <v>286</v>
      </c>
      <c r="C110" t="s">
        <v>122</v>
      </c>
      <c r="D110" t="s">
        <v>159</v>
      </c>
      <c r="E110" t="s">
        <v>42</v>
      </c>
      <c r="F110" t="s">
        <v>60</v>
      </c>
      <c r="G110" t="s">
        <v>54</v>
      </c>
      <c r="H110" t="s">
        <v>29</v>
      </c>
      <c r="I110">
        <v>1836</v>
      </c>
      <c r="J110">
        <v>2</v>
      </c>
      <c r="K110">
        <v>3.3</v>
      </c>
      <c r="L110">
        <v>6</v>
      </c>
      <c r="M110" t="s">
        <v>47</v>
      </c>
    </row>
    <row r="111" spans="1:13">
      <c r="A111" t="s">
        <v>287</v>
      </c>
      <c r="B111" t="s">
        <v>288</v>
      </c>
      <c r="C111" t="s">
        <v>72</v>
      </c>
      <c r="D111" t="s">
        <v>147</v>
      </c>
      <c r="E111" t="s">
        <v>52</v>
      </c>
      <c r="F111" t="s">
        <v>27</v>
      </c>
      <c r="G111" t="s">
        <v>28</v>
      </c>
      <c r="H111" t="s">
        <v>64</v>
      </c>
      <c r="I111">
        <v>3246</v>
      </c>
      <c r="J111">
        <v>2</v>
      </c>
      <c r="K111">
        <v>3.7</v>
      </c>
      <c r="L111">
        <v>8</v>
      </c>
      <c r="M111" t="s">
        <v>126</v>
      </c>
    </row>
    <row r="112" spans="1:13">
      <c r="A112" t="s">
        <v>289</v>
      </c>
      <c r="B112" t="s">
        <v>290</v>
      </c>
      <c r="C112" t="s">
        <v>40</v>
      </c>
      <c r="D112" t="s">
        <v>25</v>
      </c>
      <c r="E112" t="s">
        <v>26</v>
      </c>
      <c r="F112" t="s">
        <v>83</v>
      </c>
      <c r="G112" t="s">
        <v>104</v>
      </c>
      <c r="H112" t="s">
        <v>36</v>
      </c>
      <c r="I112">
        <v>10775</v>
      </c>
      <c r="J112">
        <v>1</v>
      </c>
      <c r="K112">
        <v>4.0999999999999996</v>
      </c>
      <c r="L112">
        <v>2</v>
      </c>
      <c r="M112" t="s">
        <v>87</v>
      </c>
    </row>
    <row r="113" spans="1:13">
      <c r="A113" t="s">
        <v>291</v>
      </c>
      <c r="B113" t="s">
        <v>292</v>
      </c>
      <c r="C113" t="s">
        <v>72</v>
      </c>
      <c r="D113" t="s">
        <v>86</v>
      </c>
      <c r="E113" t="s">
        <v>17</v>
      </c>
      <c r="F113" t="s">
        <v>53</v>
      </c>
      <c r="G113" t="s">
        <v>28</v>
      </c>
      <c r="H113" t="s">
        <v>36</v>
      </c>
      <c r="I113">
        <v>3424</v>
      </c>
      <c r="J113">
        <v>8</v>
      </c>
      <c r="K113">
        <v>3.2</v>
      </c>
      <c r="L113">
        <v>4</v>
      </c>
      <c r="M113" t="s">
        <v>47</v>
      </c>
    </row>
    <row r="114" spans="1:13">
      <c r="A114" t="s">
        <v>293</v>
      </c>
      <c r="B114" t="s">
        <v>294</v>
      </c>
      <c r="C114" t="s">
        <v>50</v>
      </c>
      <c r="D114" t="s">
        <v>59</v>
      </c>
      <c r="E114" t="s">
        <v>26</v>
      </c>
      <c r="F114" t="s">
        <v>60</v>
      </c>
      <c r="G114" t="s">
        <v>54</v>
      </c>
      <c r="H114" t="s">
        <v>64</v>
      </c>
      <c r="I114">
        <v>13356</v>
      </c>
      <c r="J114">
        <v>7</v>
      </c>
      <c r="K114">
        <v>4.9000000000000004</v>
      </c>
      <c r="L114">
        <v>1</v>
      </c>
      <c r="M114" t="s">
        <v>21</v>
      </c>
    </row>
    <row r="115" spans="1:13">
      <c r="A115" t="s">
        <v>295</v>
      </c>
      <c r="B115" t="s">
        <v>296</v>
      </c>
      <c r="C115" t="s">
        <v>72</v>
      </c>
      <c r="D115" t="s">
        <v>130</v>
      </c>
      <c r="E115" t="s">
        <v>35</v>
      </c>
      <c r="F115" t="s">
        <v>18</v>
      </c>
      <c r="G115" t="s">
        <v>104</v>
      </c>
      <c r="H115" t="s">
        <v>29</v>
      </c>
      <c r="I115">
        <v>204624</v>
      </c>
      <c r="J115">
        <v>6</v>
      </c>
      <c r="K115">
        <v>4.5999999999999996</v>
      </c>
      <c r="L115">
        <v>6</v>
      </c>
      <c r="M115" t="s">
        <v>144</v>
      </c>
    </row>
    <row r="116" spans="1:13">
      <c r="A116" t="s">
        <v>297</v>
      </c>
      <c r="B116" t="s">
        <v>298</v>
      </c>
      <c r="C116" t="s">
        <v>33</v>
      </c>
      <c r="D116" t="s">
        <v>51</v>
      </c>
      <c r="E116" t="s">
        <v>52</v>
      </c>
      <c r="F116" t="s">
        <v>83</v>
      </c>
      <c r="G116" t="s">
        <v>54</v>
      </c>
      <c r="H116" t="s">
        <v>29</v>
      </c>
      <c r="I116">
        <v>7968</v>
      </c>
      <c r="J116">
        <v>8</v>
      </c>
      <c r="K116">
        <v>3.3</v>
      </c>
      <c r="L116">
        <v>4</v>
      </c>
      <c r="M116" t="s">
        <v>119</v>
      </c>
    </row>
    <row r="117" spans="1:13">
      <c r="A117" t="s">
        <v>299</v>
      </c>
      <c r="B117" t="s">
        <v>300</v>
      </c>
      <c r="C117" t="s">
        <v>170</v>
      </c>
      <c r="D117" t="s">
        <v>165</v>
      </c>
      <c r="E117" t="s">
        <v>35</v>
      </c>
      <c r="F117" t="s">
        <v>53</v>
      </c>
      <c r="G117" t="s">
        <v>54</v>
      </c>
      <c r="H117" t="s">
        <v>29</v>
      </c>
      <c r="I117">
        <v>220384</v>
      </c>
      <c r="J117">
        <v>8</v>
      </c>
      <c r="K117">
        <v>4.8</v>
      </c>
      <c r="L117">
        <v>1</v>
      </c>
      <c r="M117" t="s">
        <v>55</v>
      </c>
    </row>
    <row r="118" spans="1:13">
      <c r="A118" t="s">
        <v>301</v>
      </c>
      <c r="B118" t="s">
        <v>302</v>
      </c>
      <c r="C118" t="s">
        <v>75</v>
      </c>
      <c r="D118" t="s">
        <v>90</v>
      </c>
      <c r="E118" t="s">
        <v>42</v>
      </c>
      <c r="F118" t="s">
        <v>27</v>
      </c>
      <c r="G118" t="s">
        <v>28</v>
      </c>
      <c r="H118" t="s">
        <v>36</v>
      </c>
      <c r="I118">
        <v>33425</v>
      </c>
      <c r="J118">
        <v>7</v>
      </c>
      <c r="K118">
        <v>4.9000000000000004</v>
      </c>
      <c r="L118">
        <v>5</v>
      </c>
      <c r="M118" t="s">
        <v>47</v>
      </c>
    </row>
    <row r="119" spans="1:13">
      <c r="A119" t="s">
        <v>303</v>
      </c>
      <c r="B119" t="s">
        <v>304</v>
      </c>
      <c r="C119" t="s">
        <v>45</v>
      </c>
      <c r="D119" t="s">
        <v>159</v>
      </c>
      <c r="E119" t="s">
        <v>42</v>
      </c>
      <c r="F119" t="s">
        <v>27</v>
      </c>
      <c r="G119" t="s">
        <v>28</v>
      </c>
      <c r="H119" t="s">
        <v>20</v>
      </c>
      <c r="I119">
        <v>16930</v>
      </c>
      <c r="J119">
        <v>5</v>
      </c>
      <c r="K119">
        <v>3.7</v>
      </c>
      <c r="L119">
        <v>8</v>
      </c>
      <c r="M119" t="s">
        <v>30</v>
      </c>
    </row>
    <row r="120" spans="1:13">
      <c r="A120" t="s">
        <v>305</v>
      </c>
      <c r="B120" t="s">
        <v>306</v>
      </c>
      <c r="C120" t="s">
        <v>75</v>
      </c>
      <c r="D120" t="s">
        <v>46</v>
      </c>
      <c r="E120" t="s">
        <v>42</v>
      </c>
      <c r="F120" t="s">
        <v>27</v>
      </c>
      <c r="G120" t="s">
        <v>28</v>
      </c>
      <c r="H120" t="s">
        <v>29</v>
      </c>
      <c r="I120">
        <v>4263</v>
      </c>
      <c r="J120">
        <v>1</v>
      </c>
      <c r="K120">
        <v>4.4000000000000004</v>
      </c>
      <c r="L120">
        <v>1</v>
      </c>
      <c r="M120" t="s">
        <v>47</v>
      </c>
    </row>
    <row r="121" spans="1:13">
      <c r="A121" t="s">
        <v>307</v>
      </c>
      <c r="B121" t="s">
        <v>308</v>
      </c>
      <c r="C121" t="s">
        <v>129</v>
      </c>
      <c r="D121" t="s">
        <v>79</v>
      </c>
      <c r="E121" t="s">
        <v>26</v>
      </c>
      <c r="F121" t="s">
        <v>60</v>
      </c>
      <c r="G121" t="s">
        <v>54</v>
      </c>
      <c r="H121" t="s">
        <v>20</v>
      </c>
      <c r="I121">
        <v>5703</v>
      </c>
      <c r="J121">
        <v>3</v>
      </c>
      <c r="K121">
        <v>3.6</v>
      </c>
      <c r="L121">
        <v>6</v>
      </c>
      <c r="M121" t="s">
        <v>144</v>
      </c>
    </row>
    <row r="122" spans="1:13">
      <c r="A122" t="s">
        <v>309</v>
      </c>
      <c r="B122" t="s">
        <v>310</v>
      </c>
      <c r="C122" t="s">
        <v>122</v>
      </c>
      <c r="D122" t="s">
        <v>46</v>
      </c>
      <c r="E122" t="s">
        <v>42</v>
      </c>
      <c r="F122" t="s">
        <v>18</v>
      </c>
      <c r="G122" t="s">
        <v>54</v>
      </c>
      <c r="H122" t="s">
        <v>20</v>
      </c>
      <c r="I122">
        <v>29648</v>
      </c>
      <c r="J122">
        <v>8</v>
      </c>
      <c r="K122">
        <v>3.8</v>
      </c>
      <c r="L122">
        <v>5</v>
      </c>
      <c r="M122" t="s">
        <v>55</v>
      </c>
    </row>
    <row r="123" spans="1:13">
      <c r="A123" t="s">
        <v>311</v>
      </c>
      <c r="B123" t="s">
        <v>23</v>
      </c>
      <c r="C123" t="s">
        <v>179</v>
      </c>
      <c r="D123" t="s">
        <v>90</v>
      </c>
      <c r="E123" t="s">
        <v>42</v>
      </c>
      <c r="F123" t="s">
        <v>18</v>
      </c>
      <c r="G123" t="s">
        <v>19</v>
      </c>
      <c r="H123" t="s">
        <v>36</v>
      </c>
      <c r="I123">
        <v>4914</v>
      </c>
      <c r="J123">
        <v>2</v>
      </c>
      <c r="K123">
        <v>3.7</v>
      </c>
      <c r="L123">
        <v>8</v>
      </c>
      <c r="M123" t="s">
        <v>30</v>
      </c>
    </row>
    <row r="124" spans="1:13">
      <c r="A124" t="s">
        <v>312</v>
      </c>
      <c r="B124" t="s">
        <v>313</v>
      </c>
      <c r="C124" t="s">
        <v>24</v>
      </c>
      <c r="D124" t="s">
        <v>159</v>
      </c>
      <c r="E124" t="s">
        <v>42</v>
      </c>
      <c r="F124" t="s">
        <v>27</v>
      </c>
      <c r="G124" t="s">
        <v>19</v>
      </c>
      <c r="H124" t="s">
        <v>29</v>
      </c>
      <c r="I124">
        <v>2462</v>
      </c>
      <c r="J124">
        <v>2</v>
      </c>
      <c r="K124">
        <v>4.2</v>
      </c>
      <c r="L124">
        <v>5</v>
      </c>
      <c r="M124" t="s">
        <v>47</v>
      </c>
    </row>
    <row r="125" spans="1:13">
      <c r="A125" t="s">
        <v>314</v>
      </c>
      <c r="B125" t="s">
        <v>203</v>
      </c>
      <c r="C125" t="s">
        <v>146</v>
      </c>
      <c r="D125" t="s">
        <v>79</v>
      </c>
      <c r="E125" t="s">
        <v>26</v>
      </c>
      <c r="F125" t="s">
        <v>100</v>
      </c>
      <c r="G125" t="s">
        <v>19</v>
      </c>
      <c r="H125" t="s">
        <v>36</v>
      </c>
      <c r="I125">
        <v>26848</v>
      </c>
      <c r="J125">
        <v>4</v>
      </c>
      <c r="K125">
        <v>4.2</v>
      </c>
      <c r="L125">
        <v>6</v>
      </c>
      <c r="M125" t="s">
        <v>80</v>
      </c>
    </row>
    <row r="126" spans="1:13">
      <c r="A126" t="s">
        <v>315</v>
      </c>
      <c r="B126" t="s">
        <v>300</v>
      </c>
      <c r="C126" t="s">
        <v>75</v>
      </c>
      <c r="D126" t="s">
        <v>218</v>
      </c>
      <c r="E126" t="s">
        <v>17</v>
      </c>
      <c r="F126" t="s">
        <v>60</v>
      </c>
      <c r="G126" t="s">
        <v>28</v>
      </c>
      <c r="H126" t="s">
        <v>29</v>
      </c>
      <c r="I126">
        <v>11008</v>
      </c>
      <c r="J126">
        <v>8</v>
      </c>
      <c r="K126">
        <v>3.4</v>
      </c>
      <c r="L126">
        <v>6</v>
      </c>
      <c r="M126" t="s">
        <v>55</v>
      </c>
    </row>
    <row r="127" spans="1:13">
      <c r="A127" t="s">
        <v>316</v>
      </c>
      <c r="B127" t="s">
        <v>261</v>
      </c>
      <c r="C127" t="s">
        <v>170</v>
      </c>
      <c r="D127" t="s">
        <v>63</v>
      </c>
      <c r="E127" t="s">
        <v>52</v>
      </c>
      <c r="F127" t="s">
        <v>27</v>
      </c>
      <c r="G127" t="s">
        <v>19</v>
      </c>
      <c r="H127" t="s">
        <v>29</v>
      </c>
      <c r="I127">
        <v>3332</v>
      </c>
      <c r="J127">
        <v>7</v>
      </c>
      <c r="K127">
        <v>3.7</v>
      </c>
      <c r="L127">
        <v>3</v>
      </c>
      <c r="M127" t="s">
        <v>80</v>
      </c>
    </row>
    <row r="128" spans="1:13">
      <c r="A128" t="s">
        <v>317</v>
      </c>
      <c r="B128" t="s">
        <v>290</v>
      </c>
      <c r="C128" t="s">
        <v>112</v>
      </c>
      <c r="D128" t="s">
        <v>59</v>
      </c>
      <c r="E128" t="s">
        <v>26</v>
      </c>
      <c r="F128" t="s">
        <v>27</v>
      </c>
      <c r="G128" t="s">
        <v>19</v>
      </c>
      <c r="H128" t="s">
        <v>20</v>
      </c>
      <c r="I128">
        <v>28805</v>
      </c>
      <c r="J128">
        <v>5</v>
      </c>
      <c r="K128">
        <v>4.3</v>
      </c>
      <c r="L128">
        <v>2</v>
      </c>
      <c r="M128" t="s">
        <v>87</v>
      </c>
    </row>
    <row r="129" spans="1:13">
      <c r="A129" t="s">
        <v>318</v>
      </c>
      <c r="B129" t="s">
        <v>319</v>
      </c>
      <c r="C129" t="s">
        <v>58</v>
      </c>
      <c r="D129" t="s">
        <v>109</v>
      </c>
      <c r="E129" t="s">
        <v>52</v>
      </c>
      <c r="F129" t="s">
        <v>60</v>
      </c>
      <c r="G129" t="s">
        <v>54</v>
      </c>
      <c r="H129" t="s">
        <v>64</v>
      </c>
      <c r="I129">
        <v>582</v>
      </c>
      <c r="J129">
        <v>1</v>
      </c>
      <c r="K129">
        <v>3.7</v>
      </c>
      <c r="L129">
        <v>4</v>
      </c>
      <c r="M129" t="s">
        <v>30</v>
      </c>
    </row>
    <row r="130" spans="1:13">
      <c r="A130" t="s">
        <v>320</v>
      </c>
      <c r="B130" t="s">
        <v>321</v>
      </c>
      <c r="C130" t="s">
        <v>24</v>
      </c>
      <c r="D130" t="s">
        <v>59</v>
      </c>
      <c r="E130" t="s">
        <v>26</v>
      </c>
      <c r="F130" t="s">
        <v>60</v>
      </c>
      <c r="G130" t="s">
        <v>28</v>
      </c>
      <c r="H130" t="s">
        <v>64</v>
      </c>
      <c r="I130">
        <v>41150</v>
      </c>
      <c r="J130">
        <v>5</v>
      </c>
      <c r="K130">
        <v>3.3</v>
      </c>
      <c r="L130">
        <v>1</v>
      </c>
      <c r="M130" t="s">
        <v>192</v>
      </c>
    </row>
    <row r="131" spans="1:13">
      <c r="A131" t="s">
        <v>322</v>
      </c>
      <c r="B131" t="s">
        <v>207</v>
      </c>
      <c r="C131" t="s">
        <v>170</v>
      </c>
      <c r="D131" t="s">
        <v>159</v>
      </c>
      <c r="E131" t="s">
        <v>42</v>
      </c>
      <c r="F131" t="s">
        <v>83</v>
      </c>
      <c r="G131" t="s">
        <v>28</v>
      </c>
      <c r="H131" t="s">
        <v>36</v>
      </c>
      <c r="I131">
        <v>11898</v>
      </c>
      <c r="J131">
        <v>3</v>
      </c>
      <c r="K131">
        <v>4.5999999999999996</v>
      </c>
      <c r="L131">
        <v>2</v>
      </c>
      <c r="M131" t="s">
        <v>126</v>
      </c>
    </row>
    <row r="132" spans="1:13">
      <c r="A132" t="s">
        <v>323</v>
      </c>
      <c r="B132" t="s">
        <v>324</v>
      </c>
      <c r="C132" t="s">
        <v>170</v>
      </c>
      <c r="D132" t="s">
        <v>97</v>
      </c>
      <c r="E132" t="s">
        <v>35</v>
      </c>
      <c r="F132" t="s">
        <v>100</v>
      </c>
      <c r="G132" t="s">
        <v>104</v>
      </c>
      <c r="H132" t="s">
        <v>20</v>
      </c>
      <c r="I132">
        <v>121614</v>
      </c>
      <c r="J132">
        <v>3</v>
      </c>
      <c r="K132">
        <v>4</v>
      </c>
      <c r="L132">
        <v>3</v>
      </c>
      <c r="M132" t="s">
        <v>21</v>
      </c>
    </row>
    <row r="133" spans="1:13">
      <c r="A133" t="s">
        <v>325</v>
      </c>
      <c r="B133" t="s">
        <v>326</v>
      </c>
      <c r="C133" t="s">
        <v>122</v>
      </c>
      <c r="D133" t="s">
        <v>51</v>
      </c>
      <c r="E133" t="s">
        <v>52</v>
      </c>
      <c r="F133" t="s">
        <v>83</v>
      </c>
      <c r="G133" t="s">
        <v>104</v>
      </c>
      <c r="H133" t="s">
        <v>36</v>
      </c>
      <c r="I133">
        <v>12104</v>
      </c>
      <c r="J133">
        <v>8</v>
      </c>
      <c r="K133">
        <v>4.9000000000000004</v>
      </c>
      <c r="L133">
        <v>8</v>
      </c>
      <c r="M133" t="s">
        <v>65</v>
      </c>
    </row>
    <row r="134" spans="1:13">
      <c r="A134" t="s">
        <v>327</v>
      </c>
      <c r="B134" t="s">
        <v>211</v>
      </c>
      <c r="C134" t="s">
        <v>129</v>
      </c>
      <c r="D134" t="s">
        <v>218</v>
      </c>
      <c r="E134" t="s">
        <v>17</v>
      </c>
      <c r="F134" t="s">
        <v>60</v>
      </c>
      <c r="G134" t="s">
        <v>104</v>
      </c>
      <c r="H134" t="s">
        <v>36</v>
      </c>
      <c r="I134">
        <v>7080</v>
      </c>
      <c r="J134">
        <v>8</v>
      </c>
      <c r="K134">
        <v>3.4</v>
      </c>
      <c r="L134">
        <v>5</v>
      </c>
      <c r="M134" t="s">
        <v>65</v>
      </c>
    </row>
    <row r="135" spans="1:13">
      <c r="A135" t="s">
        <v>328</v>
      </c>
      <c r="B135" t="s">
        <v>102</v>
      </c>
      <c r="C135" t="s">
        <v>45</v>
      </c>
      <c r="D135" t="s">
        <v>41</v>
      </c>
      <c r="E135" t="s">
        <v>42</v>
      </c>
      <c r="F135" t="s">
        <v>27</v>
      </c>
      <c r="G135" t="s">
        <v>54</v>
      </c>
      <c r="H135" t="s">
        <v>20</v>
      </c>
      <c r="I135">
        <v>15456</v>
      </c>
      <c r="J135">
        <v>4</v>
      </c>
      <c r="K135">
        <v>4</v>
      </c>
      <c r="L135">
        <v>5</v>
      </c>
      <c r="M135" t="s">
        <v>30</v>
      </c>
    </row>
    <row r="136" spans="1:13">
      <c r="A136" t="s">
        <v>329</v>
      </c>
      <c r="B136" t="s">
        <v>330</v>
      </c>
      <c r="C136" t="s">
        <v>33</v>
      </c>
      <c r="D136" t="s">
        <v>116</v>
      </c>
      <c r="E136" t="s">
        <v>17</v>
      </c>
      <c r="F136" t="s">
        <v>18</v>
      </c>
      <c r="G136" t="s">
        <v>19</v>
      </c>
      <c r="H136" t="s">
        <v>29</v>
      </c>
      <c r="I136">
        <v>8652</v>
      </c>
      <c r="J136">
        <v>6</v>
      </c>
      <c r="K136">
        <v>4.0999999999999996</v>
      </c>
      <c r="L136">
        <v>1</v>
      </c>
      <c r="M136" t="s">
        <v>55</v>
      </c>
    </row>
    <row r="137" spans="1:13">
      <c r="A137" t="s">
        <v>331</v>
      </c>
      <c r="B137" t="s">
        <v>332</v>
      </c>
      <c r="C137" t="s">
        <v>58</v>
      </c>
      <c r="D137" t="s">
        <v>90</v>
      </c>
      <c r="E137" t="s">
        <v>42</v>
      </c>
      <c r="F137" t="s">
        <v>53</v>
      </c>
      <c r="G137" t="s">
        <v>28</v>
      </c>
      <c r="H137" t="s">
        <v>29</v>
      </c>
      <c r="I137">
        <v>11757</v>
      </c>
      <c r="J137">
        <v>3</v>
      </c>
      <c r="K137">
        <v>4.5</v>
      </c>
      <c r="L137">
        <v>5</v>
      </c>
      <c r="M137" t="s">
        <v>80</v>
      </c>
    </row>
    <row r="138" spans="1:13">
      <c r="A138" t="s">
        <v>333</v>
      </c>
      <c r="B138" t="s">
        <v>334</v>
      </c>
      <c r="C138" t="s">
        <v>45</v>
      </c>
      <c r="D138" t="s">
        <v>41</v>
      </c>
      <c r="E138" t="s">
        <v>42</v>
      </c>
      <c r="F138" t="s">
        <v>60</v>
      </c>
      <c r="G138" t="s">
        <v>104</v>
      </c>
      <c r="H138" t="s">
        <v>20</v>
      </c>
      <c r="I138">
        <v>32886</v>
      </c>
      <c r="J138">
        <v>6</v>
      </c>
      <c r="K138">
        <v>4.5999999999999996</v>
      </c>
      <c r="L138">
        <v>1</v>
      </c>
      <c r="M138" t="s">
        <v>55</v>
      </c>
    </row>
    <row r="139" spans="1:13">
      <c r="A139" t="s">
        <v>335</v>
      </c>
      <c r="B139" t="s">
        <v>336</v>
      </c>
      <c r="C139" t="s">
        <v>170</v>
      </c>
      <c r="D139" t="s">
        <v>116</v>
      </c>
      <c r="E139" t="s">
        <v>17</v>
      </c>
      <c r="F139" t="s">
        <v>60</v>
      </c>
      <c r="G139" t="s">
        <v>19</v>
      </c>
      <c r="H139" t="s">
        <v>64</v>
      </c>
      <c r="I139">
        <v>4214</v>
      </c>
      <c r="J139">
        <v>7</v>
      </c>
      <c r="K139">
        <v>3.5</v>
      </c>
      <c r="L139">
        <v>8</v>
      </c>
      <c r="M139" t="s">
        <v>80</v>
      </c>
    </row>
    <row r="140" spans="1:13">
      <c r="A140" t="s">
        <v>337</v>
      </c>
      <c r="B140" t="s">
        <v>271</v>
      </c>
      <c r="C140" t="s">
        <v>112</v>
      </c>
      <c r="D140" t="s">
        <v>51</v>
      </c>
      <c r="E140" t="s">
        <v>52</v>
      </c>
      <c r="F140" t="s">
        <v>60</v>
      </c>
      <c r="G140" t="s">
        <v>104</v>
      </c>
      <c r="H140" t="s">
        <v>20</v>
      </c>
      <c r="I140">
        <v>4040</v>
      </c>
      <c r="J140">
        <v>8</v>
      </c>
      <c r="K140">
        <v>4.2</v>
      </c>
      <c r="L140">
        <v>8</v>
      </c>
      <c r="M140" t="s">
        <v>65</v>
      </c>
    </row>
    <row r="141" spans="1:13">
      <c r="A141" t="s">
        <v>338</v>
      </c>
      <c r="B141" t="s">
        <v>304</v>
      </c>
      <c r="C141" t="s">
        <v>78</v>
      </c>
      <c r="D141" t="s">
        <v>46</v>
      </c>
      <c r="E141" t="s">
        <v>42</v>
      </c>
      <c r="F141" t="s">
        <v>53</v>
      </c>
      <c r="G141" t="s">
        <v>19</v>
      </c>
      <c r="H141" t="s">
        <v>29</v>
      </c>
      <c r="I141">
        <v>27996</v>
      </c>
      <c r="J141">
        <v>6</v>
      </c>
      <c r="K141">
        <v>4.9000000000000004</v>
      </c>
      <c r="L141">
        <v>5</v>
      </c>
      <c r="M141" t="s">
        <v>30</v>
      </c>
    </row>
    <row r="142" spans="1:13">
      <c r="A142" t="s">
        <v>339</v>
      </c>
      <c r="B142" t="s">
        <v>118</v>
      </c>
      <c r="C142" t="s">
        <v>50</v>
      </c>
      <c r="D142" t="s">
        <v>34</v>
      </c>
      <c r="E142" t="s">
        <v>35</v>
      </c>
      <c r="F142" t="s">
        <v>53</v>
      </c>
      <c r="G142" t="s">
        <v>19</v>
      </c>
      <c r="H142" t="s">
        <v>29</v>
      </c>
      <c r="I142">
        <v>385744</v>
      </c>
      <c r="J142">
        <v>8</v>
      </c>
      <c r="K142">
        <v>3.7</v>
      </c>
      <c r="L142">
        <v>7</v>
      </c>
      <c r="M142" t="s">
        <v>119</v>
      </c>
    </row>
    <row r="143" spans="1:13">
      <c r="A143" t="s">
        <v>340</v>
      </c>
      <c r="B143" t="s">
        <v>290</v>
      </c>
      <c r="C143" t="s">
        <v>78</v>
      </c>
      <c r="D143" t="s">
        <v>218</v>
      </c>
      <c r="E143" t="s">
        <v>17</v>
      </c>
      <c r="F143" t="s">
        <v>27</v>
      </c>
      <c r="G143" t="s">
        <v>104</v>
      </c>
      <c r="H143" t="s">
        <v>20</v>
      </c>
      <c r="I143">
        <v>7230</v>
      </c>
      <c r="J143">
        <v>6</v>
      </c>
      <c r="K143">
        <v>4.7</v>
      </c>
      <c r="L143">
        <v>5</v>
      </c>
      <c r="M143" t="s">
        <v>87</v>
      </c>
    </row>
    <row r="144" spans="1:13">
      <c r="A144" t="s">
        <v>341</v>
      </c>
      <c r="B144" t="s">
        <v>342</v>
      </c>
      <c r="C144" t="s">
        <v>170</v>
      </c>
      <c r="D144" t="s">
        <v>86</v>
      </c>
      <c r="E144" t="s">
        <v>17</v>
      </c>
      <c r="F144" t="s">
        <v>27</v>
      </c>
      <c r="G144" t="s">
        <v>28</v>
      </c>
      <c r="H144" t="s">
        <v>36</v>
      </c>
      <c r="I144">
        <v>1671</v>
      </c>
      <c r="J144">
        <v>1</v>
      </c>
      <c r="K144">
        <v>3.3</v>
      </c>
      <c r="L144">
        <v>7</v>
      </c>
      <c r="M144" t="s">
        <v>21</v>
      </c>
    </row>
    <row r="145" spans="1:13">
      <c r="A145" t="s">
        <v>343</v>
      </c>
      <c r="B145" t="s">
        <v>344</v>
      </c>
      <c r="C145" t="s">
        <v>75</v>
      </c>
      <c r="D145" t="s">
        <v>147</v>
      </c>
      <c r="E145" t="s">
        <v>52</v>
      </c>
      <c r="F145" t="s">
        <v>27</v>
      </c>
      <c r="G145" t="s">
        <v>19</v>
      </c>
      <c r="H145" t="s">
        <v>36</v>
      </c>
      <c r="I145">
        <v>6594</v>
      </c>
      <c r="J145">
        <v>3</v>
      </c>
      <c r="K145">
        <v>3.8</v>
      </c>
      <c r="L145">
        <v>1</v>
      </c>
      <c r="M145" t="s">
        <v>30</v>
      </c>
    </row>
    <row r="146" spans="1:13">
      <c r="A146" t="s">
        <v>345</v>
      </c>
      <c r="B146" t="s">
        <v>346</v>
      </c>
      <c r="C146" t="s">
        <v>170</v>
      </c>
      <c r="D146" t="s">
        <v>51</v>
      </c>
      <c r="E146" t="s">
        <v>52</v>
      </c>
      <c r="F146" t="s">
        <v>53</v>
      </c>
      <c r="G146" t="s">
        <v>28</v>
      </c>
      <c r="H146" t="s">
        <v>64</v>
      </c>
      <c r="I146">
        <v>2279</v>
      </c>
      <c r="J146">
        <v>1</v>
      </c>
      <c r="K146">
        <v>3.2</v>
      </c>
      <c r="L146">
        <v>2</v>
      </c>
      <c r="M146" t="s">
        <v>37</v>
      </c>
    </row>
    <row r="147" spans="1:13">
      <c r="A147" t="s">
        <v>347</v>
      </c>
      <c r="B147" t="s">
        <v>348</v>
      </c>
      <c r="C147" t="s">
        <v>15</v>
      </c>
      <c r="D147" t="s">
        <v>51</v>
      </c>
      <c r="E147" t="s">
        <v>52</v>
      </c>
      <c r="F147" t="s">
        <v>27</v>
      </c>
      <c r="G147" t="s">
        <v>104</v>
      </c>
      <c r="H147" t="s">
        <v>29</v>
      </c>
      <c r="I147">
        <v>6416</v>
      </c>
      <c r="J147">
        <v>4</v>
      </c>
      <c r="K147">
        <v>3.7</v>
      </c>
      <c r="L147">
        <v>3</v>
      </c>
      <c r="M147" t="s">
        <v>21</v>
      </c>
    </row>
    <row r="148" spans="1:13">
      <c r="A148" t="s">
        <v>349</v>
      </c>
      <c r="B148" t="s">
        <v>350</v>
      </c>
      <c r="C148" t="s">
        <v>72</v>
      </c>
      <c r="D148" t="s">
        <v>79</v>
      </c>
      <c r="E148" t="s">
        <v>26</v>
      </c>
      <c r="F148" t="s">
        <v>60</v>
      </c>
      <c r="G148" t="s">
        <v>104</v>
      </c>
      <c r="H148" t="s">
        <v>20</v>
      </c>
      <c r="I148">
        <v>51569</v>
      </c>
      <c r="J148">
        <v>7</v>
      </c>
      <c r="K148">
        <v>4.4000000000000004</v>
      </c>
      <c r="L148">
        <v>3</v>
      </c>
      <c r="M148" t="s">
        <v>80</v>
      </c>
    </row>
    <row r="149" spans="1:13">
      <c r="A149" t="s">
        <v>351</v>
      </c>
      <c r="B149" t="s">
        <v>352</v>
      </c>
      <c r="C149" t="s">
        <v>103</v>
      </c>
      <c r="D149" t="s">
        <v>218</v>
      </c>
      <c r="E149" t="s">
        <v>17</v>
      </c>
      <c r="F149" t="s">
        <v>27</v>
      </c>
      <c r="G149" t="s">
        <v>104</v>
      </c>
      <c r="H149" t="s">
        <v>20</v>
      </c>
      <c r="I149">
        <v>4856</v>
      </c>
      <c r="J149">
        <v>4</v>
      </c>
      <c r="K149">
        <v>4.5</v>
      </c>
      <c r="L149">
        <v>1</v>
      </c>
      <c r="M149" t="s">
        <v>55</v>
      </c>
    </row>
    <row r="150" spans="1:13">
      <c r="A150" t="s">
        <v>353</v>
      </c>
      <c r="B150" t="s">
        <v>354</v>
      </c>
      <c r="C150" t="s">
        <v>129</v>
      </c>
      <c r="D150" t="s">
        <v>16</v>
      </c>
      <c r="E150" t="s">
        <v>17</v>
      </c>
      <c r="F150" t="s">
        <v>100</v>
      </c>
      <c r="G150" t="s">
        <v>19</v>
      </c>
      <c r="H150" t="s">
        <v>20</v>
      </c>
      <c r="I150">
        <v>3135</v>
      </c>
      <c r="J150">
        <v>5</v>
      </c>
      <c r="K150">
        <v>4.3</v>
      </c>
      <c r="L150">
        <v>5</v>
      </c>
      <c r="M150" t="s">
        <v>47</v>
      </c>
    </row>
    <row r="151" spans="1:13">
      <c r="A151" t="s">
        <v>355</v>
      </c>
      <c r="B151" t="s">
        <v>356</v>
      </c>
      <c r="C151" t="s">
        <v>122</v>
      </c>
      <c r="D151" t="s">
        <v>51</v>
      </c>
      <c r="E151" t="s">
        <v>52</v>
      </c>
      <c r="F151" t="s">
        <v>27</v>
      </c>
      <c r="G151" t="s">
        <v>54</v>
      </c>
      <c r="H151" t="s">
        <v>64</v>
      </c>
      <c r="I151">
        <v>14240</v>
      </c>
      <c r="J151">
        <v>8</v>
      </c>
      <c r="K151">
        <v>4.5999999999999996</v>
      </c>
      <c r="L151">
        <v>4</v>
      </c>
      <c r="M151" t="s">
        <v>80</v>
      </c>
    </row>
    <row r="152" spans="1:13">
      <c r="A152" t="s">
        <v>357</v>
      </c>
      <c r="B152" t="s">
        <v>263</v>
      </c>
      <c r="C152" t="s">
        <v>170</v>
      </c>
      <c r="D152" t="s">
        <v>59</v>
      </c>
      <c r="E152" t="s">
        <v>26</v>
      </c>
      <c r="F152" t="s">
        <v>100</v>
      </c>
      <c r="G152" t="s">
        <v>28</v>
      </c>
      <c r="H152" t="s">
        <v>36</v>
      </c>
      <c r="I152">
        <v>20366</v>
      </c>
      <c r="J152">
        <v>2</v>
      </c>
      <c r="K152">
        <v>4.2</v>
      </c>
      <c r="L152">
        <v>3</v>
      </c>
      <c r="M152" t="s">
        <v>87</v>
      </c>
    </row>
    <row r="153" spans="1:13">
      <c r="A153" t="s">
        <v>358</v>
      </c>
      <c r="B153" t="s">
        <v>359</v>
      </c>
      <c r="C153" t="s">
        <v>78</v>
      </c>
      <c r="D153" t="s">
        <v>51</v>
      </c>
      <c r="E153" t="s">
        <v>52</v>
      </c>
      <c r="F153" t="s">
        <v>60</v>
      </c>
      <c r="G153" t="s">
        <v>104</v>
      </c>
      <c r="H153" t="s">
        <v>36</v>
      </c>
      <c r="I153">
        <v>16856</v>
      </c>
      <c r="J153">
        <v>8</v>
      </c>
      <c r="K153">
        <v>4</v>
      </c>
      <c r="L153">
        <v>1</v>
      </c>
      <c r="M153" t="s">
        <v>87</v>
      </c>
    </row>
    <row r="154" spans="1:13">
      <c r="A154" t="s">
        <v>360</v>
      </c>
      <c r="B154" t="s">
        <v>361</v>
      </c>
      <c r="C154" t="s">
        <v>75</v>
      </c>
      <c r="D154" t="s">
        <v>46</v>
      </c>
      <c r="E154" t="s">
        <v>42</v>
      </c>
      <c r="F154" t="s">
        <v>60</v>
      </c>
      <c r="G154" t="s">
        <v>54</v>
      </c>
      <c r="H154" t="s">
        <v>29</v>
      </c>
      <c r="I154">
        <v>16680</v>
      </c>
      <c r="J154">
        <v>4</v>
      </c>
      <c r="K154">
        <v>4.5</v>
      </c>
      <c r="L154">
        <v>1</v>
      </c>
      <c r="M154" t="s">
        <v>144</v>
      </c>
    </row>
    <row r="155" spans="1:13">
      <c r="A155" t="s">
        <v>362</v>
      </c>
      <c r="B155" t="s">
        <v>363</v>
      </c>
      <c r="C155" t="s">
        <v>129</v>
      </c>
      <c r="D155" t="s">
        <v>159</v>
      </c>
      <c r="E155" t="s">
        <v>42</v>
      </c>
      <c r="F155" t="s">
        <v>18</v>
      </c>
      <c r="G155" t="s">
        <v>19</v>
      </c>
      <c r="H155" t="s">
        <v>64</v>
      </c>
      <c r="I155">
        <v>26544</v>
      </c>
      <c r="J155">
        <v>7</v>
      </c>
      <c r="K155">
        <v>3.3</v>
      </c>
      <c r="L155">
        <v>3</v>
      </c>
      <c r="M155" t="s">
        <v>80</v>
      </c>
    </row>
    <row r="156" spans="1:13">
      <c r="A156" t="s">
        <v>364</v>
      </c>
      <c r="B156" t="s">
        <v>365</v>
      </c>
      <c r="C156" t="s">
        <v>122</v>
      </c>
      <c r="D156" t="s">
        <v>79</v>
      </c>
      <c r="E156" t="s">
        <v>26</v>
      </c>
      <c r="F156" t="s">
        <v>60</v>
      </c>
      <c r="G156" t="s">
        <v>104</v>
      </c>
      <c r="H156" t="s">
        <v>20</v>
      </c>
      <c r="I156">
        <v>7748</v>
      </c>
      <c r="J156">
        <v>1</v>
      </c>
      <c r="K156">
        <v>4.2</v>
      </c>
      <c r="L156">
        <v>4</v>
      </c>
      <c r="M156" t="s">
        <v>37</v>
      </c>
    </row>
    <row r="157" spans="1:13">
      <c r="A157" t="s">
        <v>366</v>
      </c>
      <c r="B157" t="s">
        <v>367</v>
      </c>
      <c r="C157" t="s">
        <v>45</v>
      </c>
      <c r="D157" t="s">
        <v>34</v>
      </c>
      <c r="E157" t="s">
        <v>35</v>
      </c>
      <c r="F157" t="s">
        <v>18</v>
      </c>
      <c r="G157" t="s">
        <v>28</v>
      </c>
      <c r="H157" t="s">
        <v>36</v>
      </c>
      <c r="I157">
        <v>83099</v>
      </c>
      <c r="J157">
        <v>1</v>
      </c>
      <c r="K157">
        <v>3.6</v>
      </c>
      <c r="L157">
        <v>2</v>
      </c>
      <c r="M157" t="s">
        <v>87</v>
      </c>
    </row>
    <row r="158" spans="1:13">
      <c r="A158" t="s">
        <v>368</v>
      </c>
      <c r="B158" t="s">
        <v>369</v>
      </c>
      <c r="C158" t="s">
        <v>122</v>
      </c>
      <c r="D158" t="s">
        <v>147</v>
      </c>
      <c r="E158" t="s">
        <v>52</v>
      </c>
      <c r="F158" t="s">
        <v>27</v>
      </c>
      <c r="G158" t="s">
        <v>104</v>
      </c>
      <c r="H158" t="s">
        <v>29</v>
      </c>
      <c r="I158">
        <v>19680</v>
      </c>
      <c r="J158">
        <v>8</v>
      </c>
      <c r="K158">
        <v>4.0999999999999996</v>
      </c>
      <c r="L158">
        <v>5</v>
      </c>
      <c r="M158" t="s">
        <v>55</v>
      </c>
    </row>
    <row r="159" spans="1:13">
      <c r="A159" t="s">
        <v>370</v>
      </c>
      <c r="B159" t="s">
        <v>371</v>
      </c>
      <c r="C159" t="s">
        <v>133</v>
      </c>
      <c r="D159" t="s">
        <v>109</v>
      </c>
      <c r="E159" t="s">
        <v>52</v>
      </c>
      <c r="F159" t="s">
        <v>100</v>
      </c>
      <c r="G159" t="s">
        <v>28</v>
      </c>
      <c r="H159" t="s">
        <v>36</v>
      </c>
      <c r="I159">
        <v>5920</v>
      </c>
      <c r="J159">
        <v>4</v>
      </c>
      <c r="K159">
        <v>4.9000000000000004</v>
      </c>
      <c r="L159">
        <v>3</v>
      </c>
      <c r="M159" t="s">
        <v>80</v>
      </c>
    </row>
    <row r="160" spans="1:13">
      <c r="A160" t="s">
        <v>372</v>
      </c>
      <c r="B160" t="s">
        <v>373</v>
      </c>
      <c r="C160" t="s">
        <v>122</v>
      </c>
      <c r="D160" t="s">
        <v>97</v>
      </c>
      <c r="E160" t="s">
        <v>35</v>
      </c>
      <c r="F160" t="s">
        <v>83</v>
      </c>
      <c r="G160" t="s">
        <v>104</v>
      </c>
      <c r="H160" t="s">
        <v>20</v>
      </c>
      <c r="I160">
        <v>336066</v>
      </c>
      <c r="J160">
        <v>6</v>
      </c>
      <c r="K160">
        <v>3.9</v>
      </c>
      <c r="L160">
        <v>8</v>
      </c>
      <c r="M160" t="s">
        <v>65</v>
      </c>
    </row>
    <row r="161" spans="1:13">
      <c r="A161" t="s">
        <v>374</v>
      </c>
      <c r="B161" t="s">
        <v>23</v>
      </c>
      <c r="C161" t="s">
        <v>75</v>
      </c>
      <c r="D161" t="s">
        <v>41</v>
      </c>
      <c r="E161" t="s">
        <v>42</v>
      </c>
      <c r="F161" t="s">
        <v>60</v>
      </c>
      <c r="G161" t="s">
        <v>104</v>
      </c>
      <c r="H161" t="s">
        <v>36</v>
      </c>
      <c r="I161">
        <v>27167</v>
      </c>
      <c r="J161">
        <v>7</v>
      </c>
      <c r="K161">
        <v>3.7</v>
      </c>
      <c r="L161">
        <v>6</v>
      </c>
      <c r="M161" t="s">
        <v>30</v>
      </c>
    </row>
    <row r="162" spans="1:13">
      <c r="A162" t="s">
        <v>375</v>
      </c>
      <c r="B162" t="s">
        <v>376</v>
      </c>
      <c r="C162" t="s">
        <v>125</v>
      </c>
      <c r="D162" t="s">
        <v>79</v>
      </c>
      <c r="E162" t="s">
        <v>26</v>
      </c>
      <c r="F162" t="s">
        <v>83</v>
      </c>
      <c r="G162" t="s">
        <v>104</v>
      </c>
      <c r="H162" t="s">
        <v>29</v>
      </c>
      <c r="I162">
        <v>52130</v>
      </c>
      <c r="J162">
        <v>5</v>
      </c>
      <c r="K162">
        <v>4.5</v>
      </c>
      <c r="L162">
        <v>4</v>
      </c>
      <c r="M162" t="s">
        <v>144</v>
      </c>
    </row>
    <row r="163" spans="1:13">
      <c r="A163" t="s">
        <v>377</v>
      </c>
      <c r="B163" t="s">
        <v>89</v>
      </c>
      <c r="C163" t="s">
        <v>40</v>
      </c>
      <c r="D163" t="s">
        <v>86</v>
      </c>
      <c r="E163" t="s">
        <v>17</v>
      </c>
      <c r="F163" t="s">
        <v>60</v>
      </c>
      <c r="G163" t="s">
        <v>28</v>
      </c>
      <c r="H163" t="s">
        <v>29</v>
      </c>
      <c r="I163">
        <v>2560</v>
      </c>
      <c r="J163">
        <v>2</v>
      </c>
      <c r="K163">
        <v>4.8</v>
      </c>
      <c r="L163">
        <v>6</v>
      </c>
      <c r="M163" t="s">
        <v>37</v>
      </c>
    </row>
    <row r="164" spans="1:13">
      <c r="A164" t="s">
        <v>378</v>
      </c>
      <c r="B164" t="s">
        <v>379</v>
      </c>
      <c r="C164" t="s">
        <v>33</v>
      </c>
      <c r="D164" t="s">
        <v>130</v>
      </c>
      <c r="E164" t="s">
        <v>35</v>
      </c>
      <c r="F164" t="s">
        <v>100</v>
      </c>
      <c r="G164" t="s">
        <v>19</v>
      </c>
      <c r="H164" t="s">
        <v>20</v>
      </c>
      <c r="I164">
        <v>512296</v>
      </c>
      <c r="J164">
        <v>8</v>
      </c>
      <c r="K164">
        <v>3.9</v>
      </c>
      <c r="L164">
        <v>7</v>
      </c>
      <c r="M164" t="s">
        <v>55</v>
      </c>
    </row>
    <row r="165" spans="1:13">
      <c r="A165" t="s">
        <v>380</v>
      </c>
      <c r="B165" t="s">
        <v>381</v>
      </c>
      <c r="C165" t="s">
        <v>125</v>
      </c>
      <c r="D165" t="s">
        <v>218</v>
      </c>
      <c r="E165" t="s">
        <v>17</v>
      </c>
      <c r="F165" t="s">
        <v>100</v>
      </c>
      <c r="G165" t="s">
        <v>104</v>
      </c>
      <c r="H165" t="s">
        <v>29</v>
      </c>
      <c r="I165">
        <v>6328</v>
      </c>
      <c r="J165">
        <v>7</v>
      </c>
      <c r="K165">
        <v>3.9</v>
      </c>
      <c r="L165">
        <v>4</v>
      </c>
      <c r="M165" t="s">
        <v>30</v>
      </c>
    </row>
    <row r="166" spans="1:13">
      <c r="A166" t="s">
        <v>382</v>
      </c>
      <c r="B166" t="s">
        <v>383</v>
      </c>
      <c r="C166" t="s">
        <v>112</v>
      </c>
      <c r="D166" t="s">
        <v>90</v>
      </c>
      <c r="E166" t="s">
        <v>42</v>
      </c>
      <c r="F166" t="s">
        <v>18</v>
      </c>
      <c r="G166" t="s">
        <v>54</v>
      </c>
      <c r="H166" t="s">
        <v>36</v>
      </c>
      <c r="I166">
        <v>5538</v>
      </c>
      <c r="J166">
        <v>3</v>
      </c>
      <c r="K166">
        <v>4.0999999999999996</v>
      </c>
      <c r="L166">
        <v>1</v>
      </c>
      <c r="M166" t="s">
        <v>47</v>
      </c>
    </row>
    <row r="167" spans="1:13">
      <c r="A167" t="s">
        <v>384</v>
      </c>
      <c r="B167" t="s">
        <v>385</v>
      </c>
      <c r="C167" t="s">
        <v>45</v>
      </c>
      <c r="D167" t="s">
        <v>116</v>
      </c>
      <c r="E167" t="s">
        <v>17</v>
      </c>
      <c r="F167" t="s">
        <v>27</v>
      </c>
      <c r="G167" t="s">
        <v>28</v>
      </c>
      <c r="H167" t="s">
        <v>64</v>
      </c>
      <c r="I167">
        <v>1756</v>
      </c>
      <c r="J167">
        <v>4</v>
      </c>
      <c r="K167">
        <v>4</v>
      </c>
      <c r="L167">
        <v>1</v>
      </c>
      <c r="M167" t="s">
        <v>80</v>
      </c>
    </row>
    <row r="168" spans="1:13">
      <c r="A168" t="s">
        <v>386</v>
      </c>
      <c r="B168" t="s">
        <v>387</v>
      </c>
      <c r="C168" t="s">
        <v>112</v>
      </c>
      <c r="D168" t="s">
        <v>16</v>
      </c>
      <c r="E168" t="s">
        <v>17</v>
      </c>
      <c r="F168" t="s">
        <v>27</v>
      </c>
      <c r="G168" t="s">
        <v>28</v>
      </c>
      <c r="H168" t="s">
        <v>20</v>
      </c>
      <c r="I168">
        <v>2268</v>
      </c>
      <c r="J168">
        <v>7</v>
      </c>
      <c r="K168">
        <v>5</v>
      </c>
      <c r="L168">
        <v>1</v>
      </c>
      <c r="M168" t="s">
        <v>65</v>
      </c>
    </row>
    <row r="169" spans="1:13">
      <c r="A169" t="s">
        <v>388</v>
      </c>
      <c r="B169" t="s">
        <v>373</v>
      </c>
      <c r="C169" t="s">
        <v>50</v>
      </c>
      <c r="D169" t="s">
        <v>16</v>
      </c>
      <c r="E169" t="s">
        <v>17</v>
      </c>
      <c r="F169" t="s">
        <v>18</v>
      </c>
      <c r="G169" t="s">
        <v>104</v>
      </c>
      <c r="H169" t="s">
        <v>64</v>
      </c>
      <c r="I169">
        <v>2379</v>
      </c>
      <c r="J169">
        <v>3</v>
      </c>
      <c r="K169">
        <v>4.7</v>
      </c>
      <c r="L169">
        <v>5</v>
      </c>
      <c r="M169" t="s">
        <v>65</v>
      </c>
    </row>
    <row r="170" spans="1:13">
      <c r="A170" t="s">
        <v>389</v>
      </c>
      <c r="B170" t="s">
        <v>298</v>
      </c>
      <c r="C170" t="s">
        <v>33</v>
      </c>
      <c r="D170" t="s">
        <v>159</v>
      </c>
      <c r="E170" t="s">
        <v>42</v>
      </c>
      <c r="F170" t="s">
        <v>27</v>
      </c>
      <c r="G170" t="s">
        <v>54</v>
      </c>
      <c r="H170" t="s">
        <v>20</v>
      </c>
      <c r="I170">
        <v>5860</v>
      </c>
      <c r="J170">
        <v>4</v>
      </c>
      <c r="K170">
        <v>3.9</v>
      </c>
      <c r="L170">
        <v>8</v>
      </c>
      <c r="M170" t="s">
        <v>119</v>
      </c>
    </row>
    <row r="171" spans="1:13">
      <c r="A171" t="s">
        <v>390</v>
      </c>
      <c r="B171" t="s">
        <v>391</v>
      </c>
      <c r="C171" t="s">
        <v>103</v>
      </c>
      <c r="D171" t="s">
        <v>116</v>
      </c>
      <c r="E171" t="s">
        <v>17</v>
      </c>
      <c r="F171" t="s">
        <v>18</v>
      </c>
      <c r="G171" t="s">
        <v>54</v>
      </c>
      <c r="H171" t="s">
        <v>29</v>
      </c>
      <c r="I171">
        <v>8748</v>
      </c>
      <c r="J171">
        <v>6</v>
      </c>
      <c r="K171">
        <v>3.6</v>
      </c>
      <c r="L171">
        <v>8</v>
      </c>
      <c r="M171" t="s">
        <v>47</v>
      </c>
    </row>
    <row r="172" spans="1:13">
      <c r="A172" t="s">
        <v>392</v>
      </c>
      <c r="B172" t="s">
        <v>393</v>
      </c>
      <c r="C172" t="s">
        <v>24</v>
      </c>
      <c r="D172" t="s">
        <v>25</v>
      </c>
      <c r="E172" t="s">
        <v>26</v>
      </c>
      <c r="F172" t="s">
        <v>100</v>
      </c>
      <c r="G172" t="s">
        <v>19</v>
      </c>
      <c r="H172" t="s">
        <v>64</v>
      </c>
      <c r="I172">
        <v>43950</v>
      </c>
      <c r="J172">
        <v>6</v>
      </c>
      <c r="K172">
        <v>4.9000000000000004</v>
      </c>
      <c r="L172">
        <v>5</v>
      </c>
      <c r="M172" t="s">
        <v>37</v>
      </c>
    </row>
    <row r="173" spans="1:13">
      <c r="A173" t="s">
        <v>394</v>
      </c>
      <c r="B173" t="s">
        <v>352</v>
      </c>
      <c r="C173" t="s">
        <v>75</v>
      </c>
      <c r="D173" t="s">
        <v>59</v>
      </c>
      <c r="E173" t="s">
        <v>26</v>
      </c>
      <c r="F173" t="s">
        <v>53</v>
      </c>
      <c r="G173" t="s">
        <v>28</v>
      </c>
      <c r="H173" t="s">
        <v>29</v>
      </c>
      <c r="I173">
        <v>5037</v>
      </c>
      <c r="J173">
        <v>3</v>
      </c>
      <c r="K173">
        <v>3.4</v>
      </c>
      <c r="L173">
        <v>4</v>
      </c>
      <c r="M173" t="s">
        <v>55</v>
      </c>
    </row>
    <row r="174" spans="1:13">
      <c r="A174" t="s">
        <v>395</v>
      </c>
      <c r="B174" t="s">
        <v>396</v>
      </c>
      <c r="C174" t="s">
        <v>75</v>
      </c>
      <c r="D174" t="s">
        <v>218</v>
      </c>
      <c r="E174" t="s">
        <v>17</v>
      </c>
      <c r="F174" t="s">
        <v>100</v>
      </c>
      <c r="G174" t="s">
        <v>104</v>
      </c>
      <c r="H174" t="s">
        <v>20</v>
      </c>
      <c r="I174">
        <v>6136</v>
      </c>
      <c r="J174">
        <v>8</v>
      </c>
      <c r="K174">
        <v>3.5</v>
      </c>
      <c r="L174">
        <v>7</v>
      </c>
      <c r="M174" t="s">
        <v>47</v>
      </c>
    </row>
    <row r="175" spans="1:13">
      <c r="A175" t="s">
        <v>397</v>
      </c>
      <c r="B175" t="s">
        <v>398</v>
      </c>
      <c r="C175" t="s">
        <v>40</v>
      </c>
      <c r="D175" t="s">
        <v>16</v>
      </c>
      <c r="E175" t="s">
        <v>17</v>
      </c>
      <c r="F175" t="s">
        <v>60</v>
      </c>
      <c r="G175" t="s">
        <v>104</v>
      </c>
      <c r="H175" t="s">
        <v>29</v>
      </c>
      <c r="I175">
        <v>3234</v>
      </c>
      <c r="J175">
        <v>3</v>
      </c>
      <c r="K175">
        <v>3.4</v>
      </c>
      <c r="L175">
        <v>1</v>
      </c>
      <c r="M175" t="s">
        <v>21</v>
      </c>
    </row>
    <row r="176" spans="1:13">
      <c r="A176" t="s">
        <v>399</v>
      </c>
      <c r="B176" t="s">
        <v>400</v>
      </c>
      <c r="C176" t="s">
        <v>75</v>
      </c>
      <c r="D176" t="s">
        <v>86</v>
      </c>
      <c r="E176" t="s">
        <v>17</v>
      </c>
      <c r="F176" t="s">
        <v>53</v>
      </c>
      <c r="G176" t="s">
        <v>54</v>
      </c>
      <c r="H176" t="s">
        <v>29</v>
      </c>
      <c r="I176">
        <v>3546</v>
      </c>
      <c r="J176">
        <v>3</v>
      </c>
      <c r="K176">
        <v>3.9</v>
      </c>
      <c r="L176">
        <v>1</v>
      </c>
      <c r="M176" t="s">
        <v>87</v>
      </c>
    </row>
    <row r="177" spans="1:13">
      <c r="A177" t="s">
        <v>401</v>
      </c>
      <c r="B177" t="s">
        <v>402</v>
      </c>
      <c r="C177" t="s">
        <v>24</v>
      </c>
      <c r="D177" t="s">
        <v>41</v>
      </c>
      <c r="E177" t="s">
        <v>42</v>
      </c>
      <c r="F177" t="s">
        <v>83</v>
      </c>
      <c r="G177" t="s">
        <v>104</v>
      </c>
      <c r="H177" t="s">
        <v>29</v>
      </c>
      <c r="I177">
        <v>18816</v>
      </c>
      <c r="J177">
        <v>7</v>
      </c>
      <c r="K177">
        <v>4.0999999999999996</v>
      </c>
      <c r="L177">
        <v>7</v>
      </c>
      <c r="M177" t="s">
        <v>21</v>
      </c>
    </row>
    <row r="178" spans="1:13">
      <c r="A178" t="s">
        <v>403</v>
      </c>
      <c r="B178" t="s">
        <v>404</v>
      </c>
      <c r="C178" t="s">
        <v>129</v>
      </c>
      <c r="D178" t="s">
        <v>97</v>
      </c>
      <c r="E178" t="s">
        <v>35</v>
      </c>
      <c r="F178" t="s">
        <v>53</v>
      </c>
      <c r="G178" t="s">
        <v>19</v>
      </c>
      <c r="H178" t="s">
        <v>64</v>
      </c>
      <c r="I178">
        <v>77340</v>
      </c>
      <c r="J178">
        <v>2</v>
      </c>
      <c r="K178">
        <v>4.0999999999999996</v>
      </c>
      <c r="L178">
        <v>2</v>
      </c>
      <c r="M178" t="s">
        <v>80</v>
      </c>
    </row>
    <row r="179" spans="1:13">
      <c r="A179" t="s">
        <v>405</v>
      </c>
      <c r="B179" t="s">
        <v>406</v>
      </c>
      <c r="C179" t="s">
        <v>170</v>
      </c>
      <c r="D179" t="s">
        <v>79</v>
      </c>
      <c r="E179" t="s">
        <v>26</v>
      </c>
      <c r="F179" t="s">
        <v>60</v>
      </c>
      <c r="G179" t="s">
        <v>104</v>
      </c>
      <c r="H179" t="s">
        <v>64</v>
      </c>
      <c r="I179">
        <v>12486</v>
      </c>
      <c r="J179">
        <v>2</v>
      </c>
      <c r="K179">
        <v>4.7</v>
      </c>
      <c r="L179">
        <v>7</v>
      </c>
      <c r="M179" t="s">
        <v>47</v>
      </c>
    </row>
    <row r="180" spans="1:13">
      <c r="A180" t="s">
        <v>407</v>
      </c>
      <c r="B180" t="s">
        <v>408</v>
      </c>
      <c r="C180" t="s">
        <v>40</v>
      </c>
      <c r="D180" t="s">
        <v>79</v>
      </c>
      <c r="E180" t="s">
        <v>26</v>
      </c>
      <c r="F180" t="s">
        <v>27</v>
      </c>
      <c r="G180" t="s">
        <v>28</v>
      </c>
      <c r="H180" t="s">
        <v>20</v>
      </c>
      <c r="I180">
        <v>22260</v>
      </c>
      <c r="J180">
        <v>6</v>
      </c>
      <c r="K180">
        <v>4.9000000000000004</v>
      </c>
      <c r="L180">
        <v>6</v>
      </c>
      <c r="M180" t="s">
        <v>126</v>
      </c>
    </row>
    <row r="181" spans="1:13">
      <c r="A181" t="s">
        <v>409</v>
      </c>
      <c r="B181" t="s">
        <v>237</v>
      </c>
      <c r="C181" t="s">
        <v>78</v>
      </c>
      <c r="D181" t="s">
        <v>97</v>
      </c>
      <c r="E181" t="s">
        <v>35</v>
      </c>
      <c r="F181" t="s">
        <v>18</v>
      </c>
      <c r="G181" t="s">
        <v>28</v>
      </c>
      <c r="H181" t="s">
        <v>20</v>
      </c>
      <c r="I181">
        <v>534835</v>
      </c>
      <c r="J181">
        <v>7</v>
      </c>
      <c r="K181">
        <v>5</v>
      </c>
      <c r="L181">
        <v>3</v>
      </c>
      <c r="M181" t="s">
        <v>21</v>
      </c>
    </row>
    <row r="182" spans="1:13">
      <c r="A182" t="s">
        <v>410</v>
      </c>
      <c r="B182" t="s">
        <v>411</v>
      </c>
      <c r="C182" t="s">
        <v>133</v>
      </c>
      <c r="D182" t="s">
        <v>46</v>
      </c>
      <c r="E182" t="s">
        <v>42</v>
      </c>
      <c r="F182" t="s">
        <v>60</v>
      </c>
      <c r="G182" t="s">
        <v>54</v>
      </c>
      <c r="H182" t="s">
        <v>64</v>
      </c>
      <c r="I182">
        <v>11776</v>
      </c>
      <c r="J182">
        <v>2</v>
      </c>
      <c r="K182">
        <v>3.6</v>
      </c>
      <c r="L182">
        <v>3</v>
      </c>
      <c r="M182" t="s">
        <v>119</v>
      </c>
    </row>
    <row r="183" spans="1:13">
      <c r="A183" t="s">
        <v>412</v>
      </c>
      <c r="B183" t="s">
        <v>413</v>
      </c>
      <c r="C183" t="s">
        <v>78</v>
      </c>
      <c r="D183" t="s">
        <v>69</v>
      </c>
      <c r="E183" t="s">
        <v>26</v>
      </c>
      <c r="F183" t="s">
        <v>100</v>
      </c>
      <c r="G183" t="s">
        <v>54</v>
      </c>
      <c r="H183" t="s">
        <v>36</v>
      </c>
      <c r="I183">
        <v>9814</v>
      </c>
      <c r="J183">
        <v>7</v>
      </c>
      <c r="K183">
        <v>4.5999999999999996</v>
      </c>
      <c r="L183">
        <v>6</v>
      </c>
      <c r="M183" t="s">
        <v>30</v>
      </c>
    </row>
    <row r="184" spans="1:13">
      <c r="A184" t="s">
        <v>414</v>
      </c>
      <c r="B184" t="s">
        <v>415</v>
      </c>
      <c r="C184" t="s">
        <v>122</v>
      </c>
      <c r="D184" t="s">
        <v>109</v>
      </c>
      <c r="E184" t="s">
        <v>52</v>
      </c>
      <c r="F184" t="s">
        <v>100</v>
      </c>
      <c r="G184" t="s">
        <v>19</v>
      </c>
      <c r="H184" t="s">
        <v>64</v>
      </c>
      <c r="I184">
        <v>1886</v>
      </c>
      <c r="J184">
        <v>1</v>
      </c>
      <c r="K184">
        <v>3.2</v>
      </c>
      <c r="L184">
        <v>5</v>
      </c>
      <c r="M184" t="s">
        <v>80</v>
      </c>
    </row>
    <row r="185" spans="1:13">
      <c r="A185" t="s">
        <v>416</v>
      </c>
      <c r="B185" t="s">
        <v>172</v>
      </c>
      <c r="C185" t="s">
        <v>68</v>
      </c>
      <c r="D185" t="s">
        <v>97</v>
      </c>
      <c r="E185" t="s">
        <v>35</v>
      </c>
      <c r="F185" t="s">
        <v>27</v>
      </c>
      <c r="G185" t="s">
        <v>19</v>
      </c>
      <c r="H185" t="s">
        <v>29</v>
      </c>
      <c r="I185">
        <v>197331</v>
      </c>
      <c r="J185">
        <v>3</v>
      </c>
      <c r="K185">
        <v>3.9</v>
      </c>
      <c r="L185">
        <v>2</v>
      </c>
      <c r="M185" t="s">
        <v>47</v>
      </c>
    </row>
    <row r="186" spans="1:13">
      <c r="A186" t="s">
        <v>417</v>
      </c>
      <c r="B186" t="s">
        <v>418</v>
      </c>
      <c r="C186" t="s">
        <v>170</v>
      </c>
      <c r="D186" t="s">
        <v>130</v>
      </c>
      <c r="E186" t="s">
        <v>35</v>
      </c>
      <c r="F186" t="s">
        <v>18</v>
      </c>
      <c r="G186" t="s">
        <v>104</v>
      </c>
      <c r="H186" t="s">
        <v>36</v>
      </c>
      <c r="I186">
        <v>192608</v>
      </c>
      <c r="J186">
        <v>4</v>
      </c>
      <c r="K186">
        <v>4</v>
      </c>
      <c r="L186">
        <v>8</v>
      </c>
      <c r="M186" t="s">
        <v>47</v>
      </c>
    </row>
    <row r="187" spans="1:13">
      <c r="A187" t="s">
        <v>419</v>
      </c>
      <c r="B187" t="s">
        <v>420</v>
      </c>
      <c r="C187" t="s">
        <v>78</v>
      </c>
      <c r="D187" t="s">
        <v>16</v>
      </c>
      <c r="E187" t="s">
        <v>17</v>
      </c>
      <c r="F187" t="s">
        <v>60</v>
      </c>
      <c r="G187" t="s">
        <v>28</v>
      </c>
      <c r="H187" t="s">
        <v>20</v>
      </c>
      <c r="I187">
        <v>3372</v>
      </c>
      <c r="J187">
        <v>2</v>
      </c>
      <c r="K187">
        <v>4.2</v>
      </c>
      <c r="L187">
        <v>6</v>
      </c>
      <c r="M187" t="s">
        <v>126</v>
      </c>
    </row>
    <row r="188" spans="1:13">
      <c r="A188" t="s">
        <v>421</v>
      </c>
      <c r="B188" t="s">
        <v>422</v>
      </c>
      <c r="C188" t="s">
        <v>15</v>
      </c>
      <c r="D188" t="s">
        <v>159</v>
      </c>
      <c r="E188" t="s">
        <v>42</v>
      </c>
      <c r="F188" t="s">
        <v>27</v>
      </c>
      <c r="G188" t="s">
        <v>19</v>
      </c>
      <c r="H188" t="s">
        <v>20</v>
      </c>
      <c r="I188">
        <v>16212</v>
      </c>
      <c r="J188">
        <v>7</v>
      </c>
      <c r="K188">
        <v>4.3</v>
      </c>
      <c r="L188">
        <v>7</v>
      </c>
      <c r="M188" t="s">
        <v>37</v>
      </c>
    </row>
    <row r="189" spans="1:13">
      <c r="A189" t="s">
        <v>423</v>
      </c>
      <c r="B189" t="s">
        <v>424</v>
      </c>
      <c r="C189" t="s">
        <v>125</v>
      </c>
      <c r="D189" t="s">
        <v>113</v>
      </c>
      <c r="E189" t="s">
        <v>35</v>
      </c>
      <c r="F189" t="s">
        <v>100</v>
      </c>
      <c r="G189" t="s">
        <v>104</v>
      </c>
      <c r="H189" t="s">
        <v>64</v>
      </c>
      <c r="I189">
        <v>100890</v>
      </c>
      <c r="J189">
        <v>2</v>
      </c>
      <c r="K189">
        <v>4</v>
      </c>
      <c r="L189">
        <v>5</v>
      </c>
      <c r="M189" t="s">
        <v>30</v>
      </c>
    </row>
    <row r="190" spans="1:13">
      <c r="A190" t="s">
        <v>425</v>
      </c>
      <c r="B190" t="s">
        <v>222</v>
      </c>
      <c r="C190" t="s">
        <v>45</v>
      </c>
      <c r="D190" t="s">
        <v>69</v>
      </c>
      <c r="E190" t="s">
        <v>26</v>
      </c>
      <c r="F190" t="s">
        <v>100</v>
      </c>
      <c r="G190" t="s">
        <v>54</v>
      </c>
      <c r="H190" t="s">
        <v>20</v>
      </c>
      <c r="I190">
        <v>7252</v>
      </c>
      <c r="J190">
        <v>2</v>
      </c>
      <c r="K190">
        <v>4.7</v>
      </c>
      <c r="L190">
        <v>5</v>
      </c>
      <c r="M190" t="s">
        <v>30</v>
      </c>
    </row>
    <row r="191" spans="1:13">
      <c r="A191" t="s">
        <v>426</v>
      </c>
      <c r="B191" t="s">
        <v>427</v>
      </c>
      <c r="C191" t="s">
        <v>58</v>
      </c>
      <c r="D191" t="s">
        <v>113</v>
      </c>
      <c r="E191" t="s">
        <v>35</v>
      </c>
      <c r="F191" t="s">
        <v>60</v>
      </c>
      <c r="G191" t="s">
        <v>28</v>
      </c>
      <c r="H191" t="s">
        <v>20</v>
      </c>
      <c r="I191">
        <v>257145</v>
      </c>
      <c r="J191">
        <v>5</v>
      </c>
      <c r="K191">
        <v>3.9</v>
      </c>
      <c r="L191">
        <v>3</v>
      </c>
      <c r="M191" t="s">
        <v>21</v>
      </c>
    </row>
    <row r="192" spans="1:13">
      <c r="A192" t="s">
        <v>428</v>
      </c>
      <c r="B192" t="s">
        <v>429</v>
      </c>
      <c r="C192" t="s">
        <v>129</v>
      </c>
      <c r="D192" t="s">
        <v>159</v>
      </c>
      <c r="E192" t="s">
        <v>42</v>
      </c>
      <c r="F192" t="s">
        <v>18</v>
      </c>
      <c r="G192" t="s">
        <v>28</v>
      </c>
      <c r="H192" t="s">
        <v>20</v>
      </c>
      <c r="I192">
        <v>6696</v>
      </c>
      <c r="J192">
        <v>3</v>
      </c>
      <c r="K192">
        <v>4.7</v>
      </c>
      <c r="L192">
        <v>1</v>
      </c>
      <c r="M192" t="s">
        <v>30</v>
      </c>
    </row>
    <row r="193" spans="1:13">
      <c r="A193" t="s">
        <v>430</v>
      </c>
      <c r="B193" t="s">
        <v>23</v>
      </c>
      <c r="C193" t="s">
        <v>122</v>
      </c>
      <c r="D193" t="s">
        <v>51</v>
      </c>
      <c r="E193" t="s">
        <v>52</v>
      </c>
      <c r="F193" t="s">
        <v>53</v>
      </c>
      <c r="G193" t="s">
        <v>54</v>
      </c>
      <c r="H193" t="s">
        <v>29</v>
      </c>
      <c r="I193">
        <v>18112</v>
      </c>
      <c r="J193">
        <v>8</v>
      </c>
      <c r="K193">
        <v>3.5</v>
      </c>
      <c r="L193">
        <v>1</v>
      </c>
      <c r="M193" t="s">
        <v>30</v>
      </c>
    </row>
    <row r="194" spans="1:13">
      <c r="A194" t="s">
        <v>431</v>
      </c>
      <c r="B194" t="s">
        <v>432</v>
      </c>
      <c r="C194" t="s">
        <v>78</v>
      </c>
      <c r="D194" t="s">
        <v>109</v>
      </c>
      <c r="E194" t="s">
        <v>52</v>
      </c>
      <c r="F194" t="s">
        <v>53</v>
      </c>
      <c r="G194" t="s">
        <v>54</v>
      </c>
      <c r="H194" t="s">
        <v>64</v>
      </c>
      <c r="I194">
        <v>18224</v>
      </c>
      <c r="J194">
        <v>8</v>
      </c>
      <c r="K194">
        <v>4.2</v>
      </c>
      <c r="L194">
        <v>5</v>
      </c>
      <c r="M194" t="s">
        <v>80</v>
      </c>
    </row>
    <row r="195" spans="1:13">
      <c r="A195" t="s">
        <v>433</v>
      </c>
      <c r="B195" t="s">
        <v>434</v>
      </c>
      <c r="C195" t="s">
        <v>146</v>
      </c>
      <c r="D195" t="s">
        <v>79</v>
      </c>
      <c r="E195" t="s">
        <v>26</v>
      </c>
      <c r="F195" t="s">
        <v>18</v>
      </c>
      <c r="G195" t="s">
        <v>19</v>
      </c>
      <c r="H195" t="s">
        <v>20</v>
      </c>
      <c r="I195">
        <v>16336</v>
      </c>
      <c r="J195">
        <v>2</v>
      </c>
      <c r="K195">
        <v>3.7</v>
      </c>
      <c r="L195">
        <v>2</v>
      </c>
      <c r="M195" t="s">
        <v>47</v>
      </c>
    </row>
    <row r="196" spans="1:13">
      <c r="A196" t="s">
        <v>435</v>
      </c>
      <c r="B196" t="s">
        <v>436</v>
      </c>
      <c r="C196" t="s">
        <v>45</v>
      </c>
      <c r="D196" t="s">
        <v>59</v>
      </c>
      <c r="E196" t="s">
        <v>26</v>
      </c>
      <c r="F196" t="s">
        <v>100</v>
      </c>
      <c r="G196" t="s">
        <v>19</v>
      </c>
      <c r="H196" t="s">
        <v>29</v>
      </c>
      <c r="I196">
        <v>12404</v>
      </c>
      <c r="J196">
        <v>7</v>
      </c>
      <c r="K196">
        <v>4.2</v>
      </c>
      <c r="L196">
        <v>5</v>
      </c>
      <c r="M196" t="s">
        <v>119</v>
      </c>
    </row>
    <row r="197" spans="1:13">
      <c r="A197" t="s">
        <v>437</v>
      </c>
      <c r="B197" t="s">
        <v>252</v>
      </c>
      <c r="C197" t="s">
        <v>72</v>
      </c>
      <c r="D197" t="s">
        <v>130</v>
      </c>
      <c r="E197" t="s">
        <v>35</v>
      </c>
      <c r="F197" t="s">
        <v>83</v>
      </c>
      <c r="G197" t="s">
        <v>19</v>
      </c>
      <c r="H197" t="s">
        <v>29</v>
      </c>
      <c r="I197">
        <v>101355</v>
      </c>
      <c r="J197">
        <v>5</v>
      </c>
      <c r="K197">
        <v>5</v>
      </c>
      <c r="L197">
        <v>3</v>
      </c>
      <c r="M197" t="s">
        <v>30</v>
      </c>
    </row>
    <row r="198" spans="1:13">
      <c r="A198" t="s">
        <v>438</v>
      </c>
      <c r="B198" t="s">
        <v>74</v>
      </c>
      <c r="C198" t="s">
        <v>50</v>
      </c>
      <c r="D198" t="s">
        <v>51</v>
      </c>
      <c r="E198" t="s">
        <v>52</v>
      </c>
      <c r="F198" t="s">
        <v>100</v>
      </c>
      <c r="G198" t="s">
        <v>104</v>
      </c>
      <c r="H198" t="s">
        <v>29</v>
      </c>
      <c r="I198">
        <v>4050</v>
      </c>
      <c r="J198">
        <v>3</v>
      </c>
      <c r="K198">
        <v>4</v>
      </c>
      <c r="L198">
        <v>2</v>
      </c>
      <c r="M198" t="s">
        <v>65</v>
      </c>
    </row>
    <row r="199" spans="1:13">
      <c r="A199" t="s">
        <v>439</v>
      </c>
      <c r="B199" t="s">
        <v>440</v>
      </c>
      <c r="C199" t="s">
        <v>78</v>
      </c>
      <c r="D199" t="s">
        <v>90</v>
      </c>
      <c r="E199" t="s">
        <v>42</v>
      </c>
      <c r="F199" t="s">
        <v>60</v>
      </c>
      <c r="G199" t="s">
        <v>19</v>
      </c>
      <c r="H199" t="s">
        <v>64</v>
      </c>
      <c r="I199">
        <v>5900</v>
      </c>
      <c r="J199">
        <v>1</v>
      </c>
      <c r="K199">
        <v>4.5</v>
      </c>
      <c r="L199">
        <v>2</v>
      </c>
      <c r="M199" t="s">
        <v>126</v>
      </c>
    </row>
    <row r="200" spans="1:13">
      <c r="A200" t="s">
        <v>441</v>
      </c>
      <c r="B200" t="s">
        <v>398</v>
      </c>
      <c r="C200" t="s">
        <v>170</v>
      </c>
      <c r="D200" t="s">
        <v>51</v>
      </c>
      <c r="E200" t="s">
        <v>52</v>
      </c>
      <c r="F200" t="s">
        <v>27</v>
      </c>
      <c r="G200" t="s">
        <v>54</v>
      </c>
      <c r="H200" t="s">
        <v>36</v>
      </c>
      <c r="I200">
        <v>9798</v>
      </c>
      <c r="J200">
        <v>6</v>
      </c>
      <c r="K200">
        <v>4.2</v>
      </c>
      <c r="L200">
        <v>8</v>
      </c>
      <c r="M200" t="s">
        <v>21</v>
      </c>
    </row>
    <row r="201" spans="1:13">
      <c r="A201" t="s">
        <v>442</v>
      </c>
      <c r="B201" t="s">
        <v>296</v>
      </c>
      <c r="C201" t="s">
        <v>40</v>
      </c>
      <c r="D201" t="s">
        <v>116</v>
      </c>
      <c r="E201" t="s">
        <v>17</v>
      </c>
      <c r="F201" t="s">
        <v>83</v>
      </c>
      <c r="G201" t="s">
        <v>104</v>
      </c>
      <c r="H201" t="s">
        <v>36</v>
      </c>
      <c r="I201">
        <v>1246</v>
      </c>
      <c r="J201">
        <v>2</v>
      </c>
      <c r="K201">
        <v>3.6</v>
      </c>
      <c r="L201">
        <v>3</v>
      </c>
      <c r="M201" t="s">
        <v>144</v>
      </c>
    </row>
    <row r="202" spans="1:13">
      <c r="A202" t="s">
        <v>443</v>
      </c>
      <c r="B202" t="s">
        <v>444</v>
      </c>
      <c r="C202" t="s">
        <v>133</v>
      </c>
      <c r="D202" t="s">
        <v>130</v>
      </c>
      <c r="E202" t="s">
        <v>35</v>
      </c>
      <c r="F202" t="s">
        <v>27</v>
      </c>
      <c r="G202" t="s">
        <v>54</v>
      </c>
      <c r="H202" t="s">
        <v>36</v>
      </c>
      <c r="I202">
        <v>55722</v>
      </c>
      <c r="J202">
        <v>6</v>
      </c>
      <c r="K202">
        <v>3.7</v>
      </c>
      <c r="L202">
        <v>4</v>
      </c>
      <c r="M202" t="s">
        <v>87</v>
      </c>
    </row>
    <row r="203" spans="1:13">
      <c r="A203" t="s">
        <v>445</v>
      </c>
      <c r="B203" t="s">
        <v>446</v>
      </c>
      <c r="C203" t="s">
        <v>68</v>
      </c>
      <c r="D203" t="s">
        <v>86</v>
      </c>
      <c r="E203" t="s">
        <v>17</v>
      </c>
      <c r="F203" t="s">
        <v>60</v>
      </c>
      <c r="G203" t="s">
        <v>19</v>
      </c>
      <c r="H203" t="s">
        <v>64</v>
      </c>
      <c r="I203">
        <v>1142</v>
      </c>
      <c r="J203">
        <v>2</v>
      </c>
      <c r="K203">
        <v>3.2</v>
      </c>
      <c r="L203">
        <v>6</v>
      </c>
      <c r="M203" t="s">
        <v>65</v>
      </c>
    </row>
    <row r="204" spans="1:13">
      <c r="A204" t="s">
        <v>447</v>
      </c>
      <c r="B204" t="s">
        <v>352</v>
      </c>
      <c r="C204" t="s">
        <v>50</v>
      </c>
      <c r="D204" t="s">
        <v>86</v>
      </c>
      <c r="E204" t="s">
        <v>17</v>
      </c>
      <c r="F204" t="s">
        <v>83</v>
      </c>
      <c r="G204" t="s">
        <v>19</v>
      </c>
      <c r="H204" t="s">
        <v>36</v>
      </c>
      <c r="I204">
        <v>3592</v>
      </c>
      <c r="J204">
        <v>2</v>
      </c>
      <c r="K204">
        <v>4.8</v>
      </c>
      <c r="L204">
        <v>3</v>
      </c>
      <c r="M204" t="s">
        <v>55</v>
      </c>
    </row>
    <row r="205" spans="1:13">
      <c r="A205" t="s">
        <v>448</v>
      </c>
      <c r="B205" t="s">
        <v>233</v>
      </c>
      <c r="C205" t="s">
        <v>179</v>
      </c>
      <c r="D205" t="s">
        <v>25</v>
      </c>
      <c r="E205" t="s">
        <v>26</v>
      </c>
      <c r="F205" t="s">
        <v>18</v>
      </c>
      <c r="G205" t="s">
        <v>54</v>
      </c>
      <c r="H205" t="s">
        <v>20</v>
      </c>
      <c r="I205">
        <v>9840</v>
      </c>
      <c r="J205">
        <v>3</v>
      </c>
      <c r="K205">
        <v>4.9000000000000004</v>
      </c>
      <c r="L205">
        <v>8</v>
      </c>
      <c r="M205" t="s">
        <v>192</v>
      </c>
    </row>
    <row r="206" spans="1:13">
      <c r="A206" t="s">
        <v>449</v>
      </c>
      <c r="B206" t="s">
        <v>450</v>
      </c>
      <c r="C206" t="s">
        <v>15</v>
      </c>
      <c r="D206" t="s">
        <v>116</v>
      </c>
      <c r="E206" t="s">
        <v>17</v>
      </c>
      <c r="F206" t="s">
        <v>27</v>
      </c>
      <c r="G206" t="s">
        <v>104</v>
      </c>
      <c r="H206" t="s">
        <v>20</v>
      </c>
      <c r="I206">
        <v>6608</v>
      </c>
      <c r="J206">
        <v>7</v>
      </c>
      <c r="K206">
        <v>3.4</v>
      </c>
      <c r="L206">
        <v>5</v>
      </c>
      <c r="M206" t="s">
        <v>126</v>
      </c>
    </row>
    <row r="207" spans="1:13">
      <c r="A207" t="s">
        <v>451</v>
      </c>
      <c r="B207" t="s">
        <v>452</v>
      </c>
      <c r="C207" t="s">
        <v>45</v>
      </c>
      <c r="D207" t="s">
        <v>79</v>
      </c>
      <c r="E207" t="s">
        <v>26</v>
      </c>
      <c r="F207" t="s">
        <v>18</v>
      </c>
      <c r="G207" t="s">
        <v>54</v>
      </c>
      <c r="H207" t="s">
        <v>29</v>
      </c>
      <c r="I207">
        <v>35610</v>
      </c>
      <c r="J207">
        <v>5</v>
      </c>
      <c r="K207">
        <v>3.4</v>
      </c>
      <c r="L207">
        <v>8</v>
      </c>
      <c r="M207" t="s">
        <v>55</v>
      </c>
    </row>
    <row r="208" spans="1:13">
      <c r="A208" t="s">
        <v>453</v>
      </c>
      <c r="B208" t="s">
        <v>454</v>
      </c>
      <c r="C208" t="s">
        <v>15</v>
      </c>
      <c r="D208" t="s">
        <v>34</v>
      </c>
      <c r="E208" t="s">
        <v>35</v>
      </c>
      <c r="F208" t="s">
        <v>53</v>
      </c>
      <c r="G208" t="s">
        <v>19</v>
      </c>
      <c r="H208" t="s">
        <v>36</v>
      </c>
      <c r="I208">
        <v>176015</v>
      </c>
      <c r="J208">
        <v>7</v>
      </c>
      <c r="K208">
        <v>3.2</v>
      </c>
      <c r="L208">
        <v>2</v>
      </c>
      <c r="M208" t="s">
        <v>55</v>
      </c>
    </row>
    <row r="209" spans="1:13">
      <c r="A209" t="s">
        <v>455</v>
      </c>
      <c r="B209" t="s">
        <v>456</v>
      </c>
      <c r="C209" t="s">
        <v>103</v>
      </c>
      <c r="D209" t="s">
        <v>116</v>
      </c>
      <c r="E209" t="s">
        <v>17</v>
      </c>
      <c r="F209" t="s">
        <v>18</v>
      </c>
      <c r="G209" t="s">
        <v>104</v>
      </c>
      <c r="H209" t="s">
        <v>36</v>
      </c>
      <c r="I209">
        <v>7935</v>
      </c>
      <c r="J209">
        <v>5</v>
      </c>
      <c r="K209">
        <v>3.3</v>
      </c>
      <c r="L209">
        <v>3</v>
      </c>
      <c r="M209" t="s">
        <v>65</v>
      </c>
    </row>
    <row r="210" spans="1:13">
      <c r="A210" t="s">
        <v>457</v>
      </c>
      <c r="B210" t="s">
        <v>458</v>
      </c>
      <c r="C210" t="s">
        <v>133</v>
      </c>
      <c r="D210" t="s">
        <v>79</v>
      </c>
      <c r="E210" t="s">
        <v>26</v>
      </c>
      <c r="F210" t="s">
        <v>18</v>
      </c>
      <c r="G210" t="s">
        <v>28</v>
      </c>
      <c r="H210" t="s">
        <v>36</v>
      </c>
      <c r="I210">
        <v>28254</v>
      </c>
      <c r="J210">
        <v>6</v>
      </c>
      <c r="K210">
        <v>3.3</v>
      </c>
      <c r="L210">
        <v>2</v>
      </c>
      <c r="M210" t="s">
        <v>80</v>
      </c>
    </row>
    <row r="211" spans="1:13">
      <c r="A211" t="s">
        <v>459</v>
      </c>
      <c r="B211" t="s">
        <v>460</v>
      </c>
      <c r="C211" t="s">
        <v>24</v>
      </c>
      <c r="D211" t="s">
        <v>34</v>
      </c>
      <c r="E211" t="s">
        <v>35</v>
      </c>
      <c r="F211" t="s">
        <v>53</v>
      </c>
      <c r="G211" t="s">
        <v>19</v>
      </c>
      <c r="H211" t="s">
        <v>29</v>
      </c>
      <c r="I211">
        <v>3987</v>
      </c>
      <c r="J211">
        <v>1</v>
      </c>
      <c r="K211">
        <v>4.9000000000000004</v>
      </c>
      <c r="L211">
        <v>5</v>
      </c>
      <c r="M211" t="s">
        <v>80</v>
      </c>
    </row>
    <row r="212" spans="1:13">
      <c r="A212" t="s">
        <v>461</v>
      </c>
      <c r="B212" t="s">
        <v>462</v>
      </c>
      <c r="C212" t="s">
        <v>146</v>
      </c>
      <c r="D212" t="s">
        <v>16</v>
      </c>
      <c r="E212" t="s">
        <v>17</v>
      </c>
      <c r="F212" t="s">
        <v>100</v>
      </c>
      <c r="G212" t="s">
        <v>104</v>
      </c>
      <c r="H212" t="s">
        <v>36</v>
      </c>
      <c r="I212">
        <v>5999</v>
      </c>
      <c r="J212">
        <v>7</v>
      </c>
      <c r="K212">
        <v>4.3</v>
      </c>
      <c r="L212">
        <v>8</v>
      </c>
      <c r="M212" t="s">
        <v>126</v>
      </c>
    </row>
    <row r="213" spans="1:13">
      <c r="A213" t="s">
        <v>463</v>
      </c>
      <c r="B213" t="s">
        <v>334</v>
      </c>
      <c r="C213" t="s">
        <v>33</v>
      </c>
      <c r="D213" t="s">
        <v>159</v>
      </c>
      <c r="E213" t="s">
        <v>42</v>
      </c>
      <c r="F213" t="s">
        <v>18</v>
      </c>
      <c r="G213" t="s">
        <v>19</v>
      </c>
      <c r="H213" t="s">
        <v>36</v>
      </c>
      <c r="I213">
        <v>4932</v>
      </c>
      <c r="J213">
        <v>3</v>
      </c>
      <c r="K213">
        <v>4.5</v>
      </c>
      <c r="L213">
        <v>1</v>
      </c>
      <c r="M213" t="s">
        <v>55</v>
      </c>
    </row>
    <row r="214" spans="1:13">
      <c r="A214" t="s">
        <v>464</v>
      </c>
      <c r="B214" t="s">
        <v>352</v>
      </c>
      <c r="C214" t="s">
        <v>170</v>
      </c>
      <c r="D214" t="s">
        <v>46</v>
      </c>
      <c r="E214" t="s">
        <v>42</v>
      </c>
      <c r="F214" t="s">
        <v>53</v>
      </c>
      <c r="G214" t="s">
        <v>54</v>
      </c>
      <c r="H214" t="s">
        <v>29</v>
      </c>
      <c r="I214">
        <v>12405</v>
      </c>
      <c r="J214">
        <v>3</v>
      </c>
      <c r="K214">
        <v>3.8</v>
      </c>
      <c r="L214">
        <v>7</v>
      </c>
      <c r="M214" t="s">
        <v>55</v>
      </c>
    </row>
    <row r="215" spans="1:13">
      <c r="A215" t="s">
        <v>465</v>
      </c>
      <c r="B215" t="s">
        <v>393</v>
      </c>
      <c r="C215" t="s">
        <v>170</v>
      </c>
      <c r="D215" t="s">
        <v>16</v>
      </c>
      <c r="E215" t="s">
        <v>17</v>
      </c>
      <c r="F215" t="s">
        <v>18</v>
      </c>
      <c r="G215" t="s">
        <v>28</v>
      </c>
      <c r="H215" t="s">
        <v>36</v>
      </c>
      <c r="I215">
        <v>5424</v>
      </c>
      <c r="J215">
        <v>4</v>
      </c>
      <c r="K215">
        <v>4.8</v>
      </c>
      <c r="L215">
        <v>5</v>
      </c>
      <c r="M215" t="s">
        <v>37</v>
      </c>
    </row>
    <row r="216" spans="1:13">
      <c r="A216" t="s">
        <v>466</v>
      </c>
      <c r="B216" t="s">
        <v>402</v>
      </c>
      <c r="C216" t="s">
        <v>78</v>
      </c>
      <c r="D216" t="s">
        <v>34</v>
      </c>
      <c r="E216" t="s">
        <v>35</v>
      </c>
      <c r="F216" t="s">
        <v>83</v>
      </c>
      <c r="G216" t="s">
        <v>19</v>
      </c>
      <c r="H216" t="s">
        <v>36</v>
      </c>
      <c r="I216">
        <v>316535</v>
      </c>
      <c r="J216">
        <v>5</v>
      </c>
      <c r="K216">
        <v>4.9000000000000004</v>
      </c>
      <c r="L216">
        <v>4</v>
      </c>
      <c r="M216" t="s">
        <v>21</v>
      </c>
    </row>
    <row r="217" spans="1:13">
      <c r="A217" t="s">
        <v>467</v>
      </c>
      <c r="B217" t="s">
        <v>468</v>
      </c>
      <c r="C217" t="s">
        <v>68</v>
      </c>
      <c r="D217" t="s">
        <v>41</v>
      </c>
      <c r="E217" t="s">
        <v>42</v>
      </c>
      <c r="F217" t="s">
        <v>83</v>
      </c>
      <c r="G217" t="s">
        <v>19</v>
      </c>
      <c r="H217" t="s">
        <v>64</v>
      </c>
      <c r="I217">
        <v>4266</v>
      </c>
      <c r="J217">
        <v>6</v>
      </c>
      <c r="K217">
        <v>3.9</v>
      </c>
      <c r="L217">
        <v>5</v>
      </c>
      <c r="M217" t="s">
        <v>37</v>
      </c>
    </row>
    <row r="218" spans="1:13">
      <c r="A218" t="s">
        <v>469</v>
      </c>
      <c r="B218" t="s">
        <v>470</v>
      </c>
      <c r="C218" t="s">
        <v>146</v>
      </c>
      <c r="D218" t="s">
        <v>41</v>
      </c>
      <c r="E218" t="s">
        <v>42</v>
      </c>
      <c r="F218" t="s">
        <v>27</v>
      </c>
      <c r="G218" t="s">
        <v>54</v>
      </c>
      <c r="H218" t="s">
        <v>36</v>
      </c>
      <c r="I218">
        <v>24785</v>
      </c>
      <c r="J218">
        <v>5</v>
      </c>
      <c r="K218">
        <v>4.5</v>
      </c>
      <c r="L218">
        <v>6</v>
      </c>
      <c r="M218" t="s">
        <v>80</v>
      </c>
    </row>
    <row r="219" spans="1:13">
      <c r="A219" t="s">
        <v>471</v>
      </c>
      <c r="B219" t="s">
        <v>472</v>
      </c>
      <c r="C219" t="s">
        <v>50</v>
      </c>
      <c r="D219" t="s">
        <v>79</v>
      </c>
      <c r="E219" t="s">
        <v>26</v>
      </c>
      <c r="F219" t="s">
        <v>27</v>
      </c>
      <c r="G219" t="s">
        <v>104</v>
      </c>
      <c r="H219" t="s">
        <v>29</v>
      </c>
      <c r="I219">
        <v>32753</v>
      </c>
      <c r="J219">
        <v>7</v>
      </c>
      <c r="K219">
        <v>3.7</v>
      </c>
      <c r="L219">
        <v>6</v>
      </c>
      <c r="M219" t="s">
        <v>192</v>
      </c>
    </row>
    <row r="220" spans="1:13">
      <c r="A220" t="s">
        <v>473</v>
      </c>
      <c r="B220" t="s">
        <v>468</v>
      </c>
      <c r="C220" t="s">
        <v>146</v>
      </c>
      <c r="D220" t="s">
        <v>46</v>
      </c>
      <c r="E220" t="s">
        <v>42</v>
      </c>
      <c r="F220" t="s">
        <v>53</v>
      </c>
      <c r="G220" t="s">
        <v>28</v>
      </c>
      <c r="H220" t="s">
        <v>36</v>
      </c>
      <c r="I220">
        <v>3184</v>
      </c>
      <c r="J220">
        <v>2</v>
      </c>
      <c r="K220">
        <v>3.4</v>
      </c>
      <c r="L220">
        <v>8</v>
      </c>
      <c r="M220" t="s">
        <v>37</v>
      </c>
    </row>
    <row r="221" spans="1:13">
      <c r="A221" t="s">
        <v>474</v>
      </c>
      <c r="B221" t="s">
        <v>475</v>
      </c>
      <c r="C221" t="s">
        <v>45</v>
      </c>
      <c r="D221" t="s">
        <v>59</v>
      </c>
      <c r="E221" t="s">
        <v>26</v>
      </c>
      <c r="F221" t="s">
        <v>18</v>
      </c>
      <c r="G221" t="s">
        <v>19</v>
      </c>
      <c r="H221" t="s">
        <v>29</v>
      </c>
      <c r="I221">
        <v>18248</v>
      </c>
      <c r="J221">
        <v>8</v>
      </c>
      <c r="K221">
        <v>3.5</v>
      </c>
      <c r="L221">
        <v>5</v>
      </c>
      <c r="M221" t="s">
        <v>37</v>
      </c>
    </row>
    <row r="222" spans="1:13">
      <c r="A222" t="s">
        <v>476</v>
      </c>
      <c r="B222" t="s">
        <v>477</v>
      </c>
      <c r="C222" t="s">
        <v>15</v>
      </c>
      <c r="D222" t="s">
        <v>147</v>
      </c>
      <c r="E222" t="s">
        <v>52</v>
      </c>
      <c r="F222" t="s">
        <v>60</v>
      </c>
      <c r="G222" t="s">
        <v>28</v>
      </c>
      <c r="H222" t="s">
        <v>20</v>
      </c>
      <c r="I222">
        <v>7492</v>
      </c>
      <c r="J222">
        <v>4</v>
      </c>
      <c r="K222">
        <v>3.7</v>
      </c>
      <c r="L222">
        <v>3</v>
      </c>
      <c r="M222" t="s">
        <v>119</v>
      </c>
    </row>
    <row r="223" spans="1:13">
      <c r="A223" t="s">
        <v>478</v>
      </c>
      <c r="B223" t="s">
        <v>183</v>
      </c>
      <c r="C223" t="s">
        <v>129</v>
      </c>
      <c r="D223" t="s">
        <v>116</v>
      </c>
      <c r="E223" t="s">
        <v>17</v>
      </c>
      <c r="F223" t="s">
        <v>27</v>
      </c>
      <c r="G223" t="s">
        <v>54</v>
      </c>
      <c r="H223" t="s">
        <v>29</v>
      </c>
      <c r="I223">
        <v>1644</v>
      </c>
      <c r="J223">
        <v>3</v>
      </c>
      <c r="K223">
        <v>3.6</v>
      </c>
      <c r="L223">
        <v>7</v>
      </c>
      <c r="M223" t="s">
        <v>87</v>
      </c>
    </row>
    <row r="224" spans="1:13">
      <c r="A224" t="s">
        <v>479</v>
      </c>
      <c r="B224" t="s">
        <v>480</v>
      </c>
      <c r="C224" t="s">
        <v>33</v>
      </c>
      <c r="D224" t="s">
        <v>16</v>
      </c>
      <c r="E224" t="s">
        <v>17</v>
      </c>
      <c r="F224" t="s">
        <v>83</v>
      </c>
      <c r="G224" t="s">
        <v>28</v>
      </c>
      <c r="H224" t="s">
        <v>64</v>
      </c>
      <c r="I224">
        <v>6488</v>
      </c>
      <c r="J224">
        <v>4</v>
      </c>
      <c r="K224">
        <v>3.4</v>
      </c>
      <c r="L224">
        <v>8</v>
      </c>
      <c r="M224" t="s">
        <v>87</v>
      </c>
    </row>
    <row r="225" spans="1:13">
      <c r="A225" t="s">
        <v>481</v>
      </c>
      <c r="B225" t="s">
        <v>482</v>
      </c>
      <c r="C225" t="s">
        <v>33</v>
      </c>
      <c r="D225" t="s">
        <v>41</v>
      </c>
      <c r="E225" t="s">
        <v>42</v>
      </c>
      <c r="F225" t="s">
        <v>100</v>
      </c>
      <c r="G225" t="s">
        <v>19</v>
      </c>
      <c r="H225" t="s">
        <v>29</v>
      </c>
      <c r="I225">
        <v>15631</v>
      </c>
      <c r="J225">
        <v>7</v>
      </c>
      <c r="K225">
        <v>3.7</v>
      </c>
      <c r="L225">
        <v>3</v>
      </c>
      <c r="M225" t="s">
        <v>55</v>
      </c>
    </row>
    <row r="226" spans="1:13">
      <c r="A226" t="s">
        <v>483</v>
      </c>
      <c r="B226" t="s">
        <v>344</v>
      </c>
      <c r="C226" t="s">
        <v>78</v>
      </c>
      <c r="D226" t="s">
        <v>90</v>
      </c>
      <c r="E226" t="s">
        <v>42</v>
      </c>
      <c r="F226" t="s">
        <v>18</v>
      </c>
      <c r="G226" t="s">
        <v>28</v>
      </c>
      <c r="H226" t="s">
        <v>29</v>
      </c>
      <c r="I226">
        <v>30696</v>
      </c>
      <c r="J226">
        <v>8</v>
      </c>
      <c r="K226">
        <v>4</v>
      </c>
      <c r="L226">
        <v>4</v>
      </c>
      <c r="M226" t="s">
        <v>30</v>
      </c>
    </row>
    <row r="227" spans="1:13">
      <c r="A227" t="s">
        <v>484</v>
      </c>
      <c r="B227" t="s">
        <v>485</v>
      </c>
      <c r="C227" t="s">
        <v>103</v>
      </c>
      <c r="D227" t="s">
        <v>90</v>
      </c>
      <c r="E227" t="s">
        <v>42</v>
      </c>
      <c r="F227" t="s">
        <v>18</v>
      </c>
      <c r="G227" t="s">
        <v>28</v>
      </c>
      <c r="H227" t="s">
        <v>29</v>
      </c>
      <c r="I227">
        <v>5478</v>
      </c>
      <c r="J227">
        <v>6</v>
      </c>
      <c r="K227">
        <v>4.3</v>
      </c>
      <c r="L227">
        <v>1</v>
      </c>
      <c r="M227" t="s">
        <v>126</v>
      </c>
    </row>
    <row r="228" spans="1:13">
      <c r="A228" t="s">
        <v>486</v>
      </c>
      <c r="B228" t="s">
        <v>487</v>
      </c>
      <c r="C228" t="s">
        <v>58</v>
      </c>
      <c r="D228" t="s">
        <v>79</v>
      </c>
      <c r="E228" t="s">
        <v>26</v>
      </c>
      <c r="F228" t="s">
        <v>60</v>
      </c>
      <c r="G228" t="s">
        <v>104</v>
      </c>
      <c r="H228" t="s">
        <v>20</v>
      </c>
      <c r="I228">
        <v>3432</v>
      </c>
      <c r="J228">
        <v>2</v>
      </c>
      <c r="K228">
        <v>4.5999999999999996</v>
      </c>
      <c r="L228">
        <v>4</v>
      </c>
      <c r="M228" t="s">
        <v>80</v>
      </c>
    </row>
    <row r="229" spans="1:13">
      <c r="A229" t="s">
        <v>488</v>
      </c>
      <c r="B229" t="s">
        <v>489</v>
      </c>
      <c r="C229" t="s">
        <v>58</v>
      </c>
      <c r="D229" t="s">
        <v>63</v>
      </c>
      <c r="E229" t="s">
        <v>52</v>
      </c>
      <c r="F229" t="s">
        <v>83</v>
      </c>
      <c r="G229" t="s">
        <v>28</v>
      </c>
      <c r="H229" t="s">
        <v>29</v>
      </c>
      <c r="I229">
        <v>10314</v>
      </c>
      <c r="J229">
        <v>6</v>
      </c>
      <c r="K229">
        <v>4.9000000000000004</v>
      </c>
      <c r="L229">
        <v>3</v>
      </c>
      <c r="M229" t="s">
        <v>30</v>
      </c>
    </row>
    <row r="230" spans="1:13">
      <c r="A230" t="s">
        <v>490</v>
      </c>
      <c r="B230" t="s">
        <v>491</v>
      </c>
      <c r="C230" t="s">
        <v>170</v>
      </c>
      <c r="D230" t="s">
        <v>51</v>
      </c>
      <c r="E230" t="s">
        <v>52</v>
      </c>
      <c r="F230" t="s">
        <v>100</v>
      </c>
      <c r="G230" t="s">
        <v>19</v>
      </c>
      <c r="H230" t="s">
        <v>20</v>
      </c>
      <c r="I230">
        <v>2404</v>
      </c>
      <c r="J230">
        <v>2</v>
      </c>
      <c r="K230">
        <v>4.0999999999999996</v>
      </c>
      <c r="L230">
        <v>1</v>
      </c>
      <c r="M230" t="s">
        <v>144</v>
      </c>
    </row>
    <row r="231" spans="1:13">
      <c r="A231" t="s">
        <v>492</v>
      </c>
      <c r="B231" t="s">
        <v>493</v>
      </c>
      <c r="C231" t="s">
        <v>75</v>
      </c>
      <c r="D231" t="s">
        <v>34</v>
      </c>
      <c r="E231" t="s">
        <v>35</v>
      </c>
      <c r="F231" t="s">
        <v>53</v>
      </c>
      <c r="G231" t="s">
        <v>28</v>
      </c>
      <c r="H231" t="s">
        <v>36</v>
      </c>
      <c r="I231">
        <v>79388</v>
      </c>
      <c r="J231">
        <v>1</v>
      </c>
      <c r="K231">
        <v>4.7</v>
      </c>
      <c r="L231">
        <v>6</v>
      </c>
      <c r="M231" t="s">
        <v>126</v>
      </c>
    </row>
    <row r="232" spans="1:13">
      <c r="A232" t="s">
        <v>494</v>
      </c>
      <c r="B232" t="s">
        <v>493</v>
      </c>
      <c r="C232" t="s">
        <v>122</v>
      </c>
      <c r="D232" t="s">
        <v>130</v>
      </c>
      <c r="E232" t="s">
        <v>35</v>
      </c>
      <c r="F232" t="s">
        <v>27</v>
      </c>
      <c r="G232" t="s">
        <v>19</v>
      </c>
      <c r="H232" t="s">
        <v>64</v>
      </c>
      <c r="I232">
        <v>199074</v>
      </c>
      <c r="J232">
        <v>3</v>
      </c>
      <c r="K232">
        <v>4.5</v>
      </c>
      <c r="L232">
        <v>6</v>
      </c>
      <c r="M232" t="s">
        <v>126</v>
      </c>
    </row>
    <row r="233" spans="1:13">
      <c r="A233" t="s">
        <v>495</v>
      </c>
      <c r="B233" t="s">
        <v>77</v>
      </c>
      <c r="C233" t="s">
        <v>45</v>
      </c>
      <c r="D233" t="s">
        <v>130</v>
      </c>
      <c r="E233" t="s">
        <v>35</v>
      </c>
      <c r="F233" t="s">
        <v>83</v>
      </c>
      <c r="G233" t="s">
        <v>54</v>
      </c>
      <c r="H233" t="s">
        <v>64</v>
      </c>
      <c r="I233">
        <v>232746</v>
      </c>
      <c r="J233">
        <v>3</v>
      </c>
      <c r="K233">
        <v>3.3</v>
      </c>
      <c r="L233">
        <v>6</v>
      </c>
      <c r="M233" t="s">
        <v>80</v>
      </c>
    </row>
    <row r="234" spans="1:13">
      <c r="A234" t="s">
        <v>496</v>
      </c>
      <c r="B234" t="s">
        <v>263</v>
      </c>
      <c r="C234" t="s">
        <v>146</v>
      </c>
      <c r="D234" t="s">
        <v>109</v>
      </c>
      <c r="E234" t="s">
        <v>52</v>
      </c>
      <c r="F234" t="s">
        <v>18</v>
      </c>
      <c r="G234" t="s">
        <v>104</v>
      </c>
      <c r="H234" t="s">
        <v>20</v>
      </c>
      <c r="I234">
        <v>6232</v>
      </c>
      <c r="J234">
        <v>4</v>
      </c>
      <c r="K234">
        <v>4.7</v>
      </c>
      <c r="L234">
        <v>6</v>
      </c>
      <c r="M234" t="s">
        <v>87</v>
      </c>
    </row>
    <row r="235" spans="1:13">
      <c r="A235" t="s">
        <v>497</v>
      </c>
      <c r="B235" t="s">
        <v>450</v>
      </c>
      <c r="C235" t="s">
        <v>133</v>
      </c>
      <c r="D235" t="s">
        <v>147</v>
      </c>
      <c r="E235" t="s">
        <v>52</v>
      </c>
      <c r="F235" t="s">
        <v>60</v>
      </c>
      <c r="G235" t="s">
        <v>28</v>
      </c>
      <c r="H235" t="s">
        <v>29</v>
      </c>
      <c r="I235">
        <v>1275</v>
      </c>
      <c r="J235">
        <v>5</v>
      </c>
      <c r="K235">
        <v>4.5</v>
      </c>
      <c r="L235">
        <v>3</v>
      </c>
      <c r="M235" t="s">
        <v>126</v>
      </c>
    </row>
    <row r="236" spans="1:13">
      <c r="A236" t="s">
        <v>498</v>
      </c>
      <c r="B236" t="s">
        <v>181</v>
      </c>
      <c r="C236" t="s">
        <v>40</v>
      </c>
      <c r="D236" t="s">
        <v>69</v>
      </c>
      <c r="E236" t="s">
        <v>26</v>
      </c>
      <c r="F236" t="s">
        <v>18</v>
      </c>
      <c r="G236" t="s">
        <v>104</v>
      </c>
      <c r="H236" t="s">
        <v>29</v>
      </c>
      <c r="I236">
        <v>16056</v>
      </c>
      <c r="J236">
        <v>8</v>
      </c>
      <c r="K236">
        <v>4.5999999999999996</v>
      </c>
      <c r="L236">
        <v>1</v>
      </c>
      <c r="M236" t="s">
        <v>87</v>
      </c>
    </row>
    <row r="237" spans="1:13">
      <c r="A237" t="s">
        <v>499</v>
      </c>
      <c r="B237" t="s">
        <v>420</v>
      </c>
      <c r="C237" t="s">
        <v>15</v>
      </c>
      <c r="D237" t="s">
        <v>16</v>
      </c>
      <c r="E237" t="s">
        <v>17</v>
      </c>
      <c r="F237" t="s">
        <v>60</v>
      </c>
      <c r="G237" t="s">
        <v>19</v>
      </c>
      <c r="H237" t="s">
        <v>64</v>
      </c>
      <c r="I237">
        <v>3204</v>
      </c>
      <c r="J237">
        <v>3</v>
      </c>
      <c r="K237">
        <v>3.8</v>
      </c>
      <c r="L237">
        <v>8</v>
      </c>
      <c r="M237" t="s">
        <v>126</v>
      </c>
    </row>
    <row r="238" spans="1:13">
      <c r="A238" t="s">
        <v>500</v>
      </c>
      <c r="B238" t="s">
        <v>181</v>
      </c>
      <c r="C238" t="s">
        <v>40</v>
      </c>
      <c r="D238" t="s">
        <v>147</v>
      </c>
      <c r="E238" t="s">
        <v>52</v>
      </c>
      <c r="F238" t="s">
        <v>83</v>
      </c>
      <c r="G238" t="s">
        <v>54</v>
      </c>
      <c r="H238" t="s">
        <v>36</v>
      </c>
      <c r="I238">
        <v>6168</v>
      </c>
      <c r="J238">
        <v>6</v>
      </c>
      <c r="K238">
        <v>3.7</v>
      </c>
      <c r="L238">
        <v>5</v>
      </c>
      <c r="M238" t="s">
        <v>87</v>
      </c>
    </row>
    <row r="239" spans="1:13">
      <c r="A239" t="s">
        <v>501</v>
      </c>
      <c r="B239" t="s">
        <v>356</v>
      </c>
      <c r="C239" t="s">
        <v>179</v>
      </c>
      <c r="D239" t="s">
        <v>90</v>
      </c>
      <c r="E239" t="s">
        <v>42</v>
      </c>
      <c r="F239" t="s">
        <v>18</v>
      </c>
      <c r="G239" t="s">
        <v>54</v>
      </c>
      <c r="H239" t="s">
        <v>20</v>
      </c>
      <c r="I239">
        <v>1417</v>
      </c>
      <c r="J239">
        <v>1</v>
      </c>
      <c r="K239">
        <v>4.7</v>
      </c>
      <c r="L239">
        <v>8</v>
      </c>
      <c r="M239" t="s">
        <v>80</v>
      </c>
    </row>
    <row r="240" spans="1:13">
      <c r="A240" t="s">
        <v>502</v>
      </c>
      <c r="B240" t="s">
        <v>503</v>
      </c>
      <c r="C240" t="s">
        <v>75</v>
      </c>
      <c r="D240" t="s">
        <v>109</v>
      </c>
      <c r="E240" t="s">
        <v>52</v>
      </c>
      <c r="F240" t="s">
        <v>27</v>
      </c>
      <c r="G240" t="s">
        <v>28</v>
      </c>
      <c r="H240" t="s">
        <v>20</v>
      </c>
      <c r="I240">
        <v>12104</v>
      </c>
      <c r="J240">
        <v>8</v>
      </c>
      <c r="K240">
        <v>4.8</v>
      </c>
      <c r="L240">
        <v>5</v>
      </c>
      <c r="M240" t="s">
        <v>87</v>
      </c>
    </row>
    <row r="241" spans="1:13">
      <c r="A241" t="s">
        <v>504</v>
      </c>
      <c r="B241" t="s">
        <v>505</v>
      </c>
      <c r="C241" t="s">
        <v>58</v>
      </c>
      <c r="D241" t="s">
        <v>97</v>
      </c>
      <c r="E241" t="s">
        <v>35</v>
      </c>
      <c r="F241" t="s">
        <v>18</v>
      </c>
      <c r="G241" t="s">
        <v>19</v>
      </c>
      <c r="H241" t="s">
        <v>36</v>
      </c>
      <c r="I241">
        <v>111030</v>
      </c>
      <c r="J241">
        <v>3</v>
      </c>
      <c r="K241">
        <v>3.7</v>
      </c>
      <c r="L241">
        <v>5</v>
      </c>
      <c r="M241" t="s">
        <v>55</v>
      </c>
    </row>
    <row r="242" spans="1:13">
      <c r="A242" t="s">
        <v>506</v>
      </c>
      <c r="B242" t="s">
        <v>507</v>
      </c>
      <c r="C242" t="s">
        <v>78</v>
      </c>
      <c r="D242" t="s">
        <v>218</v>
      </c>
      <c r="E242" t="s">
        <v>17</v>
      </c>
      <c r="F242" t="s">
        <v>27</v>
      </c>
      <c r="G242" t="s">
        <v>28</v>
      </c>
      <c r="H242" t="s">
        <v>20</v>
      </c>
      <c r="I242">
        <v>10549</v>
      </c>
      <c r="J242">
        <v>7</v>
      </c>
      <c r="K242">
        <v>4.7</v>
      </c>
      <c r="L242">
        <v>7</v>
      </c>
      <c r="M242" t="s">
        <v>30</v>
      </c>
    </row>
    <row r="243" spans="1:13">
      <c r="A243" t="s">
        <v>508</v>
      </c>
      <c r="B243" t="s">
        <v>290</v>
      </c>
      <c r="C243" t="s">
        <v>68</v>
      </c>
      <c r="D243" t="s">
        <v>46</v>
      </c>
      <c r="E243" t="s">
        <v>42</v>
      </c>
      <c r="F243" t="s">
        <v>60</v>
      </c>
      <c r="G243" t="s">
        <v>19</v>
      </c>
      <c r="H243" t="s">
        <v>20</v>
      </c>
      <c r="I243">
        <v>37653</v>
      </c>
      <c r="J243">
        <v>7</v>
      </c>
      <c r="K243">
        <v>4.5999999999999996</v>
      </c>
      <c r="L243">
        <v>3</v>
      </c>
      <c r="M243" t="s">
        <v>87</v>
      </c>
    </row>
    <row r="244" spans="1:13">
      <c r="A244" t="s">
        <v>509</v>
      </c>
      <c r="B244" t="s">
        <v>510</v>
      </c>
      <c r="C244" t="s">
        <v>170</v>
      </c>
      <c r="D244" t="s">
        <v>63</v>
      </c>
      <c r="E244" t="s">
        <v>52</v>
      </c>
      <c r="F244" t="s">
        <v>27</v>
      </c>
      <c r="G244" t="s">
        <v>54</v>
      </c>
      <c r="H244" t="s">
        <v>36</v>
      </c>
      <c r="I244">
        <v>570</v>
      </c>
      <c r="J244">
        <v>1</v>
      </c>
      <c r="K244">
        <v>3.5</v>
      </c>
      <c r="L244">
        <v>5</v>
      </c>
      <c r="M244" t="s">
        <v>80</v>
      </c>
    </row>
    <row r="245" spans="1:13">
      <c r="A245" t="s">
        <v>511</v>
      </c>
      <c r="B245" t="s">
        <v>39</v>
      </c>
      <c r="C245" t="s">
        <v>68</v>
      </c>
      <c r="D245" t="s">
        <v>90</v>
      </c>
      <c r="E245" t="s">
        <v>42</v>
      </c>
      <c r="F245" t="s">
        <v>60</v>
      </c>
      <c r="G245" t="s">
        <v>19</v>
      </c>
      <c r="H245" t="s">
        <v>20</v>
      </c>
      <c r="I245">
        <v>4806</v>
      </c>
      <c r="J245">
        <v>6</v>
      </c>
      <c r="K245">
        <v>4.3</v>
      </c>
      <c r="L245">
        <v>7</v>
      </c>
      <c r="M245" t="s">
        <v>30</v>
      </c>
    </row>
    <row r="246" spans="1:13">
      <c r="A246" t="s">
        <v>512</v>
      </c>
      <c r="B246" t="s">
        <v>111</v>
      </c>
      <c r="C246" t="s">
        <v>58</v>
      </c>
      <c r="D246" t="s">
        <v>25</v>
      </c>
      <c r="E246" t="s">
        <v>26</v>
      </c>
      <c r="F246" t="s">
        <v>100</v>
      </c>
      <c r="G246" t="s">
        <v>28</v>
      </c>
      <c r="H246" t="s">
        <v>36</v>
      </c>
      <c r="I246">
        <v>10254</v>
      </c>
      <c r="J246">
        <v>2</v>
      </c>
      <c r="K246">
        <v>3.9</v>
      </c>
      <c r="L246">
        <v>8</v>
      </c>
      <c r="M246" t="s">
        <v>87</v>
      </c>
    </row>
    <row r="247" spans="1:13">
      <c r="A247" t="s">
        <v>513</v>
      </c>
      <c r="B247" t="s">
        <v>514</v>
      </c>
      <c r="C247" t="s">
        <v>125</v>
      </c>
      <c r="D247" t="s">
        <v>109</v>
      </c>
      <c r="E247" t="s">
        <v>52</v>
      </c>
      <c r="F247" t="s">
        <v>53</v>
      </c>
      <c r="G247" t="s">
        <v>104</v>
      </c>
      <c r="H247" t="s">
        <v>36</v>
      </c>
      <c r="I247">
        <v>5685</v>
      </c>
      <c r="J247">
        <v>3</v>
      </c>
      <c r="K247">
        <v>4.4000000000000004</v>
      </c>
      <c r="L247">
        <v>1</v>
      </c>
      <c r="M247" t="s">
        <v>55</v>
      </c>
    </row>
    <row r="248" spans="1:13">
      <c r="A248" t="s">
        <v>515</v>
      </c>
      <c r="B248" t="s">
        <v>516</v>
      </c>
      <c r="C248" t="s">
        <v>170</v>
      </c>
      <c r="D248" t="s">
        <v>130</v>
      </c>
      <c r="E248" t="s">
        <v>35</v>
      </c>
      <c r="F248" t="s">
        <v>53</v>
      </c>
      <c r="G248" t="s">
        <v>28</v>
      </c>
      <c r="H248" t="s">
        <v>36</v>
      </c>
      <c r="I248">
        <v>161890</v>
      </c>
      <c r="J248">
        <v>5</v>
      </c>
      <c r="K248">
        <v>5</v>
      </c>
      <c r="L248">
        <v>8</v>
      </c>
      <c r="M248" t="s">
        <v>126</v>
      </c>
    </row>
    <row r="249" spans="1:13">
      <c r="A249" t="s">
        <v>517</v>
      </c>
      <c r="B249" t="s">
        <v>57</v>
      </c>
      <c r="C249" t="s">
        <v>40</v>
      </c>
      <c r="D249" t="s">
        <v>51</v>
      </c>
      <c r="E249" t="s">
        <v>52</v>
      </c>
      <c r="F249" t="s">
        <v>27</v>
      </c>
      <c r="G249" t="s">
        <v>28</v>
      </c>
      <c r="H249" t="s">
        <v>20</v>
      </c>
      <c r="I249">
        <v>16555</v>
      </c>
      <c r="J249">
        <v>7</v>
      </c>
      <c r="K249">
        <v>4.5999999999999996</v>
      </c>
      <c r="L249">
        <v>2</v>
      </c>
      <c r="M249" t="s">
        <v>37</v>
      </c>
    </row>
    <row r="250" spans="1:13">
      <c r="A250" t="s">
        <v>518</v>
      </c>
      <c r="B250" t="s">
        <v>519</v>
      </c>
      <c r="C250" t="s">
        <v>179</v>
      </c>
      <c r="D250" t="s">
        <v>25</v>
      </c>
      <c r="E250" t="s">
        <v>26</v>
      </c>
      <c r="F250" t="s">
        <v>53</v>
      </c>
      <c r="G250" t="s">
        <v>104</v>
      </c>
      <c r="H250" t="s">
        <v>64</v>
      </c>
      <c r="I250">
        <v>33112</v>
      </c>
      <c r="J250">
        <v>4</v>
      </c>
      <c r="K250">
        <v>3.3</v>
      </c>
      <c r="L250">
        <v>6</v>
      </c>
      <c r="M250" t="s">
        <v>80</v>
      </c>
    </row>
    <row r="251" spans="1:13">
      <c r="A251" t="s">
        <v>520</v>
      </c>
      <c r="B251" t="s">
        <v>521</v>
      </c>
      <c r="C251" t="s">
        <v>125</v>
      </c>
      <c r="D251" t="s">
        <v>69</v>
      </c>
      <c r="E251" t="s">
        <v>26</v>
      </c>
      <c r="F251" t="s">
        <v>100</v>
      </c>
      <c r="G251" t="s">
        <v>104</v>
      </c>
      <c r="H251" t="s">
        <v>29</v>
      </c>
      <c r="I251">
        <v>17616</v>
      </c>
      <c r="J251">
        <v>2</v>
      </c>
      <c r="K251">
        <v>4.3</v>
      </c>
      <c r="L251">
        <v>3</v>
      </c>
      <c r="M251" t="s">
        <v>192</v>
      </c>
    </row>
    <row r="252" spans="1:13">
      <c r="A252" t="s">
        <v>522</v>
      </c>
      <c r="B252" t="s">
        <v>523</v>
      </c>
      <c r="C252" t="s">
        <v>122</v>
      </c>
      <c r="D252" t="s">
        <v>109</v>
      </c>
      <c r="E252" t="s">
        <v>52</v>
      </c>
      <c r="F252" t="s">
        <v>27</v>
      </c>
      <c r="G252" t="s">
        <v>19</v>
      </c>
      <c r="H252" t="s">
        <v>20</v>
      </c>
      <c r="I252">
        <v>724</v>
      </c>
      <c r="J252">
        <v>2</v>
      </c>
      <c r="K252">
        <v>4.7</v>
      </c>
      <c r="L252">
        <v>4</v>
      </c>
      <c r="M252" t="s">
        <v>119</v>
      </c>
    </row>
    <row r="253" spans="1:13">
      <c r="A253" t="s">
        <v>524</v>
      </c>
      <c r="B253" t="s">
        <v>525</v>
      </c>
      <c r="C253" t="s">
        <v>122</v>
      </c>
      <c r="D253" t="s">
        <v>97</v>
      </c>
      <c r="E253" t="s">
        <v>35</v>
      </c>
      <c r="F253" t="s">
        <v>53</v>
      </c>
      <c r="G253" t="s">
        <v>104</v>
      </c>
      <c r="H253" t="s">
        <v>29</v>
      </c>
      <c r="I253">
        <v>64640</v>
      </c>
      <c r="J253">
        <v>1</v>
      </c>
      <c r="K253">
        <v>3.5</v>
      </c>
      <c r="L253">
        <v>1</v>
      </c>
      <c r="M253" t="s">
        <v>65</v>
      </c>
    </row>
    <row r="254" spans="1:13">
      <c r="A254" t="s">
        <v>526</v>
      </c>
      <c r="B254" t="s">
        <v>527</v>
      </c>
      <c r="C254" t="s">
        <v>58</v>
      </c>
      <c r="D254" t="s">
        <v>90</v>
      </c>
      <c r="E254" t="s">
        <v>42</v>
      </c>
      <c r="F254" t="s">
        <v>18</v>
      </c>
      <c r="G254" t="s">
        <v>54</v>
      </c>
      <c r="H254" t="s">
        <v>29</v>
      </c>
      <c r="I254">
        <v>25400</v>
      </c>
      <c r="J254">
        <v>8</v>
      </c>
      <c r="K254">
        <v>4.0999999999999996</v>
      </c>
      <c r="L254">
        <v>7</v>
      </c>
      <c r="M254" t="s">
        <v>126</v>
      </c>
    </row>
    <row r="255" spans="1:13">
      <c r="A255" t="s">
        <v>528</v>
      </c>
      <c r="B255" t="s">
        <v>187</v>
      </c>
      <c r="C255" t="s">
        <v>103</v>
      </c>
      <c r="D255" t="s">
        <v>59</v>
      </c>
      <c r="E255" t="s">
        <v>26</v>
      </c>
      <c r="F255" t="s">
        <v>27</v>
      </c>
      <c r="G255" t="s">
        <v>104</v>
      </c>
      <c r="H255" t="s">
        <v>20</v>
      </c>
      <c r="I255">
        <v>22590</v>
      </c>
      <c r="J255">
        <v>2</v>
      </c>
      <c r="K255">
        <v>3.8</v>
      </c>
      <c r="L255">
        <v>5</v>
      </c>
      <c r="M255" t="s">
        <v>126</v>
      </c>
    </row>
    <row r="256" spans="1:13">
      <c r="A256" t="s">
        <v>529</v>
      </c>
      <c r="B256" t="s">
        <v>530</v>
      </c>
      <c r="C256" t="s">
        <v>103</v>
      </c>
      <c r="D256" t="s">
        <v>63</v>
      </c>
      <c r="E256" t="s">
        <v>52</v>
      </c>
      <c r="F256" t="s">
        <v>60</v>
      </c>
      <c r="G256" t="s">
        <v>28</v>
      </c>
      <c r="H256" t="s">
        <v>64</v>
      </c>
      <c r="I256">
        <v>10913</v>
      </c>
      <c r="J256">
        <v>7</v>
      </c>
      <c r="K256">
        <v>4.0999999999999996</v>
      </c>
      <c r="L256">
        <v>5</v>
      </c>
      <c r="M256" t="s">
        <v>144</v>
      </c>
    </row>
    <row r="257" spans="1:13">
      <c r="A257" t="s">
        <v>531</v>
      </c>
      <c r="B257" t="s">
        <v>420</v>
      </c>
      <c r="C257" t="s">
        <v>78</v>
      </c>
      <c r="D257" t="s">
        <v>86</v>
      </c>
      <c r="E257" t="s">
        <v>17</v>
      </c>
      <c r="F257" t="s">
        <v>83</v>
      </c>
      <c r="G257" t="s">
        <v>104</v>
      </c>
      <c r="H257" t="s">
        <v>36</v>
      </c>
      <c r="I257">
        <v>6820</v>
      </c>
      <c r="J257">
        <v>4</v>
      </c>
      <c r="K257">
        <v>3.7</v>
      </c>
      <c r="L257">
        <v>3</v>
      </c>
      <c r="M257" t="s">
        <v>126</v>
      </c>
    </row>
    <row r="258" spans="1:13">
      <c r="A258" t="s">
        <v>532</v>
      </c>
      <c r="B258" t="s">
        <v>533</v>
      </c>
      <c r="C258" t="s">
        <v>133</v>
      </c>
      <c r="D258" t="s">
        <v>159</v>
      </c>
      <c r="E258" t="s">
        <v>42</v>
      </c>
      <c r="F258" t="s">
        <v>53</v>
      </c>
      <c r="G258" t="s">
        <v>104</v>
      </c>
      <c r="H258" t="s">
        <v>29</v>
      </c>
      <c r="I258">
        <v>7560</v>
      </c>
      <c r="J258">
        <v>3</v>
      </c>
      <c r="K258">
        <v>3.6</v>
      </c>
      <c r="L258">
        <v>5</v>
      </c>
      <c r="M258" t="s">
        <v>21</v>
      </c>
    </row>
    <row r="259" spans="1:13">
      <c r="A259" t="s">
        <v>534</v>
      </c>
      <c r="B259" t="s">
        <v>172</v>
      </c>
      <c r="C259" t="s">
        <v>112</v>
      </c>
      <c r="D259" t="s">
        <v>59</v>
      </c>
      <c r="E259" t="s">
        <v>26</v>
      </c>
      <c r="F259" t="s">
        <v>18</v>
      </c>
      <c r="G259" t="s">
        <v>28</v>
      </c>
      <c r="H259" t="s">
        <v>29</v>
      </c>
      <c r="I259">
        <v>21936</v>
      </c>
      <c r="J259">
        <v>2</v>
      </c>
      <c r="K259">
        <v>3.3</v>
      </c>
      <c r="L259">
        <v>4</v>
      </c>
      <c r="M259" t="s">
        <v>47</v>
      </c>
    </row>
    <row r="260" spans="1:13">
      <c r="A260" t="s">
        <v>535</v>
      </c>
      <c r="B260" t="s">
        <v>536</v>
      </c>
      <c r="C260" t="s">
        <v>75</v>
      </c>
      <c r="D260" t="s">
        <v>41</v>
      </c>
      <c r="E260" t="s">
        <v>42</v>
      </c>
      <c r="F260" t="s">
        <v>60</v>
      </c>
      <c r="G260" t="s">
        <v>104</v>
      </c>
      <c r="H260" t="s">
        <v>20</v>
      </c>
      <c r="I260">
        <v>16092</v>
      </c>
      <c r="J260">
        <v>3</v>
      </c>
      <c r="K260">
        <v>3.5</v>
      </c>
      <c r="L260">
        <v>3</v>
      </c>
      <c r="M260" t="s">
        <v>80</v>
      </c>
    </row>
    <row r="261" spans="1:13">
      <c r="A261" t="s">
        <v>537</v>
      </c>
      <c r="B261" t="s">
        <v>538</v>
      </c>
      <c r="C261" t="s">
        <v>72</v>
      </c>
      <c r="D261" t="s">
        <v>113</v>
      </c>
      <c r="E261" t="s">
        <v>35</v>
      </c>
      <c r="F261" t="s">
        <v>100</v>
      </c>
      <c r="G261" t="s">
        <v>28</v>
      </c>
      <c r="H261" t="s">
        <v>64</v>
      </c>
      <c r="I261">
        <v>196792</v>
      </c>
      <c r="J261">
        <v>8</v>
      </c>
      <c r="K261">
        <v>4.0999999999999996</v>
      </c>
      <c r="L261">
        <v>2</v>
      </c>
      <c r="M261" t="s">
        <v>144</v>
      </c>
    </row>
    <row r="262" spans="1:13">
      <c r="A262" t="s">
        <v>539</v>
      </c>
      <c r="B262" t="s">
        <v>446</v>
      </c>
      <c r="C262" t="s">
        <v>112</v>
      </c>
      <c r="D262" t="s">
        <v>90</v>
      </c>
      <c r="E262" t="s">
        <v>42</v>
      </c>
      <c r="F262" t="s">
        <v>83</v>
      </c>
      <c r="G262" t="s">
        <v>54</v>
      </c>
      <c r="H262" t="s">
        <v>36</v>
      </c>
      <c r="I262">
        <v>16331</v>
      </c>
      <c r="J262">
        <v>7</v>
      </c>
      <c r="K262">
        <v>4.9000000000000004</v>
      </c>
      <c r="L262">
        <v>6</v>
      </c>
      <c r="M262" t="s">
        <v>65</v>
      </c>
    </row>
    <row r="263" spans="1:13">
      <c r="A263" t="s">
        <v>540</v>
      </c>
      <c r="B263" t="s">
        <v>199</v>
      </c>
      <c r="C263" t="s">
        <v>75</v>
      </c>
      <c r="D263" t="s">
        <v>63</v>
      </c>
      <c r="E263" t="s">
        <v>52</v>
      </c>
      <c r="F263" t="s">
        <v>18</v>
      </c>
      <c r="G263" t="s">
        <v>104</v>
      </c>
      <c r="H263" t="s">
        <v>29</v>
      </c>
      <c r="I263">
        <v>4668</v>
      </c>
      <c r="J263">
        <v>6</v>
      </c>
      <c r="K263">
        <v>4.3</v>
      </c>
      <c r="L263">
        <v>3</v>
      </c>
      <c r="M263" t="s">
        <v>119</v>
      </c>
    </row>
    <row r="264" spans="1:13">
      <c r="A264" t="s">
        <v>541</v>
      </c>
      <c r="B264" t="s">
        <v>391</v>
      </c>
      <c r="C264" t="s">
        <v>15</v>
      </c>
      <c r="D264" t="s">
        <v>46</v>
      </c>
      <c r="E264" t="s">
        <v>42</v>
      </c>
      <c r="F264" t="s">
        <v>83</v>
      </c>
      <c r="G264" t="s">
        <v>19</v>
      </c>
      <c r="H264" t="s">
        <v>20</v>
      </c>
      <c r="I264">
        <v>6729</v>
      </c>
      <c r="J264">
        <v>3</v>
      </c>
      <c r="K264">
        <v>4.9000000000000004</v>
      </c>
      <c r="L264">
        <v>7</v>
      </c>
      <c r="M264" t="s">
        <v>47</v>
      </c>
    </row>
    <row r="265" spans="1:13">
      <c r="A265" t="s">
        <v>542</v>
      </c>
      <c r="B265" t="s">
        <v>543</v>
      </c>
      <c r="C265" t="s">
        <v>45</v>
      </c>
      <c r="D265" t="s">
        <v>147</v>
      </c>
      <c r="E265" t="s">
        <v>52</v>
      </c>
      <c r="F265" t="s">
        <v>18</v>
      </c>
      <c r="G265" t="s">
        <v>54</v>
      </c>
      <c r="H265" t="s">
        <v>36</v>
      </c>
      <c r="I265">
        <v>5253</v>
      </c>
      <c r="J265">
        <v>3</v>
      </c>
      <c r="K265">
        <v>3.7</v>
      </c>
      <c r="L265">
        <v>1</v>
      </c>
      <c r="M265" t="s">
        <v>30</v>
      </c>
    </row>
    <row r="266" spans="1:13">
      <c r="A266" t="s">
        <v>544</v>
      </c>
      <c r="B266" t="s">
        <v>545</v>
      </c>
      <c r="C266" t="s">
        <v>15</v>
      </c>
      <c r="D266" t="s">
        <v>16</v>
      </c>
      <c r="E266" t="s">
        <v>17</v>
      </c>
      <c r="F266" t="s">
        <v>53</v>
      </c>
      <c r="G266" t="s">
        <v>28</v>
      </c>
      <c r="H266" t="s">
        <v>36</v>
      </c>
      <c r="I266">
        <v>8624</v>
      </c>
      <c r="J266">
        <v>8</v>
      </c>
      <c r="K266">
        <v>4.5</v>
      </c>
      <c r="L266">
        <v>4</v>
      </c>
      <c r="M266" t="s">
        <v>47</v>
      </c>
    </row>
    <row r="267" spans="1:13">
      <c r="A267" t="s">
        <v>546</v>
      </c>
      <c r="B267" t="s">
        <v>547</v>
      </c>
      <c r="C267" t="s">
        <v>125</v>
      </c>
      <c r="D267" t="s">
        <v>59</v>
      </c>
      <c r="E267" t="s">
        <v>26</v>
      </c>
      <c r="F267" t="s">
        <v>83</v>
      </c>
      <c r="G267" t="s">
        <v>19</v>
      </c>
      <c r="H267" t="s">
        <v>29</v>
      </c>
      <c r="I267">
        <v>8184</v>
      </c>
      <c r="J267">
        <v>3</v>
      </c>
      <c r="K267">
        <v>3.7</v>
      </c>
      <c r="L267">
        <v>2</v>
      </c>
      <c r="M267" t="s">
        <v>192</v>
      </c>
    </row>
    <row r="268" spans="1:13">
      <c r="A268" t="s">
        <v>548</v>
      </c>
      <c r="B268" t="s">
        <v>549</v>
      </c>
      <c r="C268" t="s">
        <v>170</v>
      </c>
      <c r="D268" t="s">
        <v>79</v>
      </c>
      <c r="E268" t="s">
        <v>26</v>
      </c>
      <c r="F268" t="s">
        <v>83</v>
      </c>
      <c r="G268" t="s">
        <v>54</v>
      </c>
      <c r="H268" t="s">
        <v>36</v>
      </c>
      <c r="I268">
        <v>62524</v>
      </c>
      <c r="J268">
        <v>7</v>
      </c>
      <c r="K268">
        <v>4.8</v>
      </c>
      <c r="L268">
        <v>8</v>
      </c>
      <c r="M268" t="s">
        <v>55</v>
      </c>
    </row>
    <row r="269" spans="1:13">
      <c r="A269" t="s">
        <v>550</v>
      </c>
      <c r="B269" t="s">
        <v>252</v>
      </c>
      <c r="C269" t="s">
        <v>146</v>
      </c>
      <c r="D269" t="s">
        <v>16</v>
      </c>
      <c r="E269" t="s">
        <v>17</v>
      </c>
      <c r="F269" t="s">
        <v>53</v>
      </c>
      <c r="G269" t="s">
        <v>104</v>
      </c>
      <c r="H269" t="s">
        <v>64</v>
      </c>
      <c r="I269">
        <v>4840</v>
      </c>
      <c r="J269">
        <v>8</v>
      </c>
      <c r="K269">
        <v>4.8</v>
      </c>
      <c r="L269">
        <v>4</v>
      </c>
      <c r="M269" t="s">
        <v>30</v>
      </c>
    </row>
    <row r="270" spans="1:13">
      <c r="A270" t="s">
        <v>551</v>
      </c>
      <c r="B270" t="s">
        <v>350</v>
      </c>
      <c r="C270" t="s">
        <v>15</v>
      </c>
      <c r="D270" t="s">
        <v>16</v>
      </c>
      <c r="E270" t="s">
        <v>17</v>
      </c>
      <c r="F270" t="s">
        <v>83</v>
      </c>
      <c r="G270" t="s">
        <v>19</v>
      </c>
      <c r="H270" t="s">
        <v>29</v>
      </c>
      <c r="I270">
        <v>895</v>
      </c>
      <c r="J270">
        <v>1</v>
      </c>
      <c r="K270">
        <v>3.4</v>
      </c>
      <c r="L270">
        <v>1</v>
      </c>
      <c r="M270" t="s">
        <v>80</v>
      </c>
    </row>
    <row r="271" spans="1:13">
      <c r="A271" t="s">
        <v>552</v>
      </c>
      <c r="B271" t="s">
        <v>547</v>
      </c>
      <c r="C271" t="s">
        <v>103</v>
      </c>
      <c r="D271" t="s">
        <v>97</v>
      </c>
      <c r="E271" t="s">
        <v>35</v>
      </c>
      <c r="F271" t="s">
        <v>60</v>
      </c>
      <c r="G271" t="s">
        <v>28</v>
      </c>
      <c r="H271" t="s">
        <v>64</v>
      </c>
      <c r="I271">
        <v>237105</v>
      </c>
      <c r="J271">
        <v>5</v>
      </c>
      <c r="K271">
        <v>3.9</v>
      </c>
      <c r="L271">
        <v>8</v>
      </c>
      <c r="M271" t="s">
        <v>192</v>
      </c>
    </row>
    <row r="272" spans="1:13">
      <c r="A272" t="s">
        <v>553</v>
      </c>
      <c r="B272" t="s">
        <v>106</v>
      </c>
      <c r="C272" t="s">
        <v>24</v>
      </c>
      <c r="D272" t="s">
        <v>147</v>
      </c>
      <c r="E272" t="s">
        <v>52</v>
      </c>
      <c r="F272" t="s">
        <v>100</v>
      </c>
      <c r="G272" t="s">
        <v>28</v>
      </c>
      <c r="H272" t="s">
        <v>29</v>
      </c>
      <c r="I272">
        <v>674</v>
      </c>
      <c r="J272">
        <v>1</v>
      </c>
      <c r="K272">
        <v>4.5999999999999996</v>
      </c>
      <c r="L272">
        <v>8</v>
      </c>
      <c r="M272" t="s">
        <v>80</v>
      </c>
    </row>
    <row r="273" spans="1:13">
      <c r="A273" t="s">
        <v>554</v>
      </c>
      <c r="B273" t="s">
        <v>555</v>
      </c>
      <c r="C273" t="s">
        <v>170</v>
      </c>
      <c r="D273" t="s">
        <v>25</v>
      </c>
      <c r="E273" t="s">
        <v>26</v>
      </c>
      <c r="F273" t="s">
        <v>18</v>
      </c>
      <c r="G273" t="s">
        <v>19</v>
      </c>
      <c r="H273" t="s">
        <v>29</v>
      </c>
      <c r="I273">
        <v>24060</v>
      </c>
      <c r="J273">
        <v>3</v>
      </c>
      <c r="K273">
        <v>3.3</v>
      </c>
      <c r="L273">
        <v>5</v>
      </c>
      <c r="M273" t="s">
        <v>119</v>
      </c>
    </row>
    <row r="274" spans="1:13">
      <c r="A274" t="s">
        <v>556</v>
      </c>
      <c r="B274" t="s">
        <v>557</v>
      </c>
      <c r="C274" t="s">
        <v>15</v>
      </c>
      <c r="D274" t="s">
        <v>25</v>
      </c>
      <c r="E274" t="s">
        <v>26</v>
      </c>
      <c r="F274" t="s">
        <v>27</v>
      </c>
      <c r="G274" t="s">
        <v>19</v>
      </c>
      <c r="H274" t="s">
        <v>64</v>
      </c>
      <c r="I274">
        <v>39788</v>
      </c>
      <c r="J274">
        <v>4</v>
      </c>
      <c r="K274">
        <v>4.8</v>
      </c>
      <c r="L274">
        <v>1</v>
      </c>
      <c r="M274" t="s">
        <v>47</v>
      </c>
    </row>
    <row r="275" spans="1:13">
      <c r="A275" t="s">
        <v>558</v>
      </c>
      <c r="B275" t="s">
        <v>559</v>
      </c>
      <c r="C275" t="s">
        <v>50</v>
      </c>
      <c r="D275" t="s">
        <v>159</v>
      </c>
      <c r="E275" t="s">
        <v>42</v>
      </c>
      <c r="F275" t="s">
        <v>83</v>
      </c>
      <c r="G275" t="s">
        <v>54</v>
      </c>
      <c r="H275" t="s">
        <v>64</v>
      </c>
      <c r="I275">
        <v>23824</v>
      </c>
      <c r="J275">
        <v>8</v>
      </c>
      <c r="K275">
        <v>4.0999999999999996</v>
      </c>
      <c r="L275">
        <v>7</v>
      </c>
      <c r="M275" t="s">
        <v>87</v>
      </c>
    </row>
    <row r="276" spans="1:13">
      <c r="A276" t="s">
        <v>560</v>
      </c>
      <c r="B276" t="s">
        <v>561</v>
      </c>
      <c r="C276" t="s">
        <v>133</v>
      </c>
      <c r="D276" t="s">
        <v>90</v>
      </c>
      <c r="E276" t="s">
        <v>42</v>
      </c>
      <c r="F276" t="s">
        <v>18</v>
      </c>
      <c r="G276" t="s">
        <v>54</v>
      </c>
      <c r="H276" t="s">
        <v>36</v>
      </c>
      <c r="I276">
        <v>38192</v>
      </c>
      <c r="J276">
        <v>8</v>
      </c>
      <c r="K276">
        <v>3.2</v>
      </c>
      <c r="L276">
        <v>7</v>
      </c>
      <c r="M276" t="s">
        <v>87</v>
      </c>
    </row>
    <row r="277" spans="1:13">
      <c r="A277" t="s">
        <v>562</v>
      </c>
      <c r="B277" t="s">
        <v>62</v>
      </c>
      <c r="C277" t="s">
        <v>170</v>
      </c>
      <c r="D277" t="s">
        <v>59</v>
      </c>
      <c r="E277" t="s">
        <v>26</v>
      </c>
      <c r="F277" t="s">
        <v>100</v>
      </c>
      <c r="G277" t="s">
        <v>28</v>
      </c>
      <c r="H277" t="s">
        <v>29</v>
      </c>
      <c r="I277">
        <v>6756</v>
      </c>
      <c r="J277">
        <v>4</v>
      </c>
      <c r="K277">
        <v>4.7</v>
      </c>
      <c r="L277">
        <v>8</v>
      </c>
      <c r="M277" t="s">
        <v>65</v>
      </c>
    </row>
    <row r="278" spans="1:13">
      <c r="A278" t="s">
        <v>563</v>
      </c>
      <c r="B278" t="s">
        <v>564</v>
      </c>
      <c r="C278" t="s">
        <v>68</v>
      </c>
      <c r="D278" t="s">
        <v>41</v>
      </c>
      <c r="E278" t="s">
        <v>42</v>
      </c>
      <c r="F278" t="s">
        <v>18</v>
      </c>
      <c r="G278" t="s">
        <v>19</v>
      </c>
      <c r="H278" t="s">
        <v>64</v>
      </c>
      <c r="I278">
        <v>23560</v>
      </c>
      <c r="J278">
        <v>4</v>
      </c>
      <c r="K278">
        <v>4.2</v>
      </c>
      <c r="L278">
        <v>6</v>
      </c>
      <c r="M278" t="s">
        <v>87</v>
      </c>
    </row>
    <row r="279" spans="1:13">
      <c r="A279" t="s">
        <v>565</v>
      </c>
      <c r="B279" t="s">
        <v>111</v>
      </c>
      <c r="C279" t="s">
        <v>170</v>
      </c>
      <c r="D279" t="s">
        <v>51</v>
      </c>
      <c r="E279" t="s">
        <v>52</v>
      </c>
      <c r="F279" t="s">
        <v>18</v>
      </c>
      <c r="G279" t="s">
        <v>28</v>
      </c>
      <c r="H279" t="s">
        <v>36</v>
      </c>
      <c r="I279">
        <v>5260</v>
      </c>
      <c r="J279">
        <v>5</v>
      </c>
      <c r="K279">
        <v>3.6</v>
      </c>
      <c r="L279">
        <v>4</v>
      </c>
      <c r="M279" t="s">
        <v>87</v>
      </c>
    </row>
    <row r="280" spans="1:13">
      <c r="A280" t="s">
        <v>566</v>
      </c>
      <c r="B280" t="s">
        <v>396</v>
      </c>
      <c r="C280" t="s">
        <v>78</v>
      </c>
      <c r="D280" t="s">
        <v>25</v>
      </c>
      <c r="E280" t="s">
        <v>26</v>
      </c>
      <c r="F280" t="s">
        <v>60</v>
      </c>
      <c r="G280" t="s">
        <v>28</v>
      </c>
      <c r="H280" t="s">
        <v>20</v>
      </c>
      <c r="I280">
        <v>6968</v>
      </c>
      <c r="J280">
        <v>8</v>
      </c>
      <c r="K280">
        <v>4.2</v>
      </c>
      <c r="L280">
        <v>1</v>
      </c>
      <c r="M280" t="s">
        <v>47</v>
      </c>
    </row>
    <row r="281" spans="1:13">
      <c r="A281" t="s">
        <v>567</v>
      </c>
      <c r="B281" t="s">
        <v>77</v>
      </c>
      <c r="C281" t="s">
        <v>103</v>
      </c>
      <c r="D281" t="s">
        <v>79</v>
      </c>
      <c r="E281" t="s">
        <v>26</v>
      </c>
      <c r="F281" t="s">
        <v>60</v>
      </c>
      <c r="G281" t="s">
        <v>104</v>
      </c>
      <c r="H281" t="s">
        <v>29</v>
      </c>
      <c r="I281">
        <v>15318</v>
      </c>
      <c r="J281">
        <v>2</v>
      </c>
      <c r="K281">
        <v>5</v>
      </c>
      <c r="L281">
        <v>4</v>
      </c>
      <c r="M281" t="s">
        <v>80</v>
      </c>
    </row>
    <row r="282" spans="1:13">
      <c r="A282" t="s">
        <v>568</v>
      </c>
      <c r="B282" t="s">
        <v>385</v>
      </c>
      <c r="C282" t="s">
        <v>179</v>
      </c>
      <c r="D282" t="s">
        <v>159</v>
      </c>
      <c r="E282" t="s">
        <v>42</v>
      </c>
      <c r="F282" t="s">
        <v>83</v>
      </c>
      <c r="G282" t="s">
        <v>104</v>
      </c>
      <c r="H282" t="s">
        <v>29</v>
      </c>
      <c r="I282">
        <v>36309</v>
      </c>
      <c r="J282">
        <v>7</v>
      </c>
      <c r="K282">
        <v>4.5</v>
      </c>
      <c r="L282">
        <v>4</v>
      </c>
      <c r="M282" t="s">
        <v>80</v>
      </c>
    </row>
    <row r="283" spans="1:13">
      <c r="A283" t="s">
        <v>569</v>
      </c>
      <c r="B283" t="s">
        <v>570</v>
      </c>
      <c r="C283" t="s">
        <v>78</v>
      </c>
      <c r="D283" t="s">
        <v>63</v>
      </c>
      <c r="E283" t="s">
        <v>52</v>
      </c>
      <c r="F283" t="s">
        <v>53</v>
      </c>
      <c r="G283" t="s">
        <v>28</v>
      </c>
      <c r="H283" t="s">
        <v>36</v>
      </c>
      <c r="I283">
        <v>4332</v>
      </c>
      <c r="J283">
        <v>6</v>
      </c>
      <c r="K283">
        <v>4.2</v>
      </c>
      <c r="L283">
        <v>7</v>
      </c>
      <c r="M283" t="s">
        <v>65</v>
      </c>
    </row>
    <row r="284" spans="1:13">
      <c r="A284" t="s">
        <v>571</v>
      </c>
      <c r="B284" t="s">
        <v>143</v>
      </c>
      <c r="C284" t="s">
        <v>40</v>
      </c>
      <c r="D284" t="s">
        <v>25</v>
      </c>
      <c r="E284" t="s">
        <v>26</v>
      </c>
      <c r="F284" t="s">
        <v>27</v>
      </c>
      <c r="G284" t="s">
        <v>104</v>
      </c>
      <c r="H284" t="s">
        <v>20</v>
      </c>
      <c r="I284">
        <v>36218</v>
      </c>
      <c r="J284">
        <v>7</v>
      </c>
      <c r="K284">
        <v>4.5999999999999996</v>
      </c>
      <c r="L284">
        <v>3</v>
      </c>
      <c r="M284" t="s">
        <v>144</v>
      </c>
    </row>
    <row r="285" spans="1:13">
      <c r="A285" t="s">
        <v>572</v>
      </c>
      <c r="B285" t="s">
        <v>573</v>
      </c>
      <c r="C285" t="s">
        <v>78</v>
      </c>
      <c r="D285" t="s">
        <v>218</v>
      </c>
      <c r="E285" t="s">
        <v>17</v>
      </c>
      <c r="F285" t="s">
        <v>60</v>
      </c>
      <c r="G285" t="s">
        <v>19</v>
      </c>
      <c r="H285" t="s">
        <v>29</v>
      </c>
      <c r="I285">
        <v>1034</v>
      </c>
      <c r="J285">
        <v>1</v>
      </c>
      <c r="K285">
        <v>4.5</v>
      </c>
      <c r="L285">
        <v>4</v>
      </c>
      <c r="M285" t="s">
        <v>37</v>
      </c>
    </row>
    <row r="286" spans="1:13">
      <c r="A286" t="s">
        <v>574</v>
      </c>
      <c r="B286" t="s">
        <v>454</v>
      </c>
      <c r="C286" t="s">
        <v>45</v>
      </c>
      <c r="D286" t="s">
        <v>116</v>
      </c>
      <c r="E286" t="s">
        <v>17</v>
      </c>
      <c r="F286" t="s">
        <v>60</v>
      </c>
      <c r="G286" t="s">
        <v>19</v>
      </c>
      <c r="H286" t="s">
        <v>29</v>
      </c>
      <c r="I286">
        <v>11921</v>
      </c>
      <c r="J286">
        <v>7</v>
      </c>
      <c r="K286">
        <v>4.5</v>
      </c>
      <c r="L286">
        <v>4</v>
      </c>
      <c r="M286" t="s">
        <v>55</v>
      </c>
    </row>
    <row r="287" spans="1:13">
      <c r="A287" t="s">
        <v>575</v>
      </c>
      <c r="B287" t="s">
        <v>576</v>
      </c>
      <c r="C287" t="s">
        <v>50</v>
      </c>
      <c r="D287" t="s">
        <v>79</v>
      </c>
      <c r="E287" t="s">
        <v>26</v>
      </c>
      <c r="F287" t="s">
        <v>18</v>
      </c>
      <c r="G287" t="s">
        <v>28</v>
      </c>
      <c r="H287" t="s">
        <v>29</v>
      </c>
      <c r="I287">
        <v>18235</v>
      </c>
      <c r="J287">
        <v>5</v>
      </c>
      <c r="K287">
        <v>4.5</v>
      </c>
      <c r="L287">
        <v>2</v>
      </c>
      <c r="M287" t="s">
        <v>37</v>
      </c>
    </row>
    <row r="288" spans="1:13">
      <c r="A288" t="s">
        <v>577</v>
      </c>
      <c r="B288" t="s">
        <v>261</v>
      </c>
      <c r="C288" t="s">
        <v>33</v>
      </c>
      <c r="D288" t="s">
        <v>59</v>
      </c>
      <c r="E288" t="s">
        <v>26</v>
      </c>
      <c r="F288" t="s">
        <v>83</v>
      </c>
      <c r="G288" t="s">
        <v>104</v>
      </c>
      <c r="H288" t="s">
        <v>36</v>
      </c>
      <c r="I288">
        <v>25320</v>
      </c>
      <c r="J288">
        <v>3</v>
      </c>
      <c r="K288">
        <v>4.5</v>
      </c>
      <c r="L288">
        <v>3</v>
      </c>
      <c r="M288" t="s">
        <v>80</v>
      </c>
    </row>
    <row r="289" spans="1:13">
      <c r="A289" t="s">
        <v>578</v>
      </c>
      <c r="B289" t="s">
        <v>579</v>
      </c>
      <c r="C289" t="s">
        <v>133</v>
      </c>
      <c r="D289" t="s">
        <v>59</v>
      </c>
      <c r="E289" t="s">
        <v>26</v>
      </c>
      <c r="F289" t="s">
        <v>100</v>
      </c>
      <c r="G289" t="s">
        <v>28</v>
      </c>
      <c r="H289" t="s">
        <v>36</v>
      </c>
      <c r="I289">
        <v>22872</v>
      </c>
      <c r="J289">
        <v>6</v>
      </c>
      <c r="K289">
        <v>4.0999999999999996</v>
      </c>
      <c r="L289">
        <v>3</v>
      </c>
      <c r="M289" t="s">
        <v>65</v>
      </c>
    </row>
    <row r="290" spans="1:13">
      <c r="A290" t="s">
        <v>580</v>
      </c>
      <c r="B290" t="s">
        <v>581</v>
      </c>
      <c r="C290" t="s">
        <v>68</v>
      </c>
      <c r="D290" t="s">
        <v>34</v>
      </c>
      <c r="E290" t="s">
        <v>35</v>
      </c>
      <c r="F290" t="s">
        <v>27</v>
      </c>
      <c r="G290" t="s">
        <v>104</v>
      </c>
      <c r="H290" t="s">
        <v>64</v>
      </c>
      <c r="I290">
        <v>245874</v>
      </c>
      <c r="J290">
        <v>6</v>
      </c>
      <c r="K290">
        <v>4.2</v>
      </c>
      <c r="L290">
        <v>1</v>
      </c>
      <c r="M290" t="s">
        <v>37</v>
      </c>
    </row>
    <row r="291" spans="1:13">
      <c r="A291" t="s">
        <v>582</v>
      </c>
      <c r="B291" t="s">
        <v>583</v>
      </c>
      <c r="C291" t="s">
        <v>112</v>
      </c>
      <c r="D291" t="s">
        <v>63</v>
      </c>
      <c r="E291" t="s">
        <v>52</v>
      </c>
      <c r="F291" t="s">
        <v>53</v>
      </c>
      <c r="G291" t="s">
        <v>28</v>
      </c>
      <c r="H291" t="s">
        <v>64</v>
      </c>
      <c r="I291">
        <v>4284</v>
      </c>
      <c r="J291">
        <v>6</v>
      </c>
      <c r="K291">
        <v>4.5</v>
      </c>
      <c r="L291">
        <v>1</v>
      </c>
      <c r="M291" t="s">
        <v>144</v>
      </c>
    </row>
    <row r="292" spans="1:13">
      <c r="A292" t="s">
        <v>584</v>
      </c>
      <c r="B292" t="s">
        <v>585</v>
      </c>
      <c r="C292" t="s">
        <v>75</v>
      </c>
      <c r="D292" t="s">
        <v>218</v>
      </c>
      <c r="E292" t="s">
        <v>17</v>
      </c>
      <c r="F292" t="s">
        <v>83</v>
      </c>
      <c r="G292" t="s">
        <v>19</v>
      </c>
      <c r="H292" t="s">
        <v>64</v>
      </c>
      <c r="I292">
        <v>3824</v>
      </c>
      <c r="J292">
        <v>4</v>
      </c>
      <c r="K292">
        <v>4.9000000000000004</v>
      </c>
      <c r="L292">
        <v>1</v>
      </c>
      <c r="M292" t="s">
        <v>192</v>
      </c>
    </row>
    <row r="293" spans="1:13">
      <c r="A293" t="s">
        <v>586</v>
      </c>
      <c r="B293" t="s">
        <v>587</v>
      </c>
      <c r="C293" t="s">
        <v>75</v>
      </c>
      <c r="D293" t="s">
        <v>86</v>
      </c>
      <c r="E293" t="s">
        <v>17</v>
      </c>
      <c r="F293" t="s">
        <v>18</v>
      </c>
      <c r="G293" t="s">
        <v>54</v>
      </c>
      <c r="H293" t="s">
        <v>20</v>
      </c>
      <c r="I293">
        <v>11368</v>
      </c>
      <c r="J293">
        <v>7</v>
      </c>
      <c r="K293">
        <v>4.5</v>
      </c>
      <c r="L293">
        <v>1</v>
      </c>
      <c r="M293" t="s">
        <v>30</v>
      </c>
    </row>
    <row r="294" spans="1:13">
      <c r="A294" t="s">
        <v>588</v>
      </c>
      <c r="B294" t="s">
        <v>589</v>
      </c>
      <c r="C294" t="s">
        <v>15</v>
      </c>
      <c r="D294" t="s">
        <v>165</v>
      </c>
      <c r="E294" t="s">
        <v>35</v>
      </c>
      <c r="F294" t="s">
        <v>60</v>
      </c>
      <c r="G294" t="s">
        <v>54</v>
      </c>
      <c r="H294" t="s">
        <v>36</v>
      </c>
      <c r="I294">
        <v>213440</v>
      </c>
      <c r="J294">
        <v>4</v>
      </c>
      <c r="K294">
        <v>3.9</v>
      </c>
      <c r="L294">
        <v>6</v>
      </c>
      <c r="M294" t="s">
        <v>87</v>
      </c>
    </row>
    <row r="295" spans="1:13">
      <c r="A295" t="s">
        <v>590</v>
      </c>
      <c r="B295" t="s">
        <v>99</v>
      </c>
      <c r="C295" t="s">
        <v>45</v>
      </c>
      <c r="D295" t="s">
        <v>25</v>
      </c>
      <c r="E295" t="s">
        <v>26</v>
      </c>
      <c r="F295" t="s">
        <v>18</v>
      </c>
      <c r="G295" t="s">
        <v>104</v>
      </c>
      <c r="H295" t="s">
        <v>64</v>
      </c>
      <c r="I295">
        <v>2538</v>
      </c>
      <c r="J295">
        <v>1</v>
      </c>
      <c r="K295">
        <v>3.7</v>
      </c>
      <c r="L295">
        <v>5</v>
      </c>
      <c r="M295" t="s">
        <v>30</v>
      </c>
    </row>
    <row r="296" spans="1:13">
      <c r="A296" t="s">
        <v>591</v>
      </c>
      <c r="B296" t="s">
        <v>167</v>
      </c>
      <c r="C296" t="s">
        <v>72</v>
      </c>
      <c r="D296" t="s">
        <v>90</v>
      </c>
      <c r="E296" t="s">
        <v>42</v>
      </c>
      <c r="F296" t="s">
        <v>53</v>
      </c>
      <c r="G296" t="s">
        <v>104</v>
      </c>
      <c r="H296" t="s">
        <v>36</v>
      </c>
      <c r="I296">
        <v>2501</v>
      </c>
      <c r="J296">
        <v>1</v>
      </c>
      <c r="K296">
        <v>4.5</v>
      </c>
      <c r="L296">
        <v>5</v>
      </c>
      <c r="M296" t="s">
        <v>119</v>
      </c>
    </row>
    <row r="297" spans="1:13">
      <c r="A297" t="s">
        <v>592</v>
      </c>
      <c r="B297" t="s">
        <v>593</v>
      </c>
      <c r="C297" t="s">
        <v>179</v>
      </c>
      <c r="D297" t="s">
        <v>79</v>
      </c>
      <c r="E297" t="s">
        <v>26</v>
      </c>
      <c r="F297" t="s">
        <v>60</v>
      </c>
      <c r="G297" t="s">
        <v>19</v>
      </c>
      <c r="H297" t="s">
        <v>20</v>
      </c>
      <c r="I297">
        <v>2194</v>
      </c>
      <c r="J297">
        <v>1</v>
      </c>
      <c r="K297">
        <v>3.7</v>
      </c>
      <c r="L297">
        <v>6</v>
      </c>
      <c r="M297" t="s">
        <v>80</v>
      </c>
    </row>
    <row r="298" spans="1:13">
      <c r="A298" t="s">
        <v>594</v>
      </c>
      <c r="B298" t="s">
        <v>595</v>
      </c>
      <c r="C298" t="s">
        <v>78</v>
      </c>
      <c r="D298" t="s">
        <v>63</v>
      </c>
      <c r="E298" t="s">
        <v>52</v>
      </c>
      <c r="F298" t="s">
        <v>18</v>
      </c>
      <c r="G298" t="s">
        <v>104</v>
      </c>
      <c r="H298" t="s">
        <v>36</v>
      </c>
      <c r="I298">
        <v>3595</v>
      </c>
      <c r="J298">
        <v>5</v>
      </c>
      <c r="K298">
        <v>4.7</v>
      </c>
      <c r="L298">
        <v>8</v>
      </c>
      <c r="M298" t="s">
        <v>192</v>
      </c>
    </row>
    <row r="299" spans="1:13">
      <c r="A299" t="s">
        <v>596</v>
      </c>
      <c r="B299" t="s">
        <v>597</v>
      </c>
      <c r="C299" t="s">
        <v>179</v>
      </c>
      <c r="D299" t="s">
        <v>113</v>
      </c>
      <c r="E299" t="s">
        <v>35</v>
      </c>
      <c r="F299" t="s">
        <v>53</v>
      </c>
      <c r="G299" t="s">
        <v>28</v>
      </c>
      <c r="H299" t="s">
        <v>64</v>
      </c>
      <c r="I299">
        <v>154440</v>
      </c>
      <c r="J299">
        <v>8</v>
      </c>
      <c r="K299">
        <v>3.7</v>
      </c>
      <c r="L299">
        <v>2</v>
      </c>
      <c r="M299" t="s">
        <v>37</v>
      </c>
    </row>
    <row r="300" spans="1:13">
      <c r="A300" t="s">
        <v>598</v>
      </c>
      <c r="B300" t="s">
        <v>599</v>
      </c>
      <c r="C300" t="s">
        <v>24</v>
      </c>
      <c r="D300" t="s">
        <v>165</v>
      </c>
      <c r="E300" t="s">
        <v>35</v>
      </c>
      <c r="F300" t="s">
        <v>18</v>
      </c>
      <c r="G300" t="s">
        <v>104</v>
      </c>
      <c r="H300" t="s">
        <v>20</v>
      </c>
      <c r="I300">
        <v>383140</v>
      </c>
      <c r="J300">
        <v>5</v>
      </c>
      <c r="K300">
        <v>4.7</v>
      </c>
      <c r="L300">
        <v>7</v>
      </c>
      <c r="M300" t="s">
        <v>119</v>
      </c>
    </row>
    <row r="301" spans="1:13">
      <c r="A301" t="s">
        <v>600</v>
      </c>
      <c r="B301" t="s">
        <v>115</v>
      </c>
      <c r="C301" t="s">
        <v>125</v>
      </c>
      <c r="D301" t="s">
        <v>51</v>
      </c>
      <c r="E301" t="s">
        <v>52</v>
      </c>
      <c r="F301" t="s">
        <v>100</v>
      </c>
      <c r="G301" t="s">
        <v>54</v>
      </c>
      <c r="H301" t="s">
        <v>20</v>
      </c>
      <c r="I301">
        <v>9648</v>
      </c>
      <c r="J301">
        <v>6</v>
      </c>
      <c r="K301">
        <v>3.8</v>
      </c>
      <c r="L301">
        <v>5</v>
      </c>
      <c r="M301" t="s">
        <v>21</v>
      </c>
    </row>
    <row r="302" spans="1:13">
      <c r="A302" t="s">
        <v>601</v>
      </c>
      <c r="B302" t="s">
        <v>237</v>
      </c>
      <c r="C302" t="s">
        <v>112</v>
      </c>
      <c r="D302" t="s">
        <v>25</v>
      </c>
      <c r="E302" t="s">
        <v>26</v>
      </c>
      <c r="F302" t="s">
        <v>27</v>
      </c>
      <c r="G302" t="s">
        <v>54</v>
      </c>
      <c r="H302" t="s">
        <v>64</v>
      </c>
      <c r="I302">
        <v>6156</v>
      </c>
      <c r="J302">
        <v>3</v>
      </c>
      <c r="K302">
        <v>4.5</v>
      </c>
      <c r="L302">
        <v>1</v>
      </c>
      <c r="M302" t="s">
        <v>21</v>
      </c>
    </row>
    <row r="303" spans="1:13">
      <c r="A303" t="s">
        <v>602</v>
      </c>
      <c r="B303" t="s">
        <v>603</v>
      </c>
      <c r="C303" t="s">
        <v>72</v>
      </c>
      <c r="D303" t="s">
        <v>79</v>
      </c>
      <c r="E303" t="s">
        <v>26</v>
      </c>
      <c r="F303" t="s">
        <v>60</v>
      </c>
      <c r="G303" t="s">
        <v>54</v>
      </c>
      <c r="H303" t="s">
        <v>64</v>
      </c>
      <c r="I303">
        <v>33965</v>
      </c>
      <c r="J303">
        <v>5</v>
      </c>
      <c r="K303">
        <v>3.9</v>
      </c>
      <c r="L303">
        <v>5</v>
      </c>
      <c r="M303" t="s">
        <v>144</v>
      </c>
    </row>
    <row r="304" spans="1:13">
      <c r="A304" t="s">
        <v>604</v>
      </c>
      <c r="B304" t="s">
        <v>605</v>
      </c>
      <c r="C304" t="s">
        <v>125</v>
      </c>
      <c r="D304" t="s">
        <v>165</v>
      </c>
      <c r="E304" t="s">
        <v>35</v>
      </c>
      <c r="F304" t="s">
        <v>53</v>
      </c>
      <c r="G304" t="s">
        <v>54</v>
      </c>
      <c r="H304" t="s">
        <v>20</v>
      </c>
      <c r="I304">
        <v>279552</v>
      </c>
      <c r="J304">
        <v>4</v>
      </c>
      <c r="K304">
        <v>3.5</v>
      </c>
      <c r="L304">
        <v>3</v>
      </c>
      <c r="M304" t="s">
        <v>144</v>
      </c>
    </row>
    <row r="305" spans="1:13">
      <c r="A305" t="s">
        <v>606</v>
      </c>
      <c r="B305" t="s">
        <v>242</v>
      </c>
      <c r="C305" t="s">
        <v>50</v>
      </c>
      <c r="D305" t="s">
        <v>159</v>
      </c>
      <c r="E305" t="s">
        <v>42</v>
      </c>
      <c r="F305" t="s">
        <v>60</v>
      </c>
      <c r="G305" t="s">
        <v>28</v>
      </c>
      <c r="H305" t="s">
        <v>36</v>
      </c>
      <c r="I305">
        <v>11965</v>
      </c>
      <c r="J305">
        <v>5</v>
      </c>
      <c r="K305">
        <v>4.8</v>
      </c>
      <c r="L305">
        <v>6</v>
      </c>
      <c r="M305" t="s">
        <v>87</v>
      </c>
    </row>
    <row r="306" spans="1:13">
      <c r="A306" t="s">
        <v>607</v>
      </c>
      <c r="B306" t="s">
        <v>183</v>
      </c>
      <c r="C306" t="s">
        <v>58</v>
      </c>
      <c r="D306" t="s">
        <v>218</v>
      </c>
      <c r="E306" t="s">
        <v>17</v>
      </c>
      <c r="F306" t="s">
        <v>27</v>
      </c>
      <c r="G306" t="s">
        <v>54</v>
      </c>
      <c r="H306" t="s">
        <v>29</v>
      </c>
      <c r="I306">
        <v>4195</v>
      </c>
      <c r="J306">
        <v>5</v>
      </c>
      <c r="K306">
        <v>4.4000000000000004</v>
      </c>
      <c r="L306">
        <v>6</v>
      </c>
      <c r="M306" t="s">
        <v>87</v>
      </c>
    </row>
    <row r="307" spans="1:13">
      <c r="A307" t="s">
        <v>608</v>
      </c>
      <c r="B307" t="s">
        <v>174</v>
      </c>
      <c r="C307" t="s">
        <v>146</v>
      </c>
      <c r="D307" t="s">
        <v>159</v>
      </c>
      <c r="E307" t="s">
        <v>42</v>
      </c>
      <c r="F307" t="s">
        <v>83</v>
      </c>
      <c r="G307" t="s">
        <v>19</v>
      </c>
      <c r="H307" t="s">
        <v>36</v>
      </c>
      <c r="I307">
        <v>32543</v>
      </c>
      <c r="J307">
        <v>7</v>
      </c>
      <c r="K307">
        <v>3.2</v>
      </c>
      <c r="L307">
        <v>3</v>
      </c>
      <c r="M307" t="s">
        <v>65</v>
      </c>
    </row>
    <row r="308" spans="1:13">
      <c r="A308" t="s">
        <v>609</v>
      </c>
      <c r="B308" t="s">
        <v>57</v>
      </c>
      <c r="C308" t="s">
        <v>170</v>
      </c>
      <c r="D308" t="s">
        <v>59</v>
      </c>
      <c r="E308" t="s">
        <v>26</v>
      </c>
      <c r="F308" t="s">
        <v>27</v>
      </c>
      <c r="G308" t="s">
        <v>54</v>
      </c>
      <c r="H308" t="s">
        <v>64</v>
      </c>
      <c r="I308">
        <v>8214</v>
      </c>
      <c r="J308">
        <v>3</v>
      </c>
      <c r="K308">
        <v>4.4000000000000004</v>
      </c>
      <c r="L308">
        <v>7</v>
      </c>
      <c r="M308" t="s">
        <v>37</v>
      </c>
    </row>
    <row r="309" spans="1:13">
      <c r="A309" t="s">
        <v>610</v>
      </c>
      <c r="B309" t="s">
        <v>611</v>
      </c>
      <c r="C309" t="s">
        <v>72</v>
      </c>
      <c r="D309" t="s">
        <v>90</v>
      </c>
      <c r="E309" t="s">
        <v>42</v>
      </c>
      <c r="F309" t="s">
        <v>27</v>
      </c>
      <c r="G309" t="s">
        <v>54</v>
      </c>
      <c r="H309" t="s">
        <v>20</v>
      </c>
      <c r="I309">
        <v>8088</v>
      </c>
      <c r="J309">
        <v>3</v>
      </c>
      <c r="K309">
        <v>3.4</v>
      </c>
      <c r="L309">
        <v>3</v>
      </c>
      <c r="M309" t="s">
        <v>37</v>
      </c>
    </row>
    <row r="310" spans="1:13">
      <c r="A310" t="s">
        <v>612</v>
      </c>
      <c r="B310" t="s">
        <v>533</v>
      </c>
      <c r="C310" t="s">
        <v>75</v>
      </c>
      <c r="D310" t="s">
        <v>86</v>
      </c>
      <c r="E310" t="s">
        <v>17</v>
      </c>
      <c r="F310" t="s">
        <v>83</v>
      </c>
      <c r="G310" t="s">
        <v>28</v>
      </c>
      <c r="H310" t="s">
        <v>64</v>
      </c>
      <c r="I310">
        <v>4074</v>
      </c>
      <c r="J310">
        <v>3</v>
      </c>
      <c r="K310">
        <v>3.2</v>
      </c>
      <c r="L310">
        <v>5</v>
      </c>
      <c r="M310" t="s">
        <v>21</v>
      </c>
    </row>
    <row r="311" spans="1:13">
      <c r="A311" t="s">
        <v>613</v>
      </c>
      <c r="B311" t="s">
        <v>226</v>
      </c>
      <c r="C311" t="s">
        <v>24</v>
      </c>
      <c r="D311" t="s">
        <v>159</v>
      </c>
      <c r="E311" t="s">
        <v>42</v>
      </c>
      <c r="F311" t="s">
        <v>27</v>
      </c>
      <c r="G311" t="s">
        <v>104</v>
      </c>
      <c r="H311" t="s">
        <v>64</v>
      </c>
      <c r="I311">
        <v>15323</v>
      </c>
      <c r="J311">
        <v>7</v>
      </c>
      <c r="K311">
        <v>4.4000000000000004</v>
      </c>
      <c r="L311">
        <v>5</v>
      </c>
      <c r="M311" t="s">
        <v>37</v>
      </c>
    </row>
    <row r="312" spans="1:13">
      <c r="A312" t="s">
        <v>614</v>
      </c>
      <c r="B312" t="s">
        <v>615</v>
      </c>
      <c r="C312" t="s">
        <v>72</v>
      </c>
      <c r="D312" t="s">
        <v>25</v>
      </c>
      <c r="E312" t="s">
        <v>26</v>
      </c>
      <c r="F312" t="s">
        <v>100</v>
      </c>
      <c r="G312" t="s">
        <v>54</v>
      </c>
      <c r="H312" t="s">
        <v>20</v>
      </c>
      <c r="I312">
        <v>28805</v>
      </c>
      <c r="J312">
        <v>7</v>
      </c>
      <c r="K312">
        <v>4.0999999999999996</v>
      </c>
      <c r="L312">
        <v>7</v>
      </c>
      <c r="M312" t="s">
        <v>37</v>
      </c>
    </row>
    <row r="313" spans="1:13">
      <c r="A313" t="s">
        <v>616</v>
      </c>
      <c r="B313" t="s">
        <v>387</v>
      </c>
      <c r="C313" t="s">
        <v>112</v>
      </c>
      <c r="D313" t="s">
        <v>41</v>
      </c>
      <c r="E313" t="s">
        <v>42</v>
      </c>
      <c r="F313" t="s">
        <v>60</v>
      </c>
      <c r="G313" t="s">
        <v>104</v>
      </c>
      <c r="H313" t="s">
        <v>36</v>
      </c>
      <c r="I313">
        <v>11286</v>
      </c>
      <c r="J313">
        <v>2</v>
      </c>
      <c r="K313">
        <v>4.7</v>
      </c>
      <c r="L313">
        <v>7</v>
      </c>
      <c r="M313" t="s">
        <v>65</v>
      </c>
    </row>
    <row r="314" spans="1:13">
      <c r="A314" t="s">
        <v>617</v>
      </c>
      <c r="B314" t="s">
        <v>615</v>
      </c>
      <c r="C314" t="s">
        <v>125</v>
      </c>
      <c r="D314" t="s">
        <v>69</v>
      </c>
      <c r="E314" t="s">
        <v>26</v>
      </c>
      <c r="F314" t="s">
        <v>83</v>
      </c>
      <c r="G314" t="s">
        <v>54</v>
      </c>
      <c r="H314" t="s">
        <v>29</v>
      </c>
      <c r="I314">
        <v>19200</v>
      </c>
      <c r="J314">
        <v>8</v>
      </c>
      <c r="K314">
        <v>4</v>
      </c>
      <c r="L314">
        <v>5</v>
      </c>
      <c r="M314" t="s">
        <v>37</v>
      </c>
    </row>
    <row r="315" spans="1:13">
      <c r="A315" t="s">
        <v>618</v>
      </c>
      <c r="B315" t="s">
        <v>619</v>
      </c>
      <c r="C315" t="s">
        <v>179</v>
      </c>
      <c r="D315" t="s">
        <v>69</v>
      </c>
      <c r="E315" t="s">
        <v>26</v>
      </c>
      <c r="F315" t="s">
        <v>27</v>
      </c>
      <c r="G315" t="s">
        <v>104</v>
      </c>
      <c r="H315" t="s">
        <v>64</v>
      </c>
      <c r="I315">
        <v>10920</v>
      </c>
      <c r="J315">
        <v>4</v>
      </c>
      <c r="K315">
        <v>4.0999999999999996</v>
      </c>
      <c r="L315">
        <v>7</v>
      </c>
      <c r="M315" t="s">
        <v>21</v>
      </c>
    </row>
    <row r="316" spans="1:13">
      <c r="A316" t="s">
        <v>620</v>
      </c>
      <c r="B316" t="s">
        <v>458</v>
      </c>
      <c r="C316" t="s">
        <v>50</v>
      </c>
      <c r="D316" t="s">
        <v>113</v>
      </c>
      <c r="E316" t="s">
        <v>35</v>
      </c>
      <c r="F316" t="s">
        <v>83</v>
      </c>
      <c r="G316" t="s">
        <v>28</v>
      </c>
      <c r="H316" t="s">
        <v>64</v>
      </c>
      <c r="I316">
        <v>257243</v>
      </c>
      <c r="J316">
        <v>7</v>
      </c>
      <c r="K316">
        <v>4.2</v>
      </c>
      <c r="L316">
        <v>5</v>
      </c>
      <c r="M316" t="s">
        <v>80</v>
      </c>
    </row>
    <row r="317" spans="1:13">
      <c r="A317" t="s">
        <v>621</v>
      </c>
      <c r="B317" t="s">
        <v>622</v>
      </c>
      <c r="C317" t="s">
        <v>122</v>
      </c>
      <c r="D317" t="s">
        <v>109</v>
      </c>
      <c r="E317" t="s">
        <v>52</v>
      </c>
      <c r="F317" t="s">
        <v>60</v>
      </c>
      <c r="G317" t="s">
        <v>19</v>
      </c>
      <c r="H317" t="s">
        <v>36</v>
      </c>
      <c r="I317">
        <v>12048</v>
      </c>
      <c r="J317">
        <v>8</v>
      </c>
      <c r="K317">
        <v>4.5</v>
      </c>
      <c r="L317">
        <v>2</v>
      </c>
      <c r="M317" t="s">
        <v>30</v>
      </c>
    </row>
    <row r="318" spans="1:13">
      <c r="A318" t="s">
        <v>623</v>
      </c>
      <c r="B318" t="s">
        <v>624</v>
      </c>
      <c r="C318" t="s">
        <v>75</v>
      </c>
      <c r="D318" t="s">
        <v>51</v>
      </c>
      <c r="E318" t="s">
        <v>52</v>
      </c>
      <c r="F318" t="s">
        <v>18</v>
      </c>
      <c r="G318" t="s">
        <v>104</v>
      </c>
      <c r="H318" t="s">
        <v>20</v>
      </c>
      <c r="I318">
        <v>1843</v>
      </c>
      <c r="J318">
        <v>1</v>
      </c>
      <c r="K318">
        <v>4</v>
      </c>
      <c r="L318">
        <v>7</v>
      </c>
      <c r="M318" t="s">
        <v>126</v>
      </c>
    </row>
    <row r="319" spans="1:13">
      <c r="A319" t="s">
        <v>625</v>
      </c>
      <c r="B319" t="s">
        <v>626</v>
      </c>
      <c r="C319" t="s">
        <v>24</v>
      </c>
      <c r="D319" t="s">
        <v>113</v>
      </c>
      <c r="E319" t="s">
        <v>35</v>
      </c>
      <c r="F319" t="s">
        <v>27</v>
      </c>
      <c r="G319" t="s">
        <v>28</v>
      </c>
      <c r="H319" t="s">
        <v>64</v>
      </c>
      <c r="I319">
        <v>55013</v>
      </c>
      <c r="J319">
        <v>1</v>
      </c>
      <c r="K319">
        <v>4.0999999999999996</v>
      </c>
      <c r="L319">
        <v>1</v>
      </c>
      <c r="M319" t="s">
        <v>192</v>
      </c>
    </row>
    <row r="320" spans="1:13">
      <c r="A320" t="s">
        <v>627</v>
      </c>
      <c r="B320" t="s">
        <v>275</v>
      </c>
      <c r="C320" t="s">
        <v>33</v>
      </c>
      <c r="D320" t="s">
        <v>86</v>
      </c>
      <c r="E320" t="s">
        <v>17</v>
      </c>
      <c r="F320" t="s">
        <v>53</v>
      </c>
      <c r="G320" t="s">
        <v>19</v>
      </c>
      <c r="H320" t="s">
        <v>36</v>
      </c>
      <c r="I320">
        <v>3490</v>
      </c>
      <c r="J320">
        <v>5</v>
      </c>
      <c r="K320">
        <v>4.5</v>
      </c>
      <c r="L320">
        <v>3</v>
      </c>
      <c r="M320" t="s">
        <v>119</v>
      </c>
    </row>
    <row r="321" spans="1:13">
      <c r="A321" t="s">
        <v>628</v>
      </c>
      <c r="B321" t="s">
        <v>115</v>
      </c>
      <c r="C321" t="s">
        <v>75</v>
      </c>
      <c r="D321" t="s">
        <v>147</v>
      </c>
      <c r="E321" t="s">
        <v>52</v>
      </c>
      <c r="F321" t="s">
        <v>100</v>
      </c>
      <c r="G321" t="s">
        <v>104</v>
      </c>
      <c r="H321" t="s">
        <v>29</v>
      </c>
      <c r="I321">
        <v>13076</v>
      </c>
      <c r="J321">
        <v>7</v>
      </c>
      <c r="K321">
        <v>4.0999999999999996</v>
      </c>
      <c r="L321">
        <v>2</v>
      </c>
      <c r="M321" t="s">
        <v>21</v>
      </c>
    </row>
    <row r="322" spans="1:13">
      <c r="A322" t="s">
        <v>629</v>
      </c>
      <c r="B322" t="s">
        <v>630</v>
      </c>
      <c r="C322" t="s">
        <v>78</v>
      </c>
      <c r="D322" t="s">
        <v>130</v>
      </c>
      <c r="E322" t="s">
        <v>35</v>
      </c>
      <c r="F322" t="s">
        <v>18</v>
      </c>
      <c r="G322" t="s">
        <v>104</v>
      </c>
      <c r="H322" t="s">
        <v>29</v>
      </c>
      <c r="I322">
        <v>311416</v>
      </c>
      <c r="J322">
        <v>4</v>
      </c>
      <c r="K322">
        <v>3.5</v>
      </c>
      <c r="L322">
        <v>2</v>
      </c>
      <c r="M322" t="s">
        <v>37</v>
      </c>
    </row>
    <row r="323" spans="1:13">
      <c r="A323" t="s">
        <v>631</v>
      </c>
      <c r="B323" t="s">
        <v>587</v>
      </c>
      <c r="C323" t="s">
        <v>146</v>
      </c>
      <c r="D323" t="s">
        <v>218</v>
      </c>
      <c r="E323" t="s">
        <v>17</v>
      </c>
      <c r="F323" t="s">
        <v>27</v>
      </c>
      <c r="G323" t="s">
        <v>28</v>
      </c>
      <c r="H323" t="s">
        <v>36</v>
      </c>
      <c r="I323">
        <v>8605</v>
      </c>
      <c r="J323">
        <v>5</v>
      </c>
      <c r="K323">
        <v>4.5999999999999996</v>
      </c>
      <c r="L323">
        <v>6</v>
      </c>
      <c r="M323" t="s">
        <v>30</v>
      </c>
    </row>
    <row r="324" spans="1:13">
      <c r="A324" t="s">
        <v>632</v>
      </c>
      <c r="B324" t="s">
        <v>533</v>
      </c>
      <c r="C324" t="s">
        <v>103</v>
      </c>
      <c r="D324" t="s">
        <v>41</v>
      </c>
      <c r="E324" t="s">
        <v>42</v>
      </c>
      <c r="F324" t="s">
        <v>83</v>
      </c>
      <c r="G324" t="s">
        <v>104</v>
      </c>
      <c r="H324" t="s">
        <v>36</v>
      </c>
      <c r="I324">
        <v>6572</v>
      </c>
      <c r="J324">
        <v>2</v>
      </c>
      <c r="K324">
        <v>4.9000000000000004</v>
      </c>
      <c r="L324">
        <v>1</v>
      </c>
      <c r="M324" t="s">
        <v>21</v>
      </c>
    </row>
    <row r="325" spans="1:13">
      <c r="A325" t="s">
        <v>633</v>
      </c>
      <c r="B325" t="s">
        <v>559</v>
      </c>
      <c r="C325" t="s">
        <v>125</v>
      </c>
      <c r="D325" t="s">
        <v>46</v>
      </c>
      <c r="E325" t="s">
        <v>42</v>
      </c>
      <c r="F325" t="s">
        <v>27</v>
      </c>
      <c r="G325" t="s">
        <v>19</v>
      </c>
      <c r="H325" t="s">
        <v>20</v>
      </c>
      <c r="I325">
        <v>7470</v>
      </c>
      <c r="J325">
        <v>3</v>
      </c>
      <c r="K325">
        <v>3.7</v>
      </c>
      <c r="L325">
        <v>4</v>
      </c>
      <c r="M325" t="s">
        <v>87</v>
      </c>
    </row>
    <row r="326" spans="1:13">
      <c r="A326" t="s">
        <v>634</v>
      </c>
      <c r="B326" t="s">
        <v>635</v>
      </c>
      <c r="C326" t="s">
        <v>75</v>
      </c>
      <c r="D326" t="s">
        <v>109</v>
      </c>
      <c r="E326" t="s">
        <v>52</v>
      </c>
      <c r="F326" t="s">
        <v>27</v>
      </c>
      <c r="G326" t="s">
        <v>28</v>
      </c>
      <c r="H326" t="s">
        <v>36</v>
      </c>
      <c r="I326">
        <v>5088</v>
      </c>
      <c r="J326">
        <v>4</v>
      </c>
      <c r="K326">
        <v>4.5999999999999996</v>
      </c>
      <c r="L326">
        <v>2</v>
      </c>
      <c r="M326" t="s">
        <v>37</v>
      </c>
    </row>
    <row r="327" spans="1:13">
      <c r="A327" t="s">
        <v>636</v>
      </c>
      <c r="B327" t="s">
        <v>637</v>
      </c>
      <c r="C327" t="s">
        <v>50</v>
      </c>
      <c r="D327" t="s">
        <v>25</v>
      </c>
      <c r="E327" t="s">
        <v>26</v>
      </c>
      <c r="F327" t="s">
        <v>83</v>
      </c>
      <c r="G327" t="s">
        <v>19</v>
      </c>
      <c r="H327" t="s">
        <v>36</v>
      </c>
      <c r="I327">
        <v>31806</v>
      </c>
      <c r="J327">
        <v>6</v>
      </c>
      <c r="K327">
        <v>4.0999999999999996</v>
      </c>
      <c r="L327">
        <v>5</v>
      </c>
      <c r="M327" t="s">
        <v>65</v>
      </c>
    </row>
    <row r="328" spans="1:13">
      <c r="A328" t="s">
        <v>638</v>
      </c>
      <c r="B328" t="s">
        <v>446</v>
      </c>
      <c r="C328" t="s">
        <v>170</v>
      </c>
      <c r="D328" t="s">
        <v>69</v>
      </c>
      <c r="E328" t="s">
        <v>26</v>
      </c>
      <c r="F328" t="s">
        <v>27</v>
      </c>
      <c r="G328" t="s">
        <v>54</v>
      </c>
      <c r="H328" t="s">
        <v>36</v>
      </c>
      <c r="I328">
        <v>8290</v>
      </c>
      <c r="J328">
        <v>1</v>
      </c>
      <c r="K328">
        <v>5</v>
      </c>
      <c r="L328">
        <v>8</v>
      </c>
      <c r="M328" t="s">
        <v>65</v>
      </c>
    </row>
    <row r="329" spans="1:13">
      <c r="A329" t="s">
        <v>639</v>
      </c>
      <c r="B329" t="s">
        <v>640</v>
      </c>
      <c r="C329" t="s">
        <v>103</v>
      </c>
      <c r="D329" t="s">
        <v>51</v>
      </c>
      <c r="E329" t="s">
        <v>52</v>
      </c>
      <c r="F329" t="s">
        <v>60</v>
      </c>
      <c r="G329" t="s">
        <v>104</v>
      </c>
      <c r="H329" t="s">
        <v>29</v>
      </c>
      <c r="I329">
        <v>3462</v>
      </c>
      <c r="J329">
        <v>2</v>
      </c>
      <c r="K329">
        <v>4.2</v>
      </c>
      <c r="L329">
        <v>4</v>
      </c>
      <c r="M329" t="s">
        <v>30</v>
      </c>
    </row>
    <row r="330" spans="1:13">
      <c r="A330" t="s">
        <v>641</v>
      </c>
      <c r="B330" t="s">
        <v>434</v>
      </c>
      <c r="C330" t="s">
        <v>58</v>
      </c>
      <c r="D330" t="s">
        <v>51</v>
      </c>
      <c r="E330" t="s">
        <v>52</v>
      </c>
      <c r="F330" t="s">
        <v>27</v>
      </c>
      <c r="G330" t="s">
        <v>19</v>
      </c>
      <c r="H330" t="s">
        <v>36</v>
      </c>
      <c r="I330">
        <v>7096</v>
      </c>
      <c r="J330">
        <v>4</v>
      </c>
      <c r="K330">
        <v>4</v>
      </c>
      <c r="L330">
        <v>3</v>
      </c>
      <c r="M330" t="s">
        <v>47</v>
      </c>
    </row>
    <row r="331" spans="1:13">
      <c r="A331" t="s">
        <v>642</v>
      </c>
      <c r="B331" t="s">
        <v>429</v>
      </c>
      <c r="C331" t="s">
        <v>133</v>
      </c>
      <c r="D331" t="s">
        <v>34</v>
      </c>
      <c r="E331" t="s">
        <v>35</v>
      </c>
      <c r="F331" t="s">
        <v>60</v>
      </c>
      <c r="G331" t="s">
        <v>19</v>
      </c>
      <c r="H331" t="s">
        <v>29</v>
      </c>
      <c r="I331">
        <v>151312</v>
      </c>
      <c r="J331">
        <v>7</v>
      </c>
      <c r="K331">
        <v>4.7</v>
      </c>
      <c r="L331">
        <v>3</v>
      </c>
      <c r="M331" t="s">
        <v>30</v>
      </c>
    </row>
    <row r="332" spans="1:13">
      <c r="A332" t="s">
        <v>643</v>
      </c>
      <c r="B332" t="s">
        <v>195</v>
      </c>
      <c r="C332" t="s">
        <v>68</v>
      </c>
      <c r="D332" t="s">
        <v>46</v>
      </c>
      <c r="E332" t="s">
        <v>42</v>
      </c>
      <c r="F332" t="s">
        <v>60</v>
      </c>
      <c r="G332" t="s">
        <v>104</v>
      </c>
      <c r="H332" t="s">
        <v>29</v>
      </c>
      <c r="I332">
        <v>1191</v>
      </c>
      <c r="J332">
        <v>1</v>
      </c>
      <c r="K332">
        <v>4.7</v>
      </c>
      <c r="L332">
        <v>8</v>
      </c>
      <c r="M332" t="s">
        <v>21</v>
      </c>
    </row>
    <row r="333" spans="1:13">
      <c r="A333" t="s">
        <v>644</v>
      </c>
      <c r="B333" t="s">
        <v>622</v>
      </c>
      <c r="C333" t="s">
        <v>58</v>
      </c>
      <c r="D333" t="s">
        <v>130</v>
      </c>
      <c r="E333" t="s">
        <v>35</v>
      </c>
      <c r="F333" t="s">
        <v>100</v>
      </c>
      <c r="G333" t="s">
        <v>19</v>
      </c>
      <c r="H333" t="s">
        <v>29</v>
      </c>
      <c r="I333">
        <v>282350</v>
      </c>
      <c r="J333">
        <v>5</v>
      </c>
      <c r="K333">
        <v>4.8</v>
      </c>
      <c r="L333">
        <v>4</v>
      </c>
      <c r="M333" t="s">
        <v>30</v>
      </c>
    </row>
    <row r="334" spans="1:13">
      <c r="A334" t="s">
        <v>645</v>
      </c>
      <c r="B334" t="s">
        <v>646</v>
      </c>
      <c r="C334" t="s">
        <v>24</v>
      </c>
      <c r="D334" t="s">
        <v>130</v>
      </c>
      <c r="E334" t="s">
        <v>35</v>
      </c>
      <c r="F334" t="s">
        <v>27</v>
      </c>
      <c r="G334" t="s">
        <v>104</v>
      </c>
      <c r="H334" t="s">
        <v>64</v>
      </c>
      <c r="I334">
        <v>419576</v>
      </c>
      <c r="J334">
        <v>8</v>
      </c>
      <c r="K334">
        <v>4</v>
      </c>
      <c r="L334">
        <v>3</v>
      </c>
      <c r="M334" t="s">
        <v>119</v>
      </c>
    </row>
    <row r="335" spans="1:13">
      <c r="A335" t="s">
        <v>647</v>
      </c>
      <c r="B335" t="s">
        <v>589</v>
      </c>
      <c r="C335" t="s">
        <v>45</v>
      </c>
      <c r="D335" t="s">
        <v>69</v>
      </c>
      <c r="E335" t="s">
        <v>26</v>
      </c>
      <c r="F335" t="s">
        <v>27</v>
      </c>
      <c r="G335" t="s">
        <v>28</v>
      </c>
      <c r="H335" t="s">
        <v>29</v>
      </c>
      <c r="I335">
        <v>11982</v>
      </c>
      <c r="J335">
        <v>2</v>
      </c>
      <c r="K335">
        <v>4.4000000000000004</v>
      </c>
      <c r="L335">
        <v>5</v>
      </c>
      <c r="M335" t="s">
        <v>87</v>
      </c>
    </row>
    <row r="336" spans="1:13">
      <c r="A336" t="s">
        <v>648</v>
      </c>
      <c r="B336" t="s">
        <v>222</v>
      </c>
      <c r="C336" t="s">
        <v>75</v>
      </c>
      <c r="D336" t="s">
        <v>46</v>
      </c>
      <c r="E336" t="s">
        <v>42</v>
      </c>
      <c r="F336" t="s">
        <v>83</v>
      </c>
      <c r="G336" t="s">
        <v>19</v>
      </c>
      <c r="H336" t="s">
        <v>64</v>
      </c>
      <c r="I336">
        <v>7112</v>
      </c>
      <c r="J336">
        <v>8</v>
      </c>
      <c r="K336">
        <v>4.5</v>
      </c>
      <c r="L336">
        <v>5</v>
      </c>
      <c r="M336" t="s">
        <v>30</v>
      </c>
    </row>
    <row r="337" spans="1:13">
      <c r="A337" t="s">
        <v>649</v>
      </c>
      <c r="B337" t="s">
        <v>242</v>
      </c>
      <c r="C337" t="s">
        <v>68</v>
      </c>
      <c r="D337" t="s">
        <v>16</v>
      </c>
      <c r="E337" t="s">
        <v>17</v>
      </c>
      <c r="F337" t="s">
        <v>53</v>
      </c>
      <c r="G337" t="s">
        <v>19</v>
      </c>
      <c r="H337" t="s">
        <v>36</v>
      </c>
      <c r="I337">
        <v>11384</v>
      </c>
      <c r="J337">
        <v>8</v>
      </c>
      <c r="K337">
        <v>4.5999999999999996</v>
      </c>
      <c r="L337">
        <v>2</v>
      </c>
      <c r="M337" t="s">
        <v>87</v>
      </c>
    </row>
    <row r="338" spans="1:13">
      <c r="A338" t="s">
        <v>650</v>
      </c>
      <c r="B338" t="s">
        <v>615</v>
      </c>
      <c r="C338" t="s">
        <v>15</v>
      </c>
      <c r="D338" t="s">
        <v>46</v>
      </c>
      <c r="E338" t="s">
        <v>42</v>
      </c>
      <c r="F338" t="s">
        <v>18</v>
      </c>
      <c r="G338" t="s">
        <v>104</v>
      </c>
      <c r="H338" t="s">
        <v>29</v>
      </c>
      <c r="I338">
        <v>6940</v>
      </c>
      <c r="J338">
        <v>4</v>
      </c>
      <c r="K338">
        <v>4.0999999999999996</v>
      </c>
      <c r="L338">
        <v>3</v>
      </c>
      <c r="M338" t="s">
        <v>37</v>
      </c>
    </row>
    <row r="339" spans="1:13">
      <c r="A339" t="s">
        <v>651</v>
      </c>
      <c r="B339" t="s">
        <v>652</v>
      </c>
      <c r="C339" t="s">
        <v>58</v>
      </c>
      <c r="D339" t="s">
        <v>90</v>
      </c>
      <c r="E339" t="s">
        <v>42</v>
      </c>
      <c r="F339" t="s">
        <v>60</v>
      </c>
      <c r="G339" t="s">
        <v>104</v>
      </c>
      <c r="H339" t="s">
        <v>29</v>
      </c>
      <c r="I339">
        <v>25585</v>
      </c>
      <c r="J339">
        <v>5</v>
      </c>
      <c r="K339">
        <v>4.3</v>
      </c>
      <c r="L339">
        <v>8</v>
      </c>
      <c r="M339" t="s">
        <v>30</v>
      </c>
    </row>
    <row r="340" spans="1:13">
      <c r="A340" t="s">
        <v>653</v>
      </c>
      <c r="B340" t="s">
        <v>561</v>
      </c>
      <c r="C340" t="s">
        <v>112</v>
      </c>
      <c r="D340" t="s">
        <v>159</v>
      </c>
      <c r="E340" t="s">
        <v>42</v>
      </c>
      <c r="F340" t="s">
        <v>83</v>
      </c>
      <c r="G340" t="s">
        <v>104</v>
      </c>
      <c r="H340" t="s">
        <v>29</v>
      </c>
      <c r="I340">
        <v>22624</v>
      </c>
      <c r="J340">
        <v>8</v>
      </c>
      <c r="K340">
        <v>3.7</v>
      </c>
      <c r="L340">
        <v>1</v>
      </c>
      <c r="M340" t="s">
        <v>87</v>
      </c>
    </row>
    <row r="341" spans="1:13">
      <c r="A341" t="s">
        <v>654</v>
      </c>
      <c r="B341" t="s">
        <v>523</v>
      </c>
      <c r="C341" t="s">
        <v>78</v>
      </c>
      <c r="D341" t="s">
        <v>41</v>
      </c>
      <c r="E341" t="s">
        <v>42</v>
      </c>
      <c r="F341" t="s">
        <v>53</v>
      </c>
      <c r="G341" t="s">
        <v>19</v>
      </c>
      <c r="H341" t="s">
        <v>64</v>
      </c>
      <c r="I341">
        <v>33808</v>
      </c>
      <c r="J341">
        <v>8</v>
      </c>
      <c r="K341">
        <v>4.3</v>
      </c>
      <c r="L341">
        <v>1</v>
      </c>
      <c r="M341" t="s">
        <v>119</v>
      </c>
    </row>
    <row r="342" spans="1:13">
      <c r="A342" t="s">
        <v>655</v>
      </c>
      <c r="B342" t="s">
        <v>656</v>
      </c>
      <c r="C342" t="s">
        <v>112</v>
      </c>
      <c r="D342" t="s">
        <v>69</v>
      </c>
      <c r="E342" t="s">
        <v>26</v>
      </c>
      <c r="F342" t="s">
        <v>100</v>
      </c>
      <c r="G342" t="s">
        <v>104</v>
      </c>
      <c r="H342" t="s">
        <v>29</v>
      </c>
      <c r="I342">
        <v>20432</v>
      </c>
      <c r="J342">
        <v>4</v>
      </c>
      <c r="K342">
        <v>3.3</v>
      </c>
      <c r="L342">
        <v>4</v>
      </c>
      <c r="M342" t="s">
        <v>55</v>
      </c>
    </row>
    <row r="343" spans="1:13">
      <c r="A343" t="s">
        <v>657</v>
      </c>
      <c r="B343" t="s">
        <v>201</v>
      </c>
      <c r="C343" t="s">
        <v>103</v>
      </c>
      <c r="D343" t="s">
        <v>59</v>
      </c>
      <c r="E343" t="s">
        <v>26</v>
      </c>
      <c r="F343" t="s">
        <v>27</v>
      </c>
      <c r="G343" t="s">
        <v>28</v>
      </c>
      <c r="H343" t="s">
        <v>20</v>
      </c>
      <c r="I343">
        <v>10432</v>
      </c>
      <c r="J343">
        <v>4</v>
      </c>
      <c r="K343">
        <v>4.3</v>
      </c>
      <c r="L343">
        <v>8</v>
      </c>
      <c r="M343" t="s">
        <v>55</v>
      </c>
    </row>
    <row r="344" spans="1:13">
      <c r="A344" t="s">
        <v>658</v>
      </c>
      <c r="B344" t="s">
        <v>536</v>
      </c>
      <c r="C344" t="s">
        <v>15</v>
      </c>
      <c r="D344" t="s">
        <v>113</v>
      </c>
      <c r="E344" t="s">
        <v>35</v>
      </c>
      <c r="F344" t="s">
        <v>83</v>
      </c>
      <c r="G344" t="s">
        <v>54</v>
      </c>
      <c r="H344" t="s">
        <v>20</v>
      </c>
      <c r="I344">
        <v>26871</v>
      </c>
      <c r="J344">
        <v>1</v>
      </c>
      <c r="K344">
        <v>3.7</v>
      </c>
      <c r="L344">
        <v>8</v>
      </c>
      <c r="M344" t="s">
        <v>80</v>
      </c>
    </row>
    <row r="345" spans="1:13">
      <c r="A345" t="s">
        <v>659</v>
      </c>
      <c r="B345" t="s">
        <v>660</v>
      </c>
      <c r="C345" t="s">
        <v>170</v>
      </c>
      <c r="D345" t="s">
        <v>116</v>
      </c>
      <c r="E345" t="s">
        <v>17</v>
      </c>
      <c r="F345" t="s">
        <v>18</v>
      </c>
      <c r="G345" t="s">
        <v>19</v>
      </c>
      <c r="H345" t="s">
        <v>36</v>
      </c>
      <c r="I345">
        <v>6960</v>
      </c>
      <c r="J345">
        <v>6</v>
      </c>
      <c r="K345">
        <v>4.5</v>
      </c>
      <c r="L345">
        <v>1</v>
      </c>
      <c r="M345" t="s">
        <v>37</v>
      </c>
    </row>
    <row r="346" spans="1:13">
      <c r="A346" t="s">
        <v>661</v>
      </c>
      <c r="B346" t="s">
        <v>589</v>
      </c>
      <c r="C346" t="s">
        <v>50</v>
      </c>
      <c r="D346" t="s">
        <v>97</v>
      </c>
      <c r="E346" t="s">
        <v>35</v>
      </c>
      <c r="F346" t="s">
        <v>60</v>
      </c>
      <c r="G346" t="s">
        <v>19</v>
      </c>
      <c r="H346" t="s">
        <v>36</v>
      </c>
      <c r="I346">
        <v>282224</v>
      </c>
      <c r="J346">
        <v>8</v>
      </c>
      <c r="K346">
        <v>3.4</v>
      </c>
      <c r="L346">
        <v>4</v>
      </c>
      <c r="M346" t="s">
        <v>87</v>
      </c>
    </row>
    <row r="347" spans="1:13">
      <c r="A347" t="s">
        <v>662</v>
      </c>
      <c r="B347" t="s">
        <v>663</v>
      </c>
      <c r="C347" t="s">
        <v>78</v>
      </c>
      <c r="D347" t="s">
        <v>51</v>
      </c>
      <c r="E347" t="s">
        <v>52</v>
      </c>
      <c r="F347" t="s">
        <v>100</v>
      </c>
      <c r="G347" t="s">
        <v>54</v>
      </c>
      <c r="H347" t="s">
        <v>29</v>
      </c>
      <c r="I347">
        <v>7372</v>
      </c>
      <c r="J347">
        <v>4</v>
      </c>
      <c r="K347">
        <v>4.3</v>
      </c>
      <c r="L347">
        <v>1</v>
      </c>
      <c r="M347" t="s">
        <v>87</v>
      </c>
    </row>
    <row r="348" spans="1:13">
      <c r="A348" t="s">
        <v>664</v>
      </c>
      <c r="B348" t="s">
        <v>597</v>
      </c>
      <c r="C348" t="s">
        <v>24</v>
      </c>
      <c r="D348" t="s">
        <v>46</v>
      </c>
      <c r="E348" t="s">
        <v>42</v>
      </c>
      <c r="F348" t="s">
        <v>53</v>
      </c>
      <c r="G348" t="s">
        <v>54</v>
      </c>
      <c r="H348" t="s">
        <v>64</v>
      </c>
      <c r="I348">
        <v>15798</v>
      </c>
      <c r="J348">
        <v>6</v>
      </c>
      <c r="K348">
        <v>4</v>
      </c>
      <c r="L348">
        <v>1</v>
      </c>
      <c r="M348" t="s">
        <v>37</v>
      </c>
    </row>
    <row r="349" spans="1:13">
      <c r="A349" t="s">
        <v>665</v>
      </c>
      <c r="B349" t="s">
        <v>666</v>
      </c>
      <c r="C349" t="s">
        <v>45</v>
      </c>
      <c r="D349" t="s">
        <v>147</v>
      </c>
      <c r="E349" t="s">
        <v>52</v>
      </c>
      <c r="F349" t="s">
        <v>53</v>
      </c>
      <c r="G349" t="s">
        <v>54</v>
      </c>
      <c r="H349" t="s">
        <v>36</v>
      </c>
      <c r="I349">
        <v>7072</v>
      </c>
      <c r="J349">
        <v>8</v>
      </c>
      <c r="K349">
        <v>3.5</v>
      </c>
      <c r="L349">
        <v>2</v>
      </c>
      <c r="M349" t="s">
        <v>144</v>
      </c>
    </row>
    <row r="350" spans="1:13">
      <c r="A350" t="s">
        <v>667</v>
      </c>
      <c r="B350" t="s">
        <v>668</v>
      </c>
      <c r="C350" t="s">
        <v>146</v>
      </c>
      <c r="D350" t="s">
        <v>34</v>
      </c>
      <c r="E350" t="s">
        <v>35</v>
      </c>
      <c r="F350" t="s">
        <v>27</v>
      </c>
      <c r="G350" t="s">
        <v>19</v>
      </c>
      <c r="H350" t="s">
        <v>36</v>
      </c>
      <c r="I350">
        <v>65994</v>
      </c>
      <c r="J350">
        <v>2</v>
      </c>
      <c r="K350">
        <v>4.5999999999999996</v>
      </c>
      <c r="L350">
        <v>6</v>
      </c>
      <c r="M350" t="s">
        <v>119</v>
      </c>
    </row>
    <row r="351" spans="1:13">
      <c r="A351" t="s">
        <v>669</v>
      </c>
      <c r="B351" t="s">
        <v>670</v>
      </c>
      <c r="C351" t="s">
        <v>179</v>
      </c>
      <c r="D351" t="s">
        <v>46</v>
      </c>
      <c r="E351" t="s">
        <v>42</v>
      </c>
      <c r="F351" t="s">
        <v>100</v>
      </c>
      <c r="G351" t="s">
        <v>19</v>
      </c>
      <c r="H351" t="s">
        <v>29</v>
      </c>
      <c r="I351">
        <v>26395</v>
      </c>
      <c r="J351">
        <v>5</v>
      </c>
      <c r="K351">
        <v>4.2</v>
      </c>
      <c r="L351">
        <v>8</v>
      </c>
      <c r="M351" t="s">
        <v>80</v>
      </c>
    </row>
    <row r="352" spans="1:13">
      <c r="A352" t="s">
        <v>671</v>
      </c>
      <c r="B352" t="s">
        <v>14</v>
      </c>
      <c r="C352" t="s">
        <v>146</v>
      </c>
      <c r="D352" t="s">
        <v>97</v>
      </c>
      <c r="E352" t="s">
        <v>35</v>
      </c>
      <c r="F352" t="s">
        <v>18</v>
      </c>
      <c r="G352" t="s">
        <v>28</v>
      </c>
      <c r="H352" t="s">
        <v>20</v>
      </c>
      <c r="I352">
        <v>68457</v>
      </c>
      <c r="J352">
        <v>3</v>
      </c>
      <c r="K352">
        <v>4.7</v>
      </c>
      <c r="L352">
        <v>6</v>
      </c>
      <c r="M352" t="s">
        <v>21</v>
      </c>
    </row>
    <row r="353" spans="1:13">
      <c r="A353" t="s">
        <v>672</v>
      </c>
      <c r="B353" t="s">
        <v>673</v>
      </c>
      <c r="C353" t="s">
        <v>78</v>
      </c>
      <c r="D353" t="s">
        <v>218</v>
      </c>
      <c r="E353" t="s">
        <v>17</v>
      </c>
      <c r="F353" t="s">
        <v>83</v>
      </c>
      <c r="G353" t="s">
        <v>104</v>
      </c>
      <c r="H353" t="s">
        <v>29</v>
      </c>
      <c r="I353">
        <v>3824</v>
      </c>
      <c r="J353">
        <v>4</v>
      </c>
      <c r="K353">
        <v>4.0999999999999996</v>
      </c>
      <c r="L353">
        <v>8</v>
      </c>
      <c r="M353" t="s">
        <v>192</v>
      </c>
    </row>
    <row r="354" spans="1:13">
      <c r="A354" t="s">
        <v>674</v>
      </c>
      <c r="B354" t="s">
        <v>675</v>
      </c>
      <c r="C354" t="s">
        <v>68</v>
      </c>
      <c r="D354" t="s">
        <v>46</v>
      </c>
      <c r="E354" t="s">
        <v>42</v>
      </c>
      <c r="F354" t="s">
        <v>60</v>
      </c>
      <c r="G354" t="s">
        <v>19</v>
      </c>
      <c r="H354" t="s">
        <v>36</v>
      </c>
      <c r="I354">
        <v>3526</v>
      </c>
      <c r="J354">
        <v>2</v>
      </c>
      <c r="K354">
        <v>4.8</v>
      </c>
      <c r="L354">
        <v>4</v>
      </c>
      <c r="M354" t="s">
        <v>87</v>
      </c>
    </row>
    <row r="355" spans="1:13">
      <c r="A355" t="s">
        <v>676</v>
      </c>
      <c r="B355" t="s">
        <v>275</v>
      </c>
      <c r="C355" t="s">
        <v>15</v>
      </c>
      <c r="D355" t="s">
        <v>116</v>
      </c>
      <c r="E355" t="s">
        <v>17</v>
      </c>
      <c r="F355" t="s">
        <v>83</v>
      </c>
      <c r="G355" t="s">
        <v>28</v>
      </c>
      <c r="H355" t="s">
        <v>36</v>
      </c>
      <c r="I355">
        <v>11008</v>
      </c>
      <c r="J355">
        <v>8</v>
      </c>
      <c r="K355">
        <v>4.3</v>
      </c>
      <c r="L355">
        <v>2</v>
      </c>
      <c r="M355" t="s">
        <v>119</v>
      </c>
    </row>
    <row r="356" spans="1:13">
      <c r="A356" t="s">
        <v>677</v>
      </c>
      <c r="B356" t="s">
        <v>379</v>
      </c>
      <c r="C356" t="s">
        <v>40</v>
      </c>
      <c r="D356" t="s">
        <v>41</v>
      </c>
      <c r="E356" t="s">
        <v>42</v>
      </c>
      <c r="F356" t="s">
        <v>18</v>
      </c>
      <c r="G356" t="s">
        <v>19</v>
      </c>
      <c r="H356" t="s">
        <v>36</v>
      </c>
      <c r="I356">
        <v>20139</v>
      </c>
      <c r="J356">
        <v>7</v>
      </c>
      <c r="K356">
        <v>3.3</v>
      </c>
      <c r="L356">
        <v>2</v>
      </c>
      <c r="M356" t="s">
        <v>55</v>
      </c>
    </row>
    <row r="357" spans="1:13">
      <c r="A357" t="s">
        <v>678</v>
      </c>
      <c r="B357" t="s">
        <v>387</v>
      </c>
      <c r="C357" t="s">
        <v>78</v>
      </c>
      <c r="D357" t="s">
        <v>86</v>
      </c>
      <c r="E357" t="s">
        <v>17</v>
      </c>
      <c r="F357" t="s">
        <v>27</v>
      </c>
      <c r="G357" t="s">
        <v>28</v>
      </c>
      <c r="H357" t="s">
        <v>36</v>
      </c>
      <c r="I357">
        <v>4816</v>
      </c>
      <c r="J357">
        <v>7</v>
      </c>
      <c r="K357">
        <v>4.3</v>
      </c>
      <c r="L357">
        <v>3</v>
      </c>
      <c r="M357" t="s">
        <v>65</v>
      </c>
    </row>
    <row r="358" spans="1:13">
      <c r="A358" t="s">
        <v>679</v>
      </c>
      <c r="B358" t="s">
        <v>141</v>
      </c>
      <c r="C358" t="s">
        <v>24</v>
      </c>
      <c r="D358" t="s">
        <v>59</v>
      </c>
      <c r="E358" t="s">
        <v>26</v>
      </c>
      <c r="F358" t="s">
        <v>100</v>
      </c>
      <c r="G358" t="s">
        <v>28</v>
      </c>
      <c r="H358" t="s">
        <v>29</v>
      </c>
      <c r="I358">
        <v>30040</v>
      </c>
      <c r="J358">
        <v>8</v>
      </c>
      <c r="K358">
        <v>4.2</v>
      </c>
      <c r="L358">
        <v>6</v>
      </c>
      <c r="M358" t="s">
        <v>119</v>
      </c>
    </row>
    <row r="359" spans="1:13">
      <c r="A359" t="s">
        <v>680</v>
      </c>
      <c r="B359" t="s">
        <v>681</v>
      </c>
      <c r="C359" t="s">
        <v>50</v>
      </c>
      <c r="D359" t="s">
        <v>165</v>
      </c>
      <c r="E359" t="s">
        <v>35</v>
      </c>
      <c r="F359" t="s">
        <v>100</v>
      </c>
      <c r="G359" t="s">
        <v>104</v>
      </c>
      <c r="H359" t="s">
        <v>29</v>
      </c>
      <c r="I359">
        <v>269370</v>
      </c>
      <c r="J359">
        <v>6</v>
      </c>
      <c r="K359">
        <v>4.2</v>
      </c>
      <c r="L359">
        <v>4</v>
      </c>
      <c r="M359" t="s">
        <v>126</v>
      </c>
    </row>
    <row r="360" spans="1:13">
      <c r="A360" t="s">
        <v>682</v>
      </c>
      <c r="B360" t="s">
        <v>300</v>
      </c>
      <c r="C360" t="s">
        <v>15</v>
      </c>
      <c r="D360" t="s">
        <v>90</v>
      </c>
      <c r="E360" t="s">
        <v>42</v>
      </c>
      <c r="F360" t="s">
        <v>53</v>
      </c>
      <c r="G360" t="s">
        <v>19</v>
      </c>
      <c r="H360" t="s">
        <v>20</v>
      </c>
      <c r="I360">
        <v>5580</v>
      </c>
      <c r="J360">
        <v>1</v>
      </c>
      <c r="K360">
        <v>4.0999999999999996</v>
      </c>
      <c r="L360">
        <v>5</v>
      </c>
      <c r="M360" t="s">
        <v>55</v>
      </c>
    </row>
    <row r="361" spans="1:13">
      <c r="A361" t="s">
        <v>683</v>
      </c>
      <c r="B361" t="s">
        <v>118</v>
      </c>
      <c r="C361" t="s">
        <v>146</v>
      </c>
      <c r="D361" t="s">
        <v>113</v>
      </c>
      <c r="E361" t="s">
        <v>35</v>
      </c>
      <c r="F361" t="s">
        <v>53</v>
      </c>
      <c r="G361" t="s">
        <v>19</v>
      </c>
      <c r="H361" t="s">
        <v>20</v>
      </c>
      <c r="I361">
        <v>377090</v>
      </c>
      <c r="J361">
        <v>5</v>
      </c>
      <c r="K361">
        <v>3.5</v>
      </c>
      <c r="L361">
        <v>1</v>
      </c>
      <c r="M361" t="s">
        <v>119</v>
      </c>
    </row>
    <row r="362" spans="1:13">
      <c r="A362" t="s">
        <v>684</v>
      </c>
      <c r="B362" t="s">
        <v>413</v>
      </c>
      <c r="C362" t="s">
        <v>75</v>
      </c>
      <c r="D362" t="s">
        <v>130</v>
      </c>
      <c r="E362" t="s">
        <v>35</v>
      </c>
      <c r="F362" t="s">
        <v>27</v>
      </c>
      <c r="G362" t="s">
        <v>104</v>
      </c>
      <c r="H362" t="s">
        <v>64</v>
      </c>
      <c r="I362">
        <v>167444</v>
      </c>
      <c r="J362">
        <v>4</v>
      </c>
      <c r="K362">
        <v>3.9</v>
      </c>
      <c r="L362">
        <v>4</v>
      </c>
      <c r="M362" t="s">
        <v>30</v>
      </c>
    </row>
    <row r="363" spans="1:13">
      <c r="A363" t="s">
        <v>685</v>
      </c>
      <c r="B363" t="s">
        <v>118</v>
      </c>
      <c r="C363" t="s">
        <v>170</v>
      </c>
      <c r="D363" t="s">
        <v>51</v>
      </c>
      <c r="E363" t="s">
        <v>52</v>
      </c>
      <c r="F363" t="s">
        <v>53</v>
      </c>
      <c r="G363" t="s">
        <v>28</v>
      </c>
      <c r="H363" t="s">
        <v>64</v>
      </c>
      <c r="I363">
        <v>2960</v>
      </c>
      <c r="J363">
        <v>2</v>
      </c>
      <c r="K363">
        <v>3.3</v>
      </c>
      <c r="L363">
        <v>1</v>
      </c>
      <c r="M363" t="s">
        <v>119</v>
      </c>
    </row>
    <row r="364" spans="1:13">
      <c r="A364" t="s">
        <v>686</v>
      </c>
      <c r="B364" t="s">
        <v>687</v>
      </c>
      <c r="C364" t="s">
        <v>170</v>
      </c>
      <c r="D364" t="s">
        <v>86</v>
      </c>
      <c r="E364" t="s">
        <v>17</v>
      </c>
      <c r="F364" t="s">
        <v>100</v>
      </c>
      <c r="G364" t="s">
        <v>19</v>
      </c>
      <c r="H364" t="s">
        <v>20</v>
      </c>
      <c r="I364">
        <v>1598</v>
      </c>
      <c r="J364">
        <v>1</v>
      </c>
      <c r="K364">
        <v>3.3</v>
      </c>
      <c r="L364">
        <v>3</v>
      </c>
      <c r="M364" t="s">
        <v>119</v>
      </c>
    </row>
    <row r="365" spans="1:13">
      <c r="A365" t="s">
        <v>688</v>
      </c>
      <c r="B365" t="s">
        <v>306</v>
      </c>
      <c r="C365" t="s">
        <v>125</v>
      </c>
      <c r="D365" t="s">
        <v>116</v>
      </c>
      <c r="E365" t="s">
        <v>17</v>
      </c>
      <c r="F365" t="s">
        <v>100</v>
      </c>
      <c r="G365" t="s">
        <v>54</v>
      </c>
      <c r="H365" t="s">
        <v>64</v>
      </c>
      <c r="I365">
        <v>1508</v>
      </c>
      <c r="J365">
        <v>2</v>
      </c>
      <c r="K365">
        <v>3.4</v>
      </c>
      <c r="L365">
        <v>2</v>
      </c>
      <c r="M365" t="s">
        <v>47</v>
      </c>
    </row>
    <row r="366" spans="1:13">
      <c r="A366" t="s">
        <v>689</v>
      </c>
      <c r="B366" t="s">
        <v>690</v>
      </c>
      <c r="C366" t="s">
        <v>58</v>
      </c>
      <c r="D366" t="s">
        <v>113</v>
      </c>
      <c r="E366" t="s">
        <v>35</v>
      </c>
      <c r="F366" t="s">
        <v>83</v>
      </c>
      <c r="G366" t="s">
        <v>19</v>
      </c>
      <c r="H366" t="s">
        <v>20</v>
      </c>
      <c r="I366">
        <v>141239</v>
      </c>
      <c r="J366">
        <v>7</v>
      </c>
      <c r="K366">
        <v>3.6</v>
      </c>
      <c r="L366">
        <v>7</v>
      </c>
      <c r="M366" t="s">
        <v>55</v>
      </c>
    </row>
    <row r="367" spans="1:13">
      <c r="A367" t="s">
        <v>691</v>
      </c>
      <c r="B367" t="s">
        <v>692</v>
      </c>
      <c r="C367" t="s">
        <v>170</v>
      </c>
      <c r="D367" t="s">
        <v>218</v>
      </c>
      <c r="E367" t="s">
        <v>17</v>
      </c>
      <c r="F367" t="s">
        <v>53</v>
      </c>
      <c r="G367" t="s">
        <v>54</v>
      </c>
      <c r="H367" t="s">
        <v>29</v>
      </c>
      <c r="I367">
        <v>10212</v>
      </c>
      <c r="J367">
        <v>6</v>
      </c>
      <c r="K367">
        <v>3.9</v>
      </c>
      <c r="L367">
        <v>4</v>
      </c>
      <c r="M367" t="s">
        <v>47</v>
      </c>
    </row>
    <row r="368" spans="1:13">
      <c r="A368" t="s">
        <v>693</v>
      </c>
      <c r="B368" t="s">
        <v>595</v>
      </c>
      <c r="C368" t="s">
        <v>72</v>
      </c>
      <c r="D368" t="s">
        <v>109</v>
      </c>
      <c r="E368" t="s">
        <v>52</v>
      </c>
      <c r="F368" t="s">
        <v>27</v>
      </c>
      <c r="G368" t="s">
        <v>54</v>
      </c>
      <c r="H368" t="s">
        <v>36</v>
      </c>
      <c r="I368">
        <v>6776</v>
      </c>
      <c r="J368">
        <v>8</v>
      </c>
      <c r="K368">
        <v>3.6</v>
      </c>
      <c r="L368">
        <v>6</v>
      </c>
      <c r="M368" t="s">
        <v>192</v>
      </c>
    </row>
    <row r="369" spans="1:13">
      <c r="A369" t="s">
        <v>694</v>
      </c>
      <c r="B369" t="s">
        <v>673</v>
      </c>
      <c r="C369" t="s">
        <v>170</v>
      </c>
      <c r="D369" t="s">
        <v>86</v>
      </c>
      <c r="E369" t="s">
        <v>17</v>
      </c>
      <c r="F369" t="s">
        <v>83</v>
      </c>
      <c r="G369" t="s">
        <v>19</v>
      </c>
      <c r="H369" t="s">
        <v>20</v>
      </c>
      <c r="I369">
        <v>2667</v>
      </c>
      <c r="J369">
        <v>3</v>
      </c>
      <c r="K369">
        <v>4</v>
      </c>
      <c r="L369">
        <v>1</v>
      </c>
      <c r="M369" t="s">
        <v>192</v>
      </c>
    </row>
    <row r="370" spans="1:13">
      <c r="A370" t="s">
        <v>695</v>
      </c>
      <c r="B370" t="s">
        <v>149</v>
      </c>
      <c r="C370" t="s">
        <v>103</v>
      </c>
      <c r="D370" t="s">
        <v>59</v>
      </c>
      <c r="E370" t="s">
        <v>26</v>
      </c>
      <c r="F370" t="s">
        <v>83</v>
      </c>
      <c r="G370" t="s">
        <v>54</v>
      </c>
      <c r="H370" t="s">
        <v>29</v>
      </c>
      <c r="I370">
        <v>82808</v>
      </c>
      <c r="J370">
        <v>8</v>
      </c>
      <c r="K370">
        <v>4.8</v>
      </c>
      <c r="L370">
        <v>1</v>
      </c>
      <c r="M370" t="s">
        <v>30</v>
      </c>
    </row>
    <row r="371" spans="1:13">
      <c r="A371" t="s">
        <v>696</v>
      </c>
      <c r="B371" t="s">
        <v>697</v>
      </c>
      <c r="C371" t="s">
        <v>68</v>
      </c>
      <c r="D371" t="s">
        <v>109</v>
      </c>
      <c r="E371" t="s">
        <v>52</v>
      </c>
      <c r="F371" t="s">
        <v>18</v>
      </c>
      <c r="G371" t="s">
        <v>104</v>
      </c>
      <c r="H371" t="s">
        <v>64</v>
      </c>
      <c r="I371">
        <v>2272</v>
      </c>
      <c r="J371">
        <v>8</v>
      </c>
      <c r="K371">
        <v>3.7</v>
      </c>
      <c r="L371">
        <v>6</v>
      </c>
      <c r="M371" t="s">
        <v>144</v>
      </c>
    </row>
    <row r="372" spans="1:13">
      <c r="A372" t="s">
        <v>698</v>
      </c>
      <c r="B372" t="s">
        <v>62</v>
      </c>
      <c r="C372" t="s">
        <v>78</v>
      </c>
      <c r="D372" t="s">
        <v>51</v>
      </c>
      <c r="E372" t="s">
        <v>52</v>
      </c>
      <c r="F372" t="s">
        <v>27</v>
      </c>
      <c r="G372" t="s">
        <v>54</v>
      </c>
      <c r="H372" t="s">
        <v>36</v>
      </c>
      <c r="I372">
        <v>4470</v>
      </c>
      <c r="J372">
        <v>2</v>
      </c>
      <c r="K372">
        <v>3.5</v>
      </c>
      <c r="L372">
        <v>8</v>
      </c>
      <c r="M372" t="s">
        <v>65</v>
      </c>
    </row>
    <row r="373" spans="1:13">
      <c r="A373" t="s">
        <v>699</v>
      </c>
      <c r="B373" t="s">
        <v>124</v>
      </c>
      <c r="C373" t="s">
        <v>122</v>
      </c>
      <c r="D373" t="s">
        <v>109</v>
      </c>
      <c r="E373" t="s">
        <v>52</v>
      </c>
      <c r="F373" t="s">
        <v>100</v>
      </c>
      <c r="G373" t="s">
        <v>104</v>
      </c>
      <c r="H373" t="s">
        <v>36</v>
      </c>
      <c r="I373">
        <v>7144</v>
      </c>
      <c r="J373">
        <v>8</v>
      </c>
      <c r="K373">
        <v>3.8</v>
      </c>
      <c r="L373">
        <v>5</v>
      </c>
      <c r="M373" t="s">
        <v>126</v>
      </c>
    </row>
    <row r="374" spans="1:13">
      <c r="A374" t="s">
        <v>700</v>
      </c>
      <c r="B374" t="s">
        <v>308</v>
      </c>
      <c r="C374" t="s">
        <v>112</v>
      </c>
      <c r="D374" t="s">
        <v>97</v>
      </c>
      <c r="E374" t="s">
        <v>35</v>
      </c>
      <c r="F374" t="s">
        <v>27</v>
      </c>
      <c r="G374" t="s">
        <v>19</v>
      </c>
      <c r="H374" t="s">
        <v>64</v>
      </c>
      <c r="I374">
        <v>236490</v>
      </c>
      <c r="J374">
        <v>5</v>
      </c>
      <c r="K374">
        <v>3.4</v>
      </c>
      <c r="L374">
        <v>7</v>
      </c>
      <c r="M374" t="s">
        <v>144</v>
      </c>
    </row>
    <row r="375" spans="1:13">
      <c r="A375" t="s">
        <v>701</v>
      </c>
      <c r="B375" t="s">
        <v>702</v>
      </c>
      <c r="C375" t="s">
        <v>58</v>
      </c>
      <c r="D375" t="s">
        <v>63</v>
      </c>
      <c r="E375" t="s">
        <v>52</v>
      </c>
      <c r="F375" t="s">
        <v>100</v>
      </c>
      <c r="G375" t="s">
        <v>19</v>
      </c>
      <c r="H375" t="s">
        <v>20</v>
      </c>
      <c r="I375">
        <v>7990</v>
      </c>
      <c r="J375">
        <v>5</v>
      </c>
      <c r="K375">
        <v>3.6</v>
      </c>
      <c r="L375">
        <v>3</v>
      </c>
      <c r="M375" t="s">
        <v>47</v>
      </c>
    </row>
    <row r="376" spans="1:13">
      <c r="A376" t="s">
        <v>703</v>
      </c>
      <c r="B376" t="s">
        <v>363</v>
      </c>
      <c r="C376" t="s">
        <v>24</v>
      </c>
      <c r="D376" t="s">
        <v>165</v>
      </c>
      <c r="E376" t="s">
        <v>35</v>
      </c>
      <c r="F376" t="s">
        <v>53</v>
      </c>
      <c r="G376" t="s">
        <v>19</v>
      </c>
      <c r="H376" t="s">
        <v>36</v>
      </c>
      <c r="I376">
        <v>308798</v>
      </c>
      <c r="J376">
        <v>7</v>
      </c>
      <c r="K376">
        <v>4.2</v>
      </c>
      <c r="L376">
        <v>2</v>
      </c>
      <c r="M376" t="s">
        <v>80</v>
      </c>
    </row>
    <row r="377" spans="1:13">
      <c r="A377" t="s">
        <v>704</v>
      </c>
      <c r="B377" t="s">
        <v>705</v>
      </c>
      <c r="C377" t="s">
        <v>45</v>
      </c>
      <c r="D377" t="s">
        <v>97</v>
      </c>
      <c r="E377" t="s">
        <v>35</v>
      </c>
      <c r="F377" t="s">
        <v>100</v>
      </c>
      <c r="G377" t="s">
        <v>104</v>
      </c>
      <c r="H377" t="s">
        <v>20</v>
      </c>
      <c r="I377">
        <v>112085</v>
      </c>
      <c r="J377">
        <v>5</v>
      </c>
      <c r="K377">
        <v>3.4</v>
      </c>
      <c r="L377">
        <v>1</v>
      </c>
      <c r="M377" t="s">
        <v>55</v>
      </c>
    </row>
    <row r="378" spans="1:13">
      <c r="A378" t="s">
        <v>706</v>
      </c>
      <c r="B378" t="s">
        <v>178</v>
      </c>
      <c r="C378" t="s">
        <v>129</v>
      </c>
      <c r="D378" t="s">
        <v>79</v>
      </c>
      <c r="E378" t="s">
        <v>26</v>
      </c>
      <c r="F378" t="s">
        <v>83</v>
      </c>
      <c r="G378" t="s">
        <v>28</v>
      </c>
      <c r="H378" t="s">
        <v>64</v>
      </c>
      <c r="I378">
        <v>9030</v>
      </c>
      <c r="J378">
        <v>1</v>
      </c>
      <c r="K378">
        <v>4.7</v>
      </c>
      <c r="L378">
        <v>8</v>
      </c>
      <c r="M378" t="s">
        <v>37</v>
      </c>
    </row>
    <row r="379" spans="1:13">
      <c r="A379" t="s">
        <v>707</v>
      </c>
      <c r="B379" t="s">
        <v>708</v>
      </c>
      <c r="C379" t="s">
        <v>179</v>
      </c>
      <c r="D379" t="s">
        <v>159</v>
      </c>
      <c r="E379" t="s">
        <v>42</v>
      </c>
      <c r="F379" t="s">
        <v>83</v>
      </c>
      <c r="G379" t="s">
        <v>54</v>
      </c>
      <c r="H379" t="s">
        <v>20</v>
      </c>
      <c r="I379">
        <v>3288</v>
      </c>
      <c r="J379">
        <v>4</v>
      </c>
      <c r="K379">
        <v>4.9000000000000004</v>
      </c>
      <c r="L379">
        <v>4</v>
      </c>
      <c r="M379" t="s">
        <v>80</v>
      </c>
    </row>
    <row r="380" spans="1:13">
      <c r="A380" t="s">
        <v>709</v>
      </c>
      <c r="B380" t="s">
        <v>523</v>
      </c>
      <c r="C380" t="s">
        <v>170</v>
      </c>
      <c r="D380" t="s">
        <v>90</v>
      </c>
      <c r="E380" t="s">
        <v>42</v>
      </c>
      <c r="F380" t="s">
        <v>60</v>
      </c>
      <c r="G380" t="s">
        <v>54</v>
      </c>
      <c r="H380" t="s">
        <v>36</v>
      </c>
      <c r="I380">
        <v>24096</v>
      </c>
      <c r="J380">
        <v>6</v>
      </c>
      <c r="K380">
        <v>4.3</v>
      </c>
      <c r="L380">
        <v>7</v>
      </c>
      <c r="M380" t="s">
        <v>119</v>
      </c>
    </row>
    <row r="381" spans="1:13">
      <c r="A381" t="s">
        <v>710</v>
      </c>
      <c r="B381" t="s">
        <v>666</v>
      </c>
      <c r="C381" t="s">
        <v>179</v>
      </c>
      <c r="D381" t="s">
        <v>90</v>
      </c>
      <c r="E381" t="s">
        <v>42</v>
      </c>
      <c r="F381" t="s">
        <v>53</v>
      </c>
      <c r="G381" t="s">
        <v>28</v>
      </c>
      <c r="H381" t="s">
        <v>64</v>
      </c>
      <c r="I381">
        <v>4084</v>
      </c>
      <c r="J381">
        <v>4</v>
      </c>
      <c r="K381">
        <v>3.9</v>
      </c>
      <c r="L381">
        <v>1</v>
      </c>
      <c r="M381" t="s">
        <v>144</v>
      </c>
    </row>
    <row r="382" spans="1:13">
      <c r="A382" t="s">
        <v>711</v>
      </c>
      <c r="B382" t="s">
        <v>158</v>
      </c>
      <c r="C382" t="s">
        <v>146</v>
      </c>
      <c r="D382" t="s">
        <v>130</v>
      </c>
      <c r="E382" t="s">
        <v>35</v>
      </c>
      <c r="F382" t="s">
        <v>18</v>
      </c>
      <c r="G382" t="s">
        <v>54</v>
      </c>
      <c r="H382" t="s">
        <v>20</v>
      </c>
      <c r="I382">
        <v>248592</v>
      </c>
      <c r="J382">
        <v>3</v>
      </c>
      <c r="K382">
        <v>4.8</v>
      </c>
      <c r="L382">
        <v>8</v>
      </c>
      <c r="M382" t="s">
        <v>47</v>
      </c>
    </row>
    <row r="383" spans="1:13">
      <c r="A383" t="s">
        <v>712</v>
      </c>
      <c r="B383" t="s">
        <v>713</v>
      </c>
      <c r="C383" t="s">
        <v>146</v>
      </c>
      <c r="D383" t="s">
        <v>79</v>
      </c>
      <c r="E383" t="s">
        <v>26</v>
      </c>
      <c r="F383" t="s">
        <v>18</v>
      </c>
      <c r="G383" t="s">
        <v>104</v>
      </c>
      <c r="H383" t="s">
        <v>29</v>
      </c>
      <c r="I383">
        <v>57631</v>
      </c>
      <c r="J383">
        <v>7</v>
      </c>
      <c r="K383">
        <v>4.3</v>
      </c>
      <c r="L383">
        <v>4</v>
      </c>
      <c r="M383" t="s">
        <v>55</v>
      </c>
    </row>
    <row r="384" spans="1:13">
      <c r="A384" t="s">
        <v>714</v>
      </c>
      <c r="B384" t="s">
        <v>359</v>
      </c>
      <c r="C384" t="s">
        <v>50</v>
      </c>
      <c r="D384" t="s">
        <v>147</v>
      </c>
      <c r="E384" t="s">
        <v>52</v>
      </c>
      <c r="F384" t="s">
        <v>100</v>
      </c>
      <c r="G384" t="s">
        <v>28</v>
      </c>
      <c r="H384" t="s">
        <v>36</v>
      </c>
      <c r="I384">
        <v>4180</v>
      </c>
      <c r="J384">
        <v>2</v>
      </c>
      <c r="K384">
        <v>4.5</v>
      </c>
      <c r="L384">
        <v>3</v>
      </c>
      <c r="M384" t="s">
        <v>87</v>
      </c>
    </row>
    <row r="385" spans="1:13">
      <c r="A385" t="s">
        <v>715</v>
      </c>
      <c r="B385" t="s">
        <v>716</v>
      </c>
      <c r="C385" t="s">
        <v>40</v>
      </c>
      <c r="D385" t="s">
        <v>109</v>
      </c>
      <c r="E385" t="s">
        <v>52</v>
      </c>
      <c r="F385" t="s">
        <v>27</v>
      </c>
      <c r="G385" t="s">
        <v>19</v>
      </c>
      <c r="H385" t="s">
        <v>36</v>
      </c>
      <c r="I385">
        <v>2526</v>
      </c>
      <c r="J385">
        <v>3</v>
      </c>
      <c r="K385">
        <v>3.8</v>
      </c>
      <c r="L385">
        <v>8</v>
      </c>
      <c r="M385" t="s">
        <v>30</v>
      </c>
    </row>
    <row r="386" spans="1:13">
      <c r="A386" t="s">
        <v>717</v>
      </c>
      <c r="B386" t="s">
        <v>361</v>
      </c>
      <c r="C386" t="s">
        <v>122</v>
      </c>
      <c r="D386" t="s">
        <v>63</v>
      </c>
      <c r="E386" t="s">
        <v>52</v>
      </c>
      <c r="F386" t="s">
        <v>83</v>
      </c>
      <c r="G386" t="s">
        <v>28</v>
      </c>
      <c r="H386" t="s">
        <v>64</v>
      </c>
      <c r="I386">
        <v>10640</v>
      </c>
      <c r="J386">
        <v>5</v>
      </c>
      <c r="K386">
        <v>4.7</v>
      </c>
      <c r="L386">
        <v>8</v>
      </c>
      <c r="M386" t="s">
        <v>144</v>
      </c>
    </row>
    <row r="387" spans="1:13">
      <c r="A387" t="s">
        <v>718</v>
      </c>
      <c r="B387" t="s">
        <v>290</v>
      </c>
      <c r="C387" t="s">
        <v>33</v>
      </c>
      <c r="D387" t="s">
        <v>90</v>
      </c>
      <c r="E387" t="s">
        <v>42</v>
      </c>
      <c r="F387" t="s">
        <v>83</v>
      </c>
      <c r="G387" t="s">
        <v>19</v>
      </c>
      <c r="H387" t="s">
        <v>36</v>
      </c>
      <c r="I387">
        <v>5777</v>
      </c>
      <c r="J387">
        <v>1</v>
      </c>
      <c r="K387">
        <v>4.2</v>
      </c>
      <c r="L387">
        <v>4</v>
      </c>
      <c r="M387" t="s">
        <v>87</v>
      </c>
    </row>
    <row r="388" spans="1:13">
      <c r="A388" t="s">
        <v>719</v>
      </c>
      <c r="B388" t="s">
        <v>404</v>
      </c>
      <c r="C388" t="s">
        <v>24</v>
      </c>
      <c r="D388" t="s">
        <v>113</v>
      </c>
      <c r="E388" t="s">
        <v>35</v>
      </c>
      <c r="F388" t="s">
        <v>27</v>
      </c>
      <c r="G388" t="s">
        <v>104</v>
      </c>
      <c r="H388" t="s">
        <v>20</v>
      </c>
      <c r="I388">
        <v>45899</v>
      </c>
      <c r="J388">
        <v>1</v>
      </c>
      <c r="K388">
        <v>3.4</v>
      </c>
      <c r="L388">
        <v>3</v>
      </c>
      <c r="M388" t="s">
        <v>80</v>
      </c>
    </row>
    <row r="389" spans="1:13">
      <c r="A389" t="s">
        <v>720</v>
      </c>
      <c r="B389" t="s">
        <v>603</v>
      </c>
      <c r="C389" t="s">
        <v>40</v>
      </c>
      <c r="D389" t="s">
        <v>46</v>
      </c>
      <c r="E389" t="s">
        <v>42</v>
      </c>
      <c r="F389" t="s">
        <v>60</v>
      </c>
      <c r="G389" t="s">
        <v>19</v>
      </c>
      <c r="H389" t="s">
        <v>36</v>
      </c>
      <c r="I389">
        <v>7608</v>
      </c>
      <c r="J389">
        <v>2</v>
      </c>
      <c r="K389">
        <v>4.5999999999999996</v>
      </c>
      <c r="L389">
        <v>2</v>
      </c>
      <c r="M389" t="s">
        <v>144</v>
      </c>
    </row>
    <row r="390" spans="1:13">
      <c r="A390" t="s">
        <v>721</v>
      </c>
      <c r="B390" t="s">
        <v>722</v>
      </c>
      <c r="C390" t="s">
        <v>125</v>
      </c>
      <c r="D390" t="s">
        <v>130</v>
      </c>
      <c r="E390" t="s">
        <v>35</v>
      </c>
      <c r="F390" t="s">
        <v>27</v>
      </c>
      <c r="G390" t="s">
        <v>104</v>
      </c>
      <c r="H390" t="s">
        <v>64</v>
      </c>
      <c r="I390">
        <v>209300</v>
      </c>
      <c r="J390">
        <v>7</v>
      </c>
      <c r="K390">
        <v>3.4</v>
      </c>
      <c r="L390">
        <v>2</v>
      </c>
      <c r="M390" t="s">
        <v>65</v>
      </c>
    </row>
    <row r="391" spans="1:13">
      <c r="A391" t="s">
        <v>723</v>
      </c>
      <c r="B391" t="s">
        <v>533</v>
      </c>
      <c r="C391" t="s">
        <v>45</v>
      </c>
      <c r="D391" t="s">
        <v>59</v>
      </c>
      <c r="E391" t="s">
        <v>26</v>
      </c>
      <c r="F391" t="s">
        <v>83</v>
      </c>
      <c r="G391" t="s">
        <v>104</v>
      </c>
      <c r="H391" t="s">
        <v>20</v>
      </c>
      <c r="I391">
        <v>53724</v>
      </c>
      <c r="J391">
        <v>6</v>
      </c>
      <c r="K391">
        <v>4.0999999999999996</v>
      </c>
      <c r="L391">
        <v>3</v>
      </c>
      <c r="M391" t="s">
        <v>21</v>
      </c>
    </row>
    <row r="392" spans="1:13">
      <c r="A392" t="s">
        <v>724</v>
      </c>
      <c r="B392" t="s">
        <v>143</v>
      </c>
      <c r="C392" t="s">
        <v>129</v>
      </c>
      <c r="D392" t="s">
        <v>16</v>
      </c>
      <c r="E392" t="s">
        <v>17</v>
      </c>
      <c r="F392" t="s">
        <v>100</v>
      </c>
      <c r="G392" t="s">
        <v>19</v>
      </c>
      <c r="H392" t="s">
        <v>36</v>
      </c>
      <c r="I392">
        <v>12640</v>
      </c>
      <c r="J392">
        <v>8</v>
      </c>
      <c r="K392">
        <v>3.9</v>
      </c>
      <c r="L392">
        <v>6</v>
      </c>
      <c r="M392" t="s">
        <v>144</v>
      </c>
    </row>
    <row r="393" spans="1:13">
      <c r="A393" t="s">
        <v>725</v>
      </c>
      <c r="B393" t="s">
        <v>135</v>
      </c>
      <c r="C393" t="s">
        <v>170</v>
      </c>
      <c r="D393" t="s">
        <v>109</v>
      </c>
      <c r="E393" t="s">
        <v>52</v>
      </c>
      <c r="F393" t="s">
        <v>53</v>
      </c>
      <c r="G393" t="s">
        <v>28</v>
      </c>
      <c r="H393" t="s">
        <v>36</v>
      </c>
      <c r="I393">
        <v>2958</v>
      </c>
      <c r="J393">
        <v>2</v>
      </c>
      <c r="K393">
        <v>4.5999999999999996</v>
      </c>
      <c r="L393">
        <v>2</v>
      </c>
      <c r="M393" t="s">
        <v>21</v>
      </c>
    </row>
    <row r="394" spans="1:13">
      <c r="A394" t="s">
        <v>726</v>
      </c>
      <c r="B394" t="s">
        <v>727</v>
      </c>
      <c r="C394" t="s">
        <v>146</v>
      </c>
      <c r="D394" t="s">
        <v>63</v>
      </c>
      <c r="E394" t="s">
        <v>52</v>
      </c>
      <c r="F394" t="s">
        <v>100</v>
      </c>
      <c r="G394" t="s">
        <v>104</v>
      </c>
      <c r="H394" t="s">
        <v>64</v>
      </c>
      <c r="I394">
        <v>13272</v>
      </c>
      <c r="J394">
        <v>6</v>
      </c>
      <c r="K394">
        <v>3.4</v>
      </c>
      <c r="L394">
        <v>3</v>
      </c>
      <c r="M394" t="s">
        <v>126</v>
      </c>
    </row>
    <row r="395" spans="1:13">
      <c r="A395" t="s">
        <v>728</v>
      </c>
      <c r="B395" t="s">
        <v>729</v>
      </c>
      <c r="C395" t="s">
        <v>129</v>
      </c>
      <c r="D395" t="s">
        <v>41</v>
      </c>
      <c r="E395" t="s">
        <v>42</v>
      </c>
      <c r="F395" t="s">
        <v>18</v>
      </c>
      <c r="G395" t="s">
        <v>19</v>
      </c>
      <c r="H395" t="s">
        <v>29</v>
      </c>
      <c r="I395">
        <v>25445</v>
      </c>
      <c r="J395">
        <v>5</v>
      </c>
      <c r="K395">
        <v>3.6</v>
      </c>
      <c r="L395">
        <v>6</v>
      </c>
      <c r="M395" t="s">
        <v>65</v>
      </c>
    </row>
    <row r="396" spans="1:13">
      <c r="A396" t="s">
        <v>730</v>
      </c>
      <c r="B396" t="s">
        <v>731</v>
      </c>
      <c r="C396" t="s">
        <v>170</v>
      </c>
      <c r="D396" t="s">
        <v>218</v>
      </c>
      <c r="E396" t="s">
        <v>17</v>
      </c>
      <c r="F396" t="s">
        <v>27</v>
      </c>
      <c r="G396" t="s">
        <v>54</v>
      </c>
      <c r="H396" t="s">
        <v>29</v>
      </c>
      <c r="I396">
        <v>4407</v>
      </c>
      <c r="J396">
        <v>3</v>
      </c>
      <c r="K396">
        <v>4.8</v>
      </c>
      <c r="L396">
        <v>5</v>
      </c>
      <c r="M396" t="s">
        <v>55</v>
      </c>
    </row>
    <row r="397" spans="1:13">
      <c r="A397" t="s">
        <v>732</v>
      </c>
      <c r="B397" t="s">
        <v>220</v>
      </c>
      <c r="C397" t="s">
        <v>129</v>
      </c>
      <c r="D397" t="s">
        <v>41</v>
      </c>
      <c r="E397" t="s">
        <v>42</v>
      </c>
      <c r="F397" t="s">
        <v>18</v>
      </c>
      <c r="G397" t="s">
        <v>19</v>
      </c>
      <c r="H397" t="s">
        <v>36</v>
      </c>
      <c r="I397">
        <v>9880</v>
      </c>
      <c r="J397">
        <v>4</v>
      </c>
      <c r="K397">
        <v>3.7</v>
      </c>
      <c r="L397">
        <v>2</v>
      </c>
      <c r="M397" t="s">
        <v>65</v>
      </c>
    </row>
    <row r="398" spans="1:13">
      <c r="A398" t="s">
        <v>733</v>
      </c>
      <c r="B398" t="s">
        <v>734</v>
      </c>
      <c r="C398" t="s">
        <v>68</v>
      </c>
      <c r="D398" t="s">
        <v>41</v>
      </c>
      <c r="E398" t="s">
        <v>42</v>
      </c>
      <c r="F398" t="s">
        <v>100</v>
      </c>
      <c r="G398" t="s">
        <v>19</v>
      </c>
      <c r="H398" t="s">
        <v>20</v>
      </c>
      <c r="I398">
        <v>14967</v>
      </c>
      <c r="J398">
        <v>3</v>
      </c>
      <c r="K398">
        <v>4.5999999999999996</v>
      </c>
      <c r="L398">
        <v>3</v>
      </c>
      <c r="M398" t="s">
        <v>65</v>
      </c>
    </row>
    <row r="399" spans="1:13">
      <c r="A399" t="s">
        <v>735</v>
      </c>
      <c r="B399" t="s">
        <v>454</v>
      </c>
      <c r="C399" t="s">
        <v>68</v>
      </c>
      <c r="D399" t="s">
        <v>116</v>
      </c>
      <c r="E399" t="s">
        <v>17</v>
      </c>
      <c r="F399" t="s">
        <v>100</v>
      </c>
      <c r="G399" t="s">
        <v>104</v>
      </c>
      <c r="H399" t="s">
        <v>36</v>
      </c>
      <c r="I399">
        <v>616</v>
      </c>
      <c r="J399">
        <v>2</v>
      </c>
      <c r="K399">
        <v>3.8</v>
      </c>
      <c r="L399">
        <v>1</v>
      </c>
      <c r="M399" t="s">
        <v>55</v>
      </c>
    </row>
    <row r="400" spans="1:13">
      <c r="A400" t="s">
        <v>736</v>
      </c>
      <c r="B400" t="s">
        <v>737</v>
      </c>
      <c r="C400" t="s">
        <v>68</v>
      </c>
      <c r="D400" t="s">
        <v>59</v>
      </c>
      <c r="E400" t="s">
        <v>26</v>
      </c>
      <c r="F400" t="s">
        <v>53</v>
      </c>
      <c r="G400" t="s">
        <v>19</v>
      </c>
      <c r="H400" t="s">
        <v>20</v>
      </c>
      <c r="I400">
        <v>21328</v>
      </c>
      <c r="J400">
        <v>4</v>
      </c>
      <c r="K400">
        <v>4.2</v>
      </c>
      <c r="L400">
        <v>8</v>
      </c>
      <c r="M400" t="s">
        <v>192</v>
      </c>
    </row>
    <row r="401" spans="1:13">
      <c r="A401" t="s">
        <v>738</v>
      </c>
      <c r="B401" t="s">
        <v>739</v>
      </c>
      <c r="C401" t="s">
        <v>58</v>
      </c>
      <c r="D401" t="s">
        <v>113</v>
      </c>
      <c r="E401" t="s">
        <v>35</v>
      </c>
      <c r="F401" t="s">
        <v>83</v>
      </c>
      <c r="G401" t="s">
        <v>19</v>
      </c>
      <c r="H401" t="s">
        <v>36</v>
      </c>
      <c r="I401">
        <v>96832</v>
      </c>
      <c r="J401">
        <v>2</v>
      </c>
      <c r="K401">
        <v>3.7</v>
      </c>
      <c r="L401">
        <v>5</v>
      </c>
      <c r="M401" t="s">
        <v>144</v>
      </c>
    </row>
    <row r="402" spans="1:13">
      <c r="A402" t="s">
        <v>740</v>
      </c>
      <c r="B402" t="s">
        <v>624</v>
      </c>
      <c r="C402" t="s">
        <v>33</v>
      </c>
      <c r="D402" t="s">
        <v>165</v>
      </c>
      <c r="E402" t="s">
        <v>35</v>
      </c>
      <c r="F402" t="s">
        <v>18</v>
      </c>
      <c r="G402" t="s">
        <v>28</v>
      </c>
      <c r="H402" t="s">
        <v>64</v>
      </c>
      <c r="I402">
        <v>50400</v>
      </c>
      <c r="J402">
        <v>8</v>
      </c>
      <c r="K402">
        <v>3.3</v>
      </c>
      <c r="L402">
        <v>7</v>
      </c>
      <c r="M402" t="s">
        <v>126</v>
      </c>
    </row>
    <row r="403" spans="1:13">
      <c r="A403" t="s">
        <v>741</v>
      </c>
      <c r="B403" t="s">
        <v>595</v>
      </c>
      <c r="C403" t="s">
        <v>58</v>
      </c>
      <c r="D403" t="s">
        <v>51</v>
      </c>
      <c r="E403" t="s">
        <v>52</v>
      </c>
      <c r="F403" t="s">
        <v>83</v>
      </c>
      <c r="G403" t="s">
        <v>54</v>
      </c>
      <c r="H403" t="s">
        <v>64</v>
      </c>
      <c r="I403">
        <v>9666</v>
      </c>
      <c r="J403">
        <v>6</v>
      </c>
      <c r="K403">
        <v>5</v>
      </c>
      <c r="L403">
        <v>8</v>
      </c>
      <c r="M403" t="s">
        <v>192</v>
      </c>
    </row>
    <row r="404" spans="1:13">
      <c r="A404" t="s">
        <v>742</v>
      </c>
      <c r="B404" t="s">
        <v>743</v>
      </c>
      <c r="C404" t="s">
        <v>50</v>
      </c>
      <c r="D404" t="s">
        <v>116</v>
      </c>
      <c r="E404" t="s">
        <v>17</v>
      </c>
      <c r="F404" t="s">
        <v>83</v>
      </c>
      <c r="G404" t="s">
        <v>104</v>
      </c>
      <c r="H404" t="s">
        <v>29</v>
      </c>
      <c r="I404">
        <v>10104</v>
      </c>
      <c r="J404">
        <v>8</v>
      </c>
      <c r="K404">
        <v>3.7</v>
      </c>
      <c r="L404">
        <v>6</v>
      </c>
      <c r="M404" t="s">
        <v>126</v>
      </c>
    </row>
    <row r="405" spans="1:13">
      <c r="A405" t="s">
        <v>744</v>
      </c>
      <c r="B405" t="s">
        <v>308</v>
      </c>
      <c r="C405" t="s">
        <v>129</v>
      </c>
      <c r="D405" t="s">
        <v>90</v>
      </c>
      <c r="E405" t="s">
        <v>42</v>
      </c>
      <c r="F405" t="s">
        <v>100</v>
      </c>
      <c r="G405" t="s">
        <v>19</v>
      </c>
      <c r="H405" t="s">
        <v>36</v>
      </c>
      <c r="I405">
        <v>9242</v>
      </c>
      <c r="J405">
        <v>2</v>
      </c>
      <c r="K405">
        <v>4.7</v>
      </c>
      <c r="L405">
        <v>5</v>
      </c>
      <c r="M405" t="s">
        <v>144</v>
      </c>
    </row>
    <row r="406" spans="1:13">
      <c r="A406" t="s">
        <v>745</v>
      </c>
      <c r="B406" t="s">
        <v>681</v>
      </c>
      <c r="C406" t="s">
        <v>78</v>
      </c>
      <c r="D406" t="s">
        <v>41</v>
      </c>
      <c r="E406" t="s">
        <v>42</v>
      </c>
      <c r="F406" t="s">
        <v>83</v>
      </c>
      <c r="G406" t="s">
        <v>28</v>
      </c>
      <c r="H406" t="s">
        <v>64</v>
      </c>
      <c r="I406">
        <v>7966</v>
      </c>
      <c r="J406">
        <v>2</v>
      </c>
      <c r="K406">
        <v>3.9</v>
      </c>
      <c r="L406">
        <v>4</v>
      </c>
      <c r="M406" t="s">
        <v>126</v>
      </c>
    </row>
    <row r="407" spans="1:13">
      <c r="A407" t="s">
        <v>746</v>
      </c>
      <c r="B407" t="s">
        <v>475</v>
      </c>
      <c r="C407" t="s">
        <v>58</v>
      </c>
      <c r="D407" t="s">
        <v>218</v>
      </c>
      <c r="E407" t="s">
        <v>17</v>
      </c>
      <c r="F407" t="s">
        <v>60</v>
      </c>
      <c r="G407" t="s">
        <v>54</v>
      </c>
      <c r="H407" t="s">
        <v>64</v>
      </c>
      <c r="I407">
        <v>8337</v>
      </c>
      <c r="J407">
        <v>7</v>
      </c>
      <c r="K407">
        <v>4.4000000000000004</v>
      </c>
      <c r="L407">
        <v>2</v>
      </c>
      <c r="M407" t="s">
        <v>37</v>
      </c>
    </row>
    <row r="408" spans="1:13">
      <c r="A408" t="s">
        <v>747</v>
      </c>
      <c r="B408" t="s">
        <v>564</v>
      </c>
      <c r="C408" t="s">
        <v>170</v>
      </c>
      <c r="D408" t="s">
        <v>165</v>
      </c>
      <c r="E408" t="s">
        <v>35</v>
      </c>
      <c r="F408" t="s">
        <v>60</v>
      </c>
      <c r="G408" t="s">
        <v>54</v>
      </c>
      <c r="H408" t="s">
        <v>36</v>
      </c>
      <c r="I408">
        <v>445504</v>
      </c>
      <c r="J408">
        <v>8</v>
      </c>
      <c r="K408">
        <v>3.4</v>
      </c>
      <c r="L408">
        <v>7</v>
      </c>
      <c r="M408" t="s">
        <v>87</v>
      </c>
    </row>
    <row r="409" spans="1:13">
      <c r="A409" t="s">
        <v>748</v>
      </c>
      <c r="B409" t="s">
        <v>640</v>
      </c>
      <c r="C409" t="s">
        <v>179</v>
      </c>
      <c r="D409" t="s">
        <v>63</v>
      </c>
      <c r="E409" t="s">
        <v>52</v>
      </c>
      <c r="F409" t="s">
        <v>83</v>
      </c>
      <c r="G409" t="s">
        <v>104</v>
      </c>
      <c r="H409" t="s">
        <v>29</v>
      </c>
      <c r="I409">
        <v>861</v>
      </c>
      <c r="J409">
        <v>1</v>
      </c>
      <c r="K409">
        <v>3.9</v>
      </c>
      <c r="L409">
        <v>8</v>
      </c>
      <c r="M409" t="s">
        <v>30</v>
      </c>
    </row>
    <row r="410" spans="1:13">
      <c r="A410" t="s">
        <v>749</v>
      </c>
      <c r="B410" t="s">
        <v>391</v>
      </c>
      <c r="C410" t="s">
        <v>33</v>
      </c>
      <c r="D410" t="s">
        <v>59</v>
      </c>
      <c r="E410" t="s">
        <v>26</v>
      </c>
      <c r="F410" t="s">
        <v>53</v>
      </c>
      <c r="G410" t="s">
        <v>54</v>
      </c>
      <c r="H410" t="s">
        <v>36</v>
      </c>
      <c r="I410">
        <v>44532</v>
      </c>
      <c r="J410">
        <v>6</v>
      </c>
      <c r="K410">
        <v>4.7</v>
      </c>
      <c r="L410">
        <v>5</v>
      </c>
      <c r="M410" t="s">
        <v>47</v>
      </c>
    </row>
    <row r="411" spans="1:13">
      <c r="A411" t="s">
        <v>750</v>
      </c>
      <c r="B411" t="s">
        <v>675</v>
      </c>
      <c r="C411" t="s">
        <v>50</v>
      </c>
      <c r="D411" t="s">
        <v>59</v>
      </c>
      <c r="E411" t="s">
        <v>26</v>
      </c>
      <c r="F411" t="s">
        <v>60</v>
      </c>
      <c r="G411" t="s">
        <v>28</v>
      </c>
      <c r="H411" t="s">
        <v>20</v>
      </c>
      <c r="I411">
        <v>36295</v>
      </c>
      <c r="J411">
        <v>5</v>
      </c>
      <c r="K411">
        <v>4.3</v>
      </c>
      <c r="L411">
        <v>7</v>
      </c>
      <c r="M411" t="s">
        <v>87</v>
      </c>
    </row>
    <row r="412" spans="1:13">
      <c r="A412" t="s">
        <v>751</v>
      </c>
      <c r="B412" t="s">
        <v>752</v>
      </c>
      <c r="C412" t="s">
        <v>72</v>
      </c>
      <c r="D412" t="s">
        <v>51</v>
      </c>
      <c r="E412" t="s">
        <v>52</v>
      </c>
      <c r="F412" t="s">
        <v>18</v>
      </c>
      <c r="G412" t="s">
        <v>54</v>
      </c>
      <c r="H412" t="s">
        <v>36</v>
      </c>
      <c r="I412">
        <v>7300</v>
      </c>
      <c r="J412">
        <v>4</v>
      </c>
      <c r="K412">
        <v>3.7</v>
      </c>
      <c r="L412">
        <v>3</v>
      </c>
      <c r="M412" t="s">
        <v>80</v>
      </c>
    </row>
    <row r="413" spans="1:13">
      <c r="A413" t="s">
        <v>753</v>
      </c>
      <c r="B413" t="s">
        <v>275</v>
      </c>
      <c r="C413" t="s">
        <v>45</v>
      </c>
      <c r="D413" t="s">
        <v>51</v>
      </c>
      <c r="E413" t="s">
        <v>52</v>
      </c>
      <c r="F413" t="s">
        <v>83</v>
      </c>
      <c r="G413" t="s">
        <v>28</v>
      </c>
      <c r="H413" t="s">
        <v>64</v>
      </c>
      <c r="I413">
        <v>4172</v>
      </c>
      <c r="J413">
        <v>7</v>
      </c>
      <c r="K413">
        <v>4.7</v>
      </c>
      <c r="L413">
        <v>7</v>
      </c>
      <c r="M413" t="s">
        <v>119</v>
      </c>
    </row>
    <row r="414" spans="1:13">
      <c r="A414" t="s">
        <v>754</v>
      </c>
      <c r="B414" t="s">
        <v>352</v>
      </c>
      <c r="C414" t="s">
        <v>112</v>
      </c>
      <c r="D414" t="s">
        <v>69</v>
      </c>
      <c r="E414" t="s">
        <v>26</v>
      </c>
      <c r="F414" t="s">
        <v>53</v>
      </c>
      <c r="G414" t="s">
        <v>28</v>
      </c>
      <c r="H414" t="s">
        <v>29</v>
      </c>
      <c r="I414">
        <v>5526</v>
      </c>
      <c r="J414">
        <v>6</v>
      </c>
      <c r="K414">
        <v>4.2</v>
      </c>
      <c r="L414">
        <v>4</v>
      </c>
      <c r="M414" t="s">
        <v>55</v>
      </c>
    </row>
    <row r="415" spans="1:13">
      <c r="A415" t="s">
        <v>755</v>
      </c>
      <c r="B415" t="s">
        <v>756</v>
      </c>
      <c r="C415" t="s">
        <v>72</v>
      </c>
      <c r="D415" t="s">
        <v>16</v>
      </c>
      <c r="E415" t="s">
        <v>17</v>
      </c>
      <c r="F415" t="s">
        <v>27</v>
      </c>
      <c r="G415" t="s">
        <v>104</v>
      </c>
      <c r="H415" t="s">
        <v>64</v>
      </c>
      <c r="I415">
        <v>13944</v>
      </c>
      <c r="J415">
        <v>8</v>
      </c>
      <c r="K415">
        <v>4.9000000000000004</v>
      </c>
      <c r="L415">
        <v>2</v>
      </c>
      <c r="M415" t="s">
        <v>30</v>
      </c>
    </row>
    <row r="416" spans="1:13">
      <c r="A416" t="s">
        <v>757</v>
      </c>
      <c r="B416" t="s">
        <v>169</v>
      </c>
      <c r="C416" t="s">
        <v>45</v>
      </c>
      <c r="D416" t="s">
        <v>25</v>
      </c>
      <c r="E416" t="s">
        <v>26</v>
      </c>
      <c r="F416" t="s">
        <v>18</v>
      </c>
      <c r="G416" t="s">
        <v>104</v>
      </c>
      <c r="H416" t="s">
        <v>36</v>
      </c>
      <c r="I416">
        <v>19268</v>
      </c>
      <c r="J416">
        <v>2</v>
      </c>
      <c r="K416">
        <v>4.5999999999999996</v>
      </c>
      <c r="L416">
        <v>5</v>
      </c>
      <c r="M416" t="s">
        <v>65</v>
      </c>
    </row>
    <row r="417" spans="1:13">
      <c r="A417" t="s">
        <v>758</v>
      </c>
      <c r="B417" t="s">
        <v>525</v>
      </c>
      <c r="C417" t="s">
        <v>45</v>
      </c>
      <c r="D417" t="s">
        <v>90</v>
      </c>
      <c r="E417" t="s">
        <v>42</v>
      </c>
      <c r="F417" t="s">
        <v>27</v>
      </c>
      <c r="G417" t="s">
        <v>104</v>
      </c>
      <c r="H417" t="s">
        <v>29</v>
      </c>
      <c r="I417">
        <v>28728</v>
      </c>
      <c r="J417">
        <v>8</v>
      </c>
      <c r="K417">
        <v>3.7</v>
      </c>
      <c r="L417">
        <v>1</v>
      </c>
      <c r="M417" t="s">
        <v>65</v>
      </c>
    </row>
    <row r="418" spans="1:13">
      <c r="A418" t="s">
        <v>759</v>
      </c>
      <c r="B418" t="s">
        <v>760</v>
      </c>
      <c r="C418" t="s">
        <v>72</v>
      </c>
      <c r="D418" t="s">
        <v>116</v>
      </c>
      <c r="E418" t="s">
        <v>17</v>
      </c>
      <c r="F418" t="s">
        <v>100</v>
      </c>
      <c r="G418" t="s">
        <v>54</v>
      </c>
      <c r="H418" t="s">
        <v>29</v>
      </c>
      <c r="I418">
        <v>4419</v>
      </c>
      <c r="J418">
        <v>3</v>
      </c>
      <c r="K418">
        <v>3.7</v>
      </c>
      <c r="L418">
        <v>2</v>
      </c>
      <c r="M418" t="s">
        <v>30</v>
      </c>
    </row>
    <row r="419" spans="1:13">
      <c r="A419" t="s">
        <v>761</v>
      </c>
      <c r="B419" t="s">
        <v>595</v>
      </c>
      <c r="C419" t="s">
        <v>146</v>
      </c>
      <c r="D419" t="s">
        <v>34</v>
      </c>
      <c r="E419" t="s">
        <v>35</v>
      </c>
      <c r="F419" t="s">
        <v>53</v>
      </c>
      <c r="G419" t="s">
        <v>19</v>
      </c>
      <c r="H419" t="s">
        <v>29</v>
      </c>
      <c r="I419">
        <v>21805</v>
      </c>
      <c r="J419">
        <v>5</v>
      </c>
      <c r="K419">
        <v>3.5</v>
      </c>
      <c r="L419">
        <v>3</v>
      </c>
      <c r="M419" t="s">
        <v>192</v>
      </c>
    </row>
    <row r="420" spans="1:13">
      <c r="A420" t="s">
        <v>762</v>
      </c>
      <c r="B420" t="s">
        <v>763</v>
      </c>
      <c r="C420" t="s">
        <v>50</v>
      </c>
      <c r="D420" t="s">
        <v>51</v>
      </c>
      <c r="E420" t="s">
        <v>52</v>
      </c>
      <c r="F420" t="s">
        <v>83</v>
      </c>
      <c r="G420" t="s">
        <v>28</v>
      </c>
      <c r="H420" t="s">
        <v>20</v>
      </c>
      <c r="I420">
        <v>595</v>
      </c>
      <c r="J420">
        <v>1</v>
      </c>
      <c r="K420">
        <v>4.7</v>
      </c>
      <c r="L420">
        <v>7</v>
      </c>
      <c r="M420" t="s">
        <v>37</v>
      </c>
    </row>
    <row r="421" spans="1:13">
      <c r="A421" t="s">
        <v>764</v>
      </c>
      <c r="B421" t="s">
        <v>697</v>
      </c>
      <c r="C421" t="s">
        <v>78</v>
      </c>
      <c r="D421" t="s">
        <v>109</v>
      </c>
      <c r="E421" t="s">
        <v>52</v>
      </c>
      <c r="F421" t="s">
        <v>83</v>
      </c>
      <c r="G421" t="s">
        <v>28</v>
      </c>
      <c r="H421" t="s">
        <v>64</v>
      </c>
      <c r="I421">
        <v>2325</v>
      </c>
      <c r="J421">
        <v>5</v>
      </c>
      <c r="K421">
        <v>4.0999999999999996</v>
      </c>
      <c r="L421">
        <v>8</v>
      </c>
      <c r="M421" t="s">
        <v>144</v>
      </c>
    </row>
    <row r="422" spans="1:13">
      <c r="A422" t="s">
        <v>765</v>
      </c>
      <c r="B422" t="s">
        <v>404</v>
      </c>
      <c r="C422" t="s">
        <v>68</v>
      </c>
      <c r="D422" t="s">
        <v>46</v>
      </c>
      <c r="E422" t="s">
        <v>42</v>
      </c>
      <c r="F422" t="s">
        <v>100</v>
      </c>
      <c r="G422" t="s">
        <v>104</v>
      </c>
      <c r="H422" t="s">
        <v>64</v>
      </c>
      <c r="I422">
        <v>26803</v>
      </c>
      <c r="J422">
        <v>7</v>
      </c>
      <c r="K422">
        <v>3.8</v>
      </c>
      <c r="L422">
        <v>1</v>
      </c>
      <c r="M422" t="s">
        <v>80</v>
      </c>
    </row>
    <row r="423" spans="1:13">
      <c r="A423" t="s">
        <v>766</v>
      </c>
      <c r="B423" t="s">
        <v>462</v>
      </c>
      <c r="C423" t="s">
        <v>58</v>
      </c>
      <c r="D423" t="s">
        <v>59</v>
      </c>
      <c r="E423" t="s">
        <v>26</v>
      </c>
      <c r="F423" t="s">
        <v>83</v>
      </c>
      <c r="G423" t="s">
        <v>104</v>
      </c>
      <c r="H423" t="s">
        <v>20</v>
      </c>
      <c r="I423">
        <v>36040</v>
      </c>
      <c r="J423">
        <v>5</v>
      </c>
      <c r="K423">
        <v>4</v>
      </c>
      <c r="L423">
        <v>4</v>
      </c>
      <c r="M423" t="s">
        <v>126</v>
      </c>
    </row>
    <row r="424" spans="1:13">
      <c r="A424" t="s">
        <v>767</v>
      </c>
      <c r="B424" t="s">
        <v>605</v>
      </c>
      <c r="C424" t="s">
        <v>129</v>
      </c>
      <c r="D424" t="s">
        <v>165</v>
      </c>
      <c r="E424" t="s">
        <v>35</v>
      </c>
      <c r="F424" t="s">
        <v>83</v>
      </c>
      <c r="G424" t="s">
        <v>104</v>
      </c>
      <c r="H424" t="s">
        <v>29</v>
      </c>
      <c r="I424">
        <v>56403</v>
      </c>
      <c r="J424">
        <v>1</v>
      </c>
      <c r="K424">
        <v>3.4</v>
      </c>
      <c r="L424">
        <v>8</v>
      </c>
      <c r="M424" t="s">
        <v>144</v>
      </c>
    </row>
    <row r="425" spans="1:13">
      <c r="A425" t="s">
        <v>768</v>
      </c>
      <c r="B425" t="s">
        <v>143</v>
      </c>
      <c r="C425" t="s">
        <v>75</v>
      </c>
      <c r="D425" t="s">
        <v>147</v>
      </c>
      <c r="E425" t="s">
        <v>52</v>
      </c>
      <c r="F425" t="s">
        <v>100</v>
      </c>
      <c r="G425" t="s">
        <v>19</v>
      </c>
      <c r="H425" t="s">
        <v>64</v>
      </c>
      <c r="I425">
        <v>2276</v>
      </c>
      <c r="J425">
        <v>2</v>
      </c>
      <c r="K425">
        <v>4.5</v>
      </c>
      <c r="L425">
        <v>2</v>
      </c>
      <c r="M425" t="s">
        <v>144</v>
      </c>
    </row>
    <row r="426" spans="1:13">
      <c r="A426" t="s">
        <v>769</v>
      </c>
      <c r="B426" t="s">
        <v>675</v>
      </c>
      <c r="C426" t="s">
        <v>133</v>
      </c>
      <c r="D426" t="s">
        <v>79</v>
      </c>
      <c r="E426" t="s">
        <v>26</v>
      </c>
      <c r="F426" t="s">
        <v>27</v>
      </c>
      <c r="G426" t="s">
        <v>104</v>
      </c>
      <c r="H426" t="s">
        <v>29</v>
      </c>
      <c r="I426">
        <v>33795</v>
      </c>
      <c r="J426">
        <v>3</v>
      </c>
      <c r="K426">
        <v>4</v>
      </c>
      <c r="L426">
        <v>5</v>
      </c>
      <c r="M426" t="s">
        <v>87</v>
      </c>
    </row>
    <row r="427" spans="1:13">
      <c r="A427" t="s">
        <v>770</v>
      </c>
      <c r="B427" t="s">
        <v>115</v>
      </c>
      <c r="C427" t="s">
        <v>24</v>
      </c>
      <c r="D427" t="s">
        <v>147</v>
      </c>
      <c r="E427" t="s">
        <v>52</v>
      </c>
      <c r="F427" t="s">
        <v>60</v>
      </c>
      <c r="G427" t="s">
        <v>54</v>
      </c>
      <c r="H427" t="s">
        <v>64</v>
      </c>
      <c r="I427">
        <v>1841</v>
      </c>
      <c r="J427">
        <v>1</v>
      </c>
      <c r="K427">
        <v>4.9000000000000004</v>
      </c>
      <c r="L427">
        <v>5</v>
      </c>
      <c r="M427" t="s">
        <v>21</v>
      </c>
    </row>
    <row r="428" spans="1:13">
      <c r="A428" t="s">
        <v>771</v>
      </c>
      <c r="B428" t="s">
        <v>393</v>
      </c>
      <c r="C428" t="s">
        <v>146</v>
      </c>
      <c r="D428" t="s">
        <v>51</v>
      </c>
      <c r="E428" t="s">
        <v>52</v>
      </c>
      <c r="F428" t="s">
        <v>27</v>
      </c>
      <c r="G428" t="s">
        <v>104</v>
      </c>
      <c r="H428" t="s">
        <v>36</v>
      </c>
      <c r="I428">
        <v>6712</v>
      </c>
      <c r="J428">
        <v>8</v>
      </c>
      <c r="K428">
        <v>4.3</v>
      </c>
      <c r="L428">
        <v>2</v>
      </c>
      <c r="M428" t="s">
        <v>37</v>
      </c>
    </row>
    <row r="429" spans="1:13">
      <c r="A429" t="s">
        <v>772</v>
      </c>
      <c r="B429" t="s">
        <v>589</v>
      </c>
      <c r="C429" t="s">
        <v>50</v>
      </c>
      <c r="D429" t="s">
        <v>16</v>
      </c>
      <c r="E429" t="s">
        <v>17</v>
      </c>
      <c r="F429" t="s">
        <v>53</v>
      </c>
      <c r="G429" t="s">
        <v>19</v>
      </c>
      <c r="H429" t="s">
        <v>29</v>
      </c>
      <c r="I429">
        <v>6065</v>
      </c>
      <c r="J429">
        <v>5</v>
      </c>
      <c r="K429">
        <v>4.4000000000000004</v>
      </c>
      <c r="L429">
        <v>1</v>
      </c>
      <c r="M429" t="s">
        <v>87</v>
      </c>
    </row>
    <row r="430" spans="1:13">
      <c r="A430" t="s">
        <v>773</v>
      </c>
      <c r="B430" t="s">
        <v>326</v>
      </c>
      <c r="C430" t="s">
        <v>125</v>
      </c>
      <c r="D430" t="s">
        <v>41</v>
      </c>
      <c r="E430" t="s">
        <v>42</v>
      </c>
      <c r="F430" t="s">
        <v>18</v>
      </c>
      <c r="G430" t="s">
        <v>104</v>
      </c>
      <c r="H430" t="s">
        <v>29</v>
      </c>
      <c r="I430">
        <v>10192</v>
      </c>
      <c r="J430">
        <v>8</v>
      </c>
      <c r="K430">
        <v>3.6</v>
      </c>
      <c r="L430">
        <v>7</v>
      </c>
      <c r="M430" t="s">
        <v>65</v>
      </c>
    </row>
    <row r="431" spans="1:13">
      <c r="A431" t="s">
        <v>774</v>
      </c>
      <c r="B431" t="s">
        <v>217</v>
      </c>
      <c r="C431" t="s">
        <v>179</v>
      </c>
      <c r="D431" t="s">
        <v>97</v>
      </c>
      <c r="E431" t="s">
        <v>35</v>
      </c>
      <c r="F431" t="s">
        <v>83</v>
      </c>
      <c r="G431" t="s">
        <v>54</v>
      </c>
      <c r="H431" t="s">
        <v>64</v>
      </c>
      <c r="I431">
        <v>94144</v>
      </c>
      <c r="J431">
        <v>2</v>
      </c>
      <c r="K431">
        <v>4.5999999999999996</v>
      </c>
      <c r="L431">
        <v>5</v>
      </c>
      <c r="M431" t="s">
        <v>144</v>
      </c>
    </row>
    <row r="432" spans="1:13">
      <c r="A432" t="s">
        <v>775</v>
      </c>
      <c r="B432" t="s">
        <v>298</v>
      </c>
      <c r="C432" t="s">
        <v>72</v>
      </c>
      <c r="D432" t="s">
        <v>109</v>
      </c>
      <c r="E432" t="s">
        <v>52</v>
      </c>
      <c r="F432" t="s">
        <v>18</v>
      </c>
      <c r="G432" t="s">
        <v>19</v>
      </c>
      <c r="H432" t="s">
        <v>36</v>
      </c>
      <c r="I432">
        <v>12047</v>
      </c>
      <c r="J432">
        <v>7</v>
      </c>
      <c r="K432">
        <v>4</v>
      </c>
      <c r="L432">
        <v>4</v>
      </c>
      <c r="M432" t="s">
        <v>119</v>
      </c>
    </row>
    <row r="433" spans="1:13">
      <c r="A433" t="s">
        <v>776</v>
      </c>
      <c r="B433" t="s">
        <v>74</v>
      </c>
      <c r="C433" t="s">
        <v>15</v>
      </c>
      <c r="D433" t="s">
        <v>79</v>
      </c>
      <c r="E433" t="s">
        <v>26</v>
      </c>
      <c r="F433" t="s">
        <v>18</v>
      </c>
      <c r="G433" t="s">
        <v>104</v>
      </c>
      <c r="H433" t="s">
        <v>36</v>
      </c>
      <c r="I433">
        <v>66836</v>
      </c>
      <c r="J433">
        <v>7</v>
      </c>
      <c r="K433">
        <v>4.9000000000000004</v>
      </c>
      <c r="L433">
        <v>8</v>
      </c>
      <c r="M433" t="s">
        <v>65</v>
      </c>
    </row>
    <row r="434" spans="1:13">
      <c r="A434" t="s">
        <v>777</v>
      </c>
      <c r="B434" t="s">
        <v>176</v>
      </c>
      <c r="C434" t="s">
        <v>75</v>
      </c>
      <c r="D434" t="s">
        <v>113</v>
      </c>
      <c r="E434" t="s">
        <v>35</v>
      </c>
      <c r="F434" t="s">
        <v>18</v>
      </c>
      <c r="G434" t="s">
        <v>19</v>
      </c>
      <c r="H434" t="s">
        <v>64</v>
      </c>
      <c r="I434">
        <v>125158</v>
      </c>
      <c r="J434">
        <v>2</v>
      </c>
      <c r="K434">
        <v>4.5</v>
      </c>
      <c r="L434">
        <v>4</v>
      </c>
      <c r="M434" t="s">
        <v>55</v>
      </c>
    </row>
    <row r="435" spans="1:13">
      <c r="A435" t="s">
        <v>778</v>
      </c>
      <c r="B435" t="s">
        <v>215</v>
      </c>
      <c r="C435" t="s">
        <v>68</v>
      </c>
      <c r="D435" t="s">
        <v>116</v>
      </c>
      <c r="E435" t="s">
        <v>17</v>
      </c>
      <c r="F435" t="s">
        <v>60</v>
      </c>
      <c r="G435" t="s">
        <v>19</v>
      </c>
      <c r="H435" t="s">
        <v>36</v>
      </c>
      <c r="I435">
        <v>797</v>
      </c>
      <c r="J435">
        <v>1</v>
      </c>
      <c r="K435">
        <v>3.3</v>
      </c>
      <c r="L435">
        <v>5</v>
      </c>
      <c r="M435" t="s">
        <v>192</v>
      </c>
    </row>
    <row r="436" spans="1:13">
      <c r="A436" t="s">
        <v>779</v>
      </c>
      <c r="B436" t="s">
        <v>220</v>
      </c>
      <c r="C436" t="s">
        <v>58</v>
      </c>
      <c r="D436" t="s">
        <v>16</v>
      </c>
      <c r="E436" t="s">
        <v>17</v>
      </c>
      <c r="F436" t="s">
        <v>100</v>
      </c>
      <c r="G436" t="s">
        <v>19</v>
      </c>
      <c r="H436" t="s">
        <v>29</v>
      </c>
      <c r="I436">
        <v>1716</v>
      </c>
      <c r="J436">
        <v>4</v>
      </c>
      <c r="K436">
        <v>3.9</v>
      </c>
      <c r="L436">
        <v>2</v>
      </c>
      <c r="M436" t="s">
        <v>65</v>
      </c>
    </row>
    <row r="437" spans="1:13">
      <c r="A437" t="s">
        <v>780</v>
      </c>
      <c r="B437" t="s">
        <v>489</v>
      </c>
      <c r="C437" t="s">
        <v>129</v>
      </c>
      <c r="D437" t="s">
        <v>147</v>
      </c>
      <c r="E437" t="s">
        <v>52</v>
      </c>
      <c r="F437" t="s">
        <v>100</v>
      </c>
      <c r="G437" t="s">
        <v>19</v>
      </c>
      <c r="H437" t="s">
        <v>64</v>
      </c>
      <c r="I437">
        <v>1524</v>
      </c>
      <c r="J437">
        <v>3</v>
      </c>
      <c r="K437">
        <v>4.5999999999999996</v>
      </c>
      <c r="L437">
        <v>3</v>
      </c>
      <c r="M437" t="s">
        <v>30</v>
      </c>
    </row>
    <row r="438" spans="1:13">
      <c r="A438" t="s">
        <v>781</v>
      </c>
      <c r="B438" t="s">
        <v>670</v>
      </c>
      <c r="C438" t="s">
        <v>24</v>
      </c>
      <c r="D438" t="s">
        <v>147</v>
      </c>
      <c r="E438" t="s">
        <v>52</v>
      </c>
      <c r="F438" t="s">
        <v>18</v>
      </c>
      <c r="G438" t="s">
        <v>104</v>
      </c>
      <c r="H438" t="s">
        <v>64</v>
      </c>
      <c r="I438">
        <v>3580</v>
      </c>
      <c r="J438">
        <v>2</v>
      </c>
      <c r="K438">
        <v>3.3</v>
      </c>
      <c r="L438">
        <v>1</v>
      </c>
      <c r="M438" t="s">
        <v>80</v>
      </c>
    </row>
    <row r="439" spans="1:13">
      <c r="A439" t="s">
        <v>782</v>
      </c>
      <c r="B439" t="s">
        <v>635</v>
      </c>
      <c r="C439" t="s">
        <v>45</v>
      </c>
      <c r="D439" t="s">
        <v>159</v>
      </c>
      <c r="E439" t="s">
        <v>42</v>
      </c>
      <c r="F439" t="s">
        <v>27</v>
      </c>
      <c r="G439" t="s">
        <v>54</v>
      </c>
      <c r="H439" t="s">
        <v>20</v>
      </c>
      <c r="I439">
        <v>13167</v>
      </c>
      <c r="J439">
        <v>3</v>
      </c>
      <c r="K439">
        <v>3.6</v>
      </c>
      <c r="L439">
        <v>3</v>
      </c>
      <c r="M439" t="s">
        <v>37</v>
      </c>
    </row>
    <row r="440" spans="1:13">
      <c r="A440" t="s">
        <v>783</v>
      </c>
      <c r="B440" t="s">
        <v>784</v>
      </c>
      <c r="C440" t="s">
        <v>45</v>
      </c>
      <c r="D440" t="s">
        <v>41</v>
      </c>
      <c r="E440" t="s">
        <v>42</v>
      </c>
      <c r="F440" t="s">
        <v>53</v>
      </c>
      <c r="G440" t="s">
        <v>19</v>
      </c>
      <c r="H440" t="s">
        <v>64</v>
      </c>
      <c r="I440">
        <v>26340</v>
      </c>
      <c r="J440">
        <v>5</v>
      </c>
      <c r="K440">
        <v>3.5</v>
      </c>
      <c r="L440">
        <v>2</v>
      </c>
      <c r="M440" t="s">
        <v>192</v>
      </c>
    </row>
    <row r="441" spans="1:13">
      <c r="A441" t="s">
        <v>785</v>
      </c>
      <c r="B441" t="s">
        <v>697</v>
      </c>
      <c r="C441" t="s">
        <v>33</v>
      </c>
      <c r="D441" t="s">
        <v>109</v>
      </c>
      <c r="E441" t="s">
        <v>52</v>
      </c>
      <c r="F441" t="s">
        <v>27</v>
      </c>
      <c r="G441" t="s">
        <v>104</v>
      </c>
      <c r="H441" t="s">
        <v>29</v>
      </c>
      <c r="I441">
        <v>3444</v>
      </c>
      <c r="J441">
        <v>4</v>
      </c>
      <c r="K441">
        <v>3.5</v>
      </c>
      <c r="L441">
        <v>1</v>
      </c>
      <c r="M441" t="s">
        <v>144</v>
      </c>
    </row>
    <row r="442" spans="1:13">
      <c r="A442" t="s">
        <v>786</v>
      </c>
      <c r="B442" t="s">
        <v>195</v>
      </c>
      <c r="C442" t="s">
        <v>24</v>
      </c>
      <c r="D442" t="s">
        <v>51</v>
      </c>
      <c r="E442" t="s">
        <v>52</v>
      </c>
      <c r="F442" t="s">
        <v>18</v>
      </c>
      <c r="G442" t="s">
        <v>28</v>
      </c>
      <c r="H442" t="s">
        <v>36</v>
      </c>
      <c r="I442">
        <v>12636</v>
      </c>
      <c r="J442">
        <v>6</v>
      </c>
      <c r="K442">
        <v>4.9000000000000004</v>
      </c>
      <c r="L442">
        <v>3</v>
      </c>
      <c r="M442" t="s">
        <v>21</v>
      </c>
    </row>
    <row r="443" spans="1:13">
      <c r="A443" t="s">
        <v>787</v>
      </c>
      <c r="B443" t="s">
        <v>313</v>
      </c>
      <c r="C443" t="s">
        <v>122</v>
      </c>
      <c r="D443" t="s">
        <v>86</v>
      </c>
      <c r="E443" t="s">
        <v>17</v>
      </c>
      <c r="F443" t="s">
        <v>27</v>
      </c>
      <c r="G443" t="s">
        <v>28</v>
      </c>
      <c r="H443" t="s">
        <v>20</v>
      </c>
      <c r="I443">
        <v>6948</v>
      </c>
      <c r="J443">
        <v>6</v>
      </c>
      <c r="K443">
        <v>3.8</v>
      </c>
      <c r="L443">
        <v>2</v>
      </c>
      <c r="M443" t="s">
        <v>47</v>
      </c>
    </row>
    <row r="444" spans="1:13">
      <c r="A444" t="s">
        <v>788</v>
      </c>
      <c r="B444" t="s">
        <v>185</v>
      </c>
      <c r="C444" t="s">
        <v>24</v>
      </c>
      <c r="D444" t="s">
        <v>159</v>
      </c>
      <c r="E444" t="s">
        <v>42</v>
      </c>
      <c r="F444" t="s">
        <v>60</v>
      </c>
      <c r="G444" t="s">
        <v>104</v>
      </c>
      <c r="H444" t="s">
        <v>20</v>
      </c>
      <c r="I444">
        <v>34160</v>
      </c>
      <c r="J444">
        <v>8</v>
      </c>
      <c r="K444">
        <v>3.6</v>
      </c>
      <c r="L444">
        <v>8</v>
      </c>
      <c r="M444" t="s">
        <v>87</v>
      </c>
    </row>
    <row r="445" spans="1:13">
      <c r="A445" t="s">
        <v>789</v>
      </c>
      <c r="B445" t="s">
        <v>790</v>
      </c>
      <c r="C445" t="s">
        <v>103</v>
      </c>
      <c r="D445" t="s">
        <v>159</v>
      </c>
      <c r="E445" t="s">
        <v>42</v>
      </c>
      <c r="F445" t="s">
        <v>83</v>
      </c>
      <c r="G445" t="s">
        <v>54</v>
      </c>
      <c r="H445" t="s">
        <v>64</v>
      </c>
      <c r="I445">
        <v>10452</v>
      </c>
      <c r="J445">
        <v>6</v>
      </c>
      <c r="K445">
        <v>4.4000000000000004</v>
      </c>
      <c r="L445">
        <v>1</v>
      </c>
      <c r="M445" t="s">
        <v>192</v>
      </c>
    </row>
    <row r="446" spans="1:13">
      <c r="A446" t="s">
        <v>791</v>
      </c>
      <c r="B446" t="s">
        <v>336</v>
      </c>
      <c r="C446" t="s">
        <v>58</v>
      </c>
      <c r="D446" t="s">
        <v>90</v>
      </c>
      <c r="E446" t="s">
        <v>42</v>
      </c>
      <c r="F446" t="s">
        <v>100</v>
      </c>
      <c r="G446" t="s">
        <v>19</v>
      </c>
      <c r="H446" t="s">
        <v>36</v>
      </c>
      <c r="I446">
        <v>11904</v>
      </c>
      <c r="J446">
        <v>6</v>
      </c>
      <c r="K446">
        <v>4.9000000000000004</v>
      </c>
      <c r="L446">
        <v>3</v>
      </c>
      <c r="M446" t="s">
        <v>80</v>
      </c>
    </row>
    <row r="447" spans="1:13">
      <c r="A447" t="s">
        <v>792</v>
      </c>
      <c r="B447" t="s">
        <v>32</v>
      </c>
      <c r="C447" t="s">
        <v>58</v>
      </c>
      <c r="D447" t="s">
        <v>90</v>
      </c>
      <c r="E447" t="s">
        <v>42</v>
      </c>
      <c r="F447" t="s">
        <v>83</v>
      </c>
      <c r="G447" t="s">
        <v>19</v>
      </c>
      <c r="H447" t="s">
        <v>36</v>
      </c>
      <c r="I447">
        <v>33656</v>
      </c>
      <c r="J447">
        <v>8</v>
      </c>
      <c r="K447">
        <v>3.6</v>
      </c>
      <c r="L447">
        <v>7</v>
      </c>
      <c r="M447" t="s">
        <v>37</v>
      </c>
    </row>
    <row r="448" spans="1:13">
      <c r="A448" t="s">
        <v>793</v>
      </c>
      <c r="B448" t="s">
        <v>583</v>
      </c>
      <c r="C448" t="s">
        <v>146</v>
      </c>
      <c r="D448" t="s">
        <v>41</v>
      </c>
      <c r="E448" t="s">
        <v>42</v>
      </c>
      <c r="F448" t="s">
        <v>60</v>
      </c>
      <c r="G448" t="s">
        <v>19</v>
      </c>
      <c r="H448" t="s">
        <v>36</v>
      </c>
      <c r="I448">
        <v>40400</v>
      </c>
      <c r="J448">
        <v>8</v>
      </c>
      <c r="K448">
        <v>4.0999999999999996</v>
      </c>
      <c r="L448">
        <v>2</v>
      </c>
      <c r="M448" t="s">
        <v>144</v>
      </c>
    </row>
    <row r="449" spans="1:13">
      <c r="A449" t="s">
        <v>794</v>
      </c>
      <c r="B449" t="s">
        <v>411</v>
      </c>
      <c r="C449" t="s">
        <v>15</v>
      </c>
      <c r="D449" t="s">
        <v>25</v>
      </c>
      <c r="E449" t="s">
        <v>26</v>
      </c>
      <c r="F449" t="s">
        <v>60</v>
      </c>
      <c r="G449" t="s">
        <v>104</v>
      </c>
      <c r="H449" t="s">
        <v>20</v>
      </c>
      <c r="I449">
        <v>33012</v>
      </c>
      <c r="J449">
        <v>7</v>
      </c>
      <c r="K449">
        <v>4.4000000000000004</v>
      </c>
      <c r="L449">
        <v>2</v>
      </c>
      <c r="M449" t="s">
        <v>119</v>
      </c>
    </row>
    <row r="450" spans="1:13">
      <c r="A450" t="s">
        <v>795</v>
      </c>
      <c r="B450" t="s">
        <v>44</v>
      </c>
      <c r="C450" t="s">
        <v>75</v>
      </c>
      <c r="D450" t="s">
        <v>41</v>
      </c>
      <c r="E450" t="s">
        <v>42</v>
      </c>
      <c r="F450" t="s">
        <v>60</v>
      </c>
      <c r="G450" t="s">
        <v>104</v>
      </c>
      <c r="H450" t="s">
        <v>36</v>
      </c>
      <c r="I450">
        <v>29872</v>
      </c>
      <c r="J450">
        <v>8</v>
      </c>
      <c r="K450">
        <v>4</v>
      </c>
      <c r="L450">
        <v>1</v>
      </c>
      <c r="M450" t="s">
        <v>47</v>
      </c>
    </row>
    <row r="451" spans="1:13">
      <c r="A451" t="s">
        <v>796</v>
      </c>
      <c r="B451" t="s">
        <v>797</v>
      </c>
      <c r="C451" t="s">
        <v>33</v>
      </c>
      <c r="D451" t="s">
        <v>97</v>
      </c>
      <c r="E451" t="s">
        <v>35</v>
      </c>
      <c r="F451" t="s">
        <v>18</v>
      </c>
      <c r="G451" t="s">
        <v>28</v>
      </c>
      <c r="H451" t="s">
        <v>29</v>
      </c>
      <c r="I451">
        <v>335296</v>
      </c>
      <c r="J451">
        <v>4</v>
      </c>
      <c r="K451">
        <v>4.0999999999999996</v>
      </c>
      <c r="L451">
        <v>6</v>
      </c>
      <c r="M451" t="s">
        <v>21</v>
      </c>
    </row>
    <row r="452" spans="1:13">
      <c r="A452" t="s">
        <v>798</v>
      </c>
      <c r="B452" t="s">
        <v>799</v>
      </c>
      <c r="C452" t="s">
        <v>78</v>
      </c>
      <c r="D452" t="s">
        <v>41</v>
      </c>
      <c r="E452" t="s">
        <v>42</v>
      </c>
      <c r="F452" t="s">
        <v>18</v>
      </c>
      <c r="G452" t="s">
        <v>28</v>
      </c>
      <c r="H452" t="s">
        <v>20</v>
      </c>
      <c r="I452">
        <v>14262</v>
      </c>
      <c r="J452">
        <v>6</v>
      </c>
      <c r="K452">
        <v>5</v>
      </c>
      <c r="L452">
        <v>4</v>
      </c>
      <c r="M452" t="s">
        <v>55</v>
      </c>
    </row>
    <row r="453" spans="1:13">
      <c r="A453" t="s">
        <v>800</v>
      </c>
      <c r="B453" t="s">
        <v>154</v>
      </c>
      <c r="C453" t="s">
        <v>125</v>
      </c>
      <c r="D453" t="s">
        <v>109</v>
      </c>
      <c r="E453" t="s">
        <v>52</v>
      </c>
      <c r="F453" t="s">
        <v>100</v>
      </c>
      <c r="G453" t="s">
        <v>54</v>
      </c>
      <c r="H453" t="s">
        <v>64</v>
      </c>
      <c r="I453">
        <v>9910</v>
      </c>
      <c r="J453">
        <v>5</v>
      </c>
      <c r="K453">
        <v>3.9</v>
      </c>
      <c r="L453">
        <v>8</v>
      </c>
      <c r="M453" t="s">
        <v>126</v>
      </c>
    </row>
    <row r="454" spans="1:13">
      <c r="A454" t="s">
        <v>801</v>
      </c>
      <c r="B454" t="s">
        <v>802</v>
      </c>
      <c r="C454" t="s">
        <v>40</v>
      </c>
      <c r="D454" t="s">
        <v>59</v>
      </c>
      <c r="E454" t="s">
        <v>26</v>
      </c>
      <c r="F454" t="s">
        <v>18</v>
      </c>
      <c r="G454" t="s">
        <v>54</v>
      </c>
      <c r="H454" t="s">
        <v>20</v>
      </c>
      <c r="I454">
        <v>13380</v>
      </c>
      <c r="J454">
        <v>6</v>
      </c>
      <c r="K454">
        <v>3.3</v>
      </c>
      <c r="L454">
        <v>3</v>
      </c>
      <c r="M454" t="s">
        <v>47</v>
      </c>
    </row>
    <row r="455" spans="1:13">
      <c r="A455" t="s">
        <v>803</v>
      </c>
      <c r="B455" t="s">
        <v>298</v>
      </c>
      <c r="C455" t="s">
        <v>78</v>
      </c>
      <c r="D455" t="s">
        <v>113</v>
      </c>
      <c r="E455" t="s">
        <v>35</v>
      </c>
      <c r="F455" t="s">
        <v>83</v>
      </c>
      <c r="G455" t="s">
        <v>28</v>
      </c>
      <c r="H455" t="s">
        <v>29</v>
      </c>
      <c r="I455">
        <v>87816</v>
      </c>
      <c r="J455">
        <v>3</v>
      </c>
      <c r="K455">
        <v>3.2</v>
      </c>
      <c r="L455">
        <v>7</v>
      </c>
      <c r="M455" t="s">
        <v>119</v>
      </c>
    </row>
    <row r="456" spans="1:13">
      <c r="A456" t="s">
        <v>804</v>
      </c>
      <c r="B456" t="s">
        <v>805</v>
      </c>
      <c r="C456" t="s">
        <v>133</v>
      </c>
      <c r="D456" t="s">
        <v>90</v>
      </c>
      <c r="E456" t="s">
        <v>42</v>
      </c>
      <c r="F456" t="s">
        <v>100</v>
      </c>
      <c r="G456" t="s">
        <v>104</v>
      </c>
      <c r="H456" t="s">
        <v>29</v>
      </c>
      <c r="I456">
        <v>880</v>
      </c>
      <c r="J456">
        <v>1</v>
      </c>
      <c r="K456">
        <v>4.7</v>
      </c>
      <c r="L456">
        <v>6</v>
      </c>
      <c r="M456" t="s">
        <v>192</v>
      </c>
    </row>
    <row r="457" spans="1:13">
      <c r="A457" t="s">
        <v>806</v>
      </c>
      <c r="B457" t="s">
        <v>406</v>
      </c>
      <c r="C457" t="s">
        <v>40</v>
      </c>
      <c r="D457" t="s">
        <v>90</v>
      </c>
      <c r="E457" t="s">
        <v>42</v>
      </c>
      <c r="F457" t="s">
        <v>18</v>
      </c>
      <c r="G457" t="s">
        <v>19</v>
      </c>
      <c r="H457" t="s">
        <v>29</v>
      </c>
      <c r="I457">
        <v>10530</v>
      </c>
      <c r="J457">
        <v>5</v>
      </c>
      <c r="K457">
        <v>3.6</v>
      </c>
      <c r="L457">
        <v>6</v>
      </c>
      <c r="M457" t="s">
        <v>47</v>
      </c>
    </row>
    <row r="458" spans="1:13">
      <c r="A458" t="s">
        <v>807</v>
      </c>
      <c r="B458" t="s">
        <v>415</v>
      </c>
      <c r="C458" t="s">
        <v>24</v>
      </c>
      <c r="D458" t="s">
        <v>97</v>
      </c>
      <c r="E458" t="s">
        <v>35</v>
      </c>
      <c r="F458" t="s">
        <v>83</v>
      </c>
      <c r="G458" t="s">
        <v>54</v>
      </c>
      <c r="H458" t="s">
        <v>36</v>
      </c>
      <c r="I458">
        <v>119661</v>
      </c>
      <c r="J458">
        <v>3</v>
      </c>
      <c r="K458">
        <v>4.7</v>
      </c>
      <c r="L458">
        <v>3</v>
      </c>
      <c r="M458" t="s">
        <v>80</v>
      </c>
    </row>
    <row r="459" spans="1:13">
      <c r="A459" t="s">
        <v>808</v>
      </c>
      <c r="B459" t="s">
        <v>510</v>
      </c>
      <c r="C459" t="s">
        <v>129</v>
      </c>
      <c r="D459" t="s">
        <v>165</v>
      </c>
      <c r="E459" t="s">
        <v>35</v>
      </c>
      <c r="F459" t="s">
        <v>83</v>
      </c>
      <c r="G459" t="s">
        <v>104</v>
      </c>
      <c r="H459" t="s">
        <v>64</v>
      </c>
      <c r="I459">
        <v>213456</v>
      </c>
      <c r="J459">
        <v>8</v>
      </c>
      <c r="K459">
        <v>4.5</v>
      </c>
      <c r="L459">
        <v>6</v>
      </c>
      <c r="M459" t="s">
        <v>80</v>
      </c>
    </row>
    <row r="460" spans="1:13">
      <c r="A460" t="s">
        <v>809</v>
      </c>
      <c r="B460" t="s">
        <v>810</v>
      </c>
      <c r="C460" t="s">
        <v>72</v>
      </c>
      <c r="D460" t="s">
        <v>79</v>
      </c>
      <c r="E460" t="s">
        <v>26</v>
      </c>
      <c r="F460" t="s">
        <v>18</v>
      </c>
      <c r="G460" t="s">
        <v>104</v>
      </c>
      <c r="H460" t="s">
        <v>29</v>
      </c>
      <c r="I460">
        <v>15905</v>
      </c>
      <c r="J460">
        <v>5</v>
      </c>
      <c r="K460">
        <v>4.9000000000000004</v>
      </c>
      <c r="L460">
        <v>6</v>
      </c>
      <c r="M460" t="s">
        <v>30</v>
      </c>
    </row>
    <row r="461" spans="1:13">
      <c r="A461" t="s">
        <v>811</v>
      </c>
      <c r="B461" t="s">
        <v>252</v>
      </c>
      <c r="C461" t="s">
        <v>78</v>
      </c>
      <c r="D461" t="s">
        <v>46</v>
      </c>
      <c r="E461" t="s">
        <v>42</v>
      </c>
      <c r="F461" t="s">
        <v>18</v>
      </c>
      <c r="G461" t="s">
        <v>104</v>
      </c>
      <c r="H461" t="s">
        <v>36</v>
      </c>
      <c r="I461">
        <v>4860</v>
      </c>
      <c r="J461">
        <v>3</v>
      </c>
      <c r="K461">
        <v>4.8</v>
      </c>
      <c r="L461">
        <v>3</v>
      </c>
      <c r="M461" t="s">
        <v>30</v>
      </c>
    </row>
    <row r="462" spans="1:13">
      <c r="A462" t="s">
        <v>812</v>
      </c>
      <c r="B462" t="s">
        <v>306</v>
      </c>
      <c r="C462" t="s">
        <v>103</v>
      </c>
      <c r="D462" t="s">
        <v>159</v>
      </c>
      <c r="E462" t="s">
        <v>42</v>
      </c>
      <c r="F462" t="s">
        <v>83</v>
      </c>
      <c r="G462" t="s">
        <v>54</v>
      </c>
      <c r="H462" t="s">
        <v>36</v>
      </c>
      <c r="I462">
        <v>34086</v>
      </c>
      <c r="J462">
        <v>6</v>
      </c>
      <c r="K462">
        <v>3.6</v>
      </c>
      <c r="L462">
        <v>4</v>
      </c>
      <c r="M462" t="s">
        <v>47</v>
      </c>
    </row>
    <row r="463" spans="1:13">
      <c r="A463" t="s">
        <v>813</v>
      </c>
      <c r="B463" t="s">
        <v>139</v>
      </c>
      <c r="C463" t="s">
        <v>129</v>
      </c>
      <c r="D463" t="s">
        <v>69</v>
      </c>
      <c r="E463" t="s">
        <v>26</v>
      </c>
      <c r="F463" t="s">
        <v>60</v>
      </c>
      <c r="G463" t="s">
        <v>19</v>
      </c>
      <c r="H463" t="s">
        <v>64</v>
      </c>
      <c r="I463">
        <v>12012</v>
      </c>
      <c r="J463">
        <v>2</v>
      </c>
      <c r="K463">
        <v>4.3</v>
      </c>
      <c r="L463">
        <v>1</v>
      </c>
      <c r="M463" t="s">
        <v>119</v>
      </c>
    </row>
    <row r="464" spans="1:13">
      <c r="A464" t="s">
        <v>814</v>
      </c>
      <c r="B464" t="s">
        <v>310</v>
      </c>
      <c r="C464" t="s">
        <v>179</v>
      </c>
      <c r="D464" t="s">
        <v>97</v>
      </c>
      <c r="E464" t="s">
        <v>35</v>
      </c>
      <c r="F464" t="s">
        <v>27</v>
      </c>
      <c r="G464" t="s">
        <v>28</v>
      </c>
      <c r="H464" t="s">
        <v>64</v>
      </c>
      <c r="I464">
        <v>48552</v>
      </c>
      <c r="J464">
        <v>1</v>
      </c>
      <c r="K464">
        <v>4.8</v>
      </c>
      <c r="L464">
        <v>2</v>
      </c>
      <c r="M464" t="s">
        <v>55</v>
      </c>
    </row>
    <row r="465" spans="1:13">
      <c r="A465" t="s">
        <v>815</v>
      </c>
      <c r="B465" t="s">
        <v>708</v>
      </c>
      <c r="C465" t="s">
        <v>40</v>
      </c>
      <c r="D465" t="s">
        <v>46</v>
      </c>
      <c r="E465" t="s">
        <v>42</v>
      </c>
      <c r="F465" t="s">
        <v>60</v>
      </c>
      <c r="G465" t="s">
        <v>104</v>
      </c>
      <c r="H465" t="s">
        <v>36</v>
      </c>
      <c r="I465">
        <v>38570</v>
      </c>
      <c r="J465">
        <v>7</v>
      </c>
      <c r="K465">
        <v>3.4</v>
      </c>
      <c r="L465">
        <v>4</v>
      </c>
      <c r="M465" t="s">
        <v>80</v>
      </c>
    </row>
    <row r="466" spans="1:13">
      <c r="A466" t="s">
        <v>816</v>
      </c>
      <c r="B466" t="s">
        <v>561</v>
      </c>
      <c r="C466" t="s">
        <v>179</v>
      </c>
      <c r="D466" t="s">
        <v>69</v>
      </c>
      <c r="E466" t="s">
        <v>26</v>
      </c>
      <c r="F466" t="s">
        <v>83</v>
      </c>
      <c r="G466" t="s">
        <v>28</v>
      </c>
      <c r="H466" t="s">
        <v>29</v>
      </c>
      <c r="I466">
        <v>9906</v>
      </c>
      <c r="J466">
        <v>1</v>
      </c>
      <c r="K466">
        <v>4</v>
      </c>
      <c r="L466">
        <v>3</v>
      </c>
      <c r="M466" t="s">
        <v>87</v>
      </c>
    </row>
    <row r="467" spans="1:13">
      <c r="A467" t="s">
        <v>817</v>
      </c>
      <c r="B467" t="s">
        <v>666</v>
      </c>
      <c r="C467" t="s">
        <v>72</v>
      </c>
      <c r="D467" t="s">
        <v>69</v>
      </c>
      <c r="E467" t="s">
        <v>26</v>
      </c>
      <c r="F467" t="s">
        <v>53</v>
      </c>
      <c r="G467" t="s">
        <v>104</v>
      </c>
      <c r="H467" t="s">
        <v>64</v>
      </c>
      <c r="I467">
        <v>41965</v>
      </c>
      <c r="J467">
        <v>5</v>
      </c>
      <c r="K467">
        <v>3.6</v>
      </c>
      <c r="L467">
        <v>1</v>
      </c>
      <c r="M467" t="s">
        <v>144</v>
      </c>
    </row>
    <row r="468" spans="1:13">
      <c r="A468" t="s">
        <v>818</v>
      </c>
      <c r="B468" t="s">
        <v>545</v>
      </c>
      <c r="C468" t="s">
        <v>45</v>
      </c>
      <c r="D468" t="s">
        <v>218</v>
      </c>
      <c r="E468" t="s">
        <v>17</v>
      </c>
      <c r="F468" t="s">
        <v>27</v>
      </c>
      <c r="G468" t="s">
        <v>104</v>
      </c>
      <c r="H468" t="s">
        <v>64</v>
      </c>
      <c r="I468">
        <v>3921</v>
      </c>
      <c r="J468">
        <v>3</v>
      </c>
      <c r="K468">
        <v>4.0999999999999996</v>
      </c>
      <c r="L468">
        <v>2</v>
      </c>
      <c r="M468" t="s">
        <v>47</v>
      </c>
    </row>
    <row r="469" spans="1:13">
      <c r="A469" t="s">
        <v>819</v>
      </c>
      <c r="B469" t="s">
        <v>533</v>
      </c>
      <c r="C469" t="s">
        <v>24</v>
      </c>
      <c r="D469" t="s">
        <v>69</v>
      </c>
      <c r="E469" t="s">
        <v>26</v>
      </c>
      <c r="F469" t="s">
        <v>100</v>
      </c>
      <c r="G469" t="s">
        <v>54</v>
      </c>
      <c r="H469" t="s">
        <v>20</v>
      </c>
      <c r="I469">
        <v>81800</v>
      </c>
      <c r="J469">
        <v>8</v>
      </c>
      <c r="K469">
        <v>3.2</v>
      </c>
      <c r="L469">
        <v>5</v>
      </c>
      <c r="M469" t="s">
        <v>21</v>
      </c>
    </row>
    <row r="470" spans="1:13">
      <c r="A470" t="s">
        <v>820</v>
      </c>
      <c r="B470" t="s">
        <v>411</v>
      </c>
      <c r="C470" t="s">
        <v>33</v>
      </c>
      <c r="D470" t="s">
        <v>97</v>
      </c>
      <c r="E470" t="s">
        <v>35</v>
      </c>
      <c r="F470" t="s">
        <v>53</v>
      </c>
      <c r="G470" t="s">
        <v>104</v>
      </c>
      <c r="H470" t="s">
        <v>36</v>
      </c>
      <c r="I470">
        <v>28296</v>
      </c>
      <c r="J470">
        <v>3</v>
      </c>
      <c r="K470">
        <v>4</v>
      </c>
      <c r="L470">
        <v>6</v>
      </c>
      <c r="M470" t="s">
        <v>119</v>
      </c>
    </row>
    <row r="471" spans="1:13">
      <c r="A471" t="s">
        <v>821</v>
      </c>
      <c r="B471" t="s">
        <v>784</v>
      </c>
      <c r="C471" t="s">
        <v>103</v>
      </c>
      <c r="D471" t="s">
        <v>79</v>
      </c>
      <c r="E471" t="s">
        <v>26</v>
      </c>
      <c r="F471" t="s">
        <v>27</v>
      </c>
      <c r="G471" t="s">
        <v>104</v>
      </c>
      <c r="H471" t="s">
        <v>36</v>
      </c>
      <c r="I471">
        <v>17940</v>
      </c>
      <c r="J471">
        <v>3</v>
      </c>
      <c r="K471">
        <v>4.7</v>
      </c>
      <c r="L471">
        <v>5</v>
      </c>
      <c r="M471" t="s">
        <v>192</v>
      </c>
    </row>
    <row r="472" spans="1:13">
      <c r="A472" t="s">
        <v>822</v>
      </c>
      <c r="B472" t="s">
        <v>371</v>
      </c>
      <c r="C472" t="s">
        <v>68</v>
      </c>
      <c r="D472" t="s">
        <v>59</v>
      </c>
      <c r="E472" t="s">
        <v>26</v>
      </c>
      <c r="F472" t="s">
        <v>83</v>
      </c>
      <c r="G472" t="s">
        <v>19</v>
      </c>
      <c r="H472" t="s">
        <v>20</v>
      </c>
      <c r="I472">
        <v>8744</v>
      </c>
      <c r="J472">
        <v>1</v>
      </c>
      <c r="K472">
        <v>3.9</v>
      </c>
      <c r="L472">
        <v>3</v>
      </c>
      <c r="M472" t="s">
        <v>80</v>
      </c>
    </row>
    <row r="473" spans="1:13">
      <c r="A473" t="s">
        <v>823</v>
      </c>
      <c r="B473" t="s">
        <v>545</v>
      </c>
      <c r="C473" t="s">
        <v>72</v>
      </c>
      <c r="D473" t="s">
        <v>147</v>
      </c>
      <c r="E473" t="s">
        <v>52</v>
      </c>
      <c r="F473" t="s">
        <v>60</v>
      </c>
      <c r="G473" t="s">
        <v>104</v>
      </c>
      <c r="H473" t="s">
        <v>20</v>
      </c>
      <c r="I473">
        <v>5816</v>
      </c>
      <c r="J473">
        <v>8</v>
      </c>
      <c r="K473">
        <v>3.8</v>
      </c>
      <c r="L473">
        <v>6</v>
      </c>
      <c r="M473" t="s">
        <v>47</v>
      </c>
    </row>
    <row r="474" spans="1:13">
      <c r="A474" t="s">
        <v>824</v>
      </c>
      <c r="B474" t="s">
        <v>825</v>
      </c>
      <c r="C474" t="s">
        <v>133</v>
      </c>
      <c r="D474" t="s">
        <v>113</v>
      </c>
      <c r="E474" t="s">
        <v>35</v>
      </c>
      <c r="F474" t="s">
        <v>27</v>
      </c>
      <c r="G474" t="s">
        <v>54</v>
      </c>
      <c r="H474" t="s">
        <v>36</v>
      </c>
      <c r="I474">
        <v>128788</v>
      </c>
      <c r="J474">
        <v>4</v>
      </c>
      <c r="K474">
        <v>3.6</v>
      </c>
      <c r="L474">
        <v>2</v>
      </c>
      <c r="M474" t="s">
        <v>80</v>
      </c>
    </row>
    <row r="475" spans="1:13">
      <c r="A475" t="s">
        <v>826</v>
      </c>
      <c r="B475" t="s">
        <v>692</v>
      </c>
      <c r="C475" t="s">
        <v>103</v>
      </c>
      <c r="D475" t="s">
        <v>116</v>
      </c>
      <c r="E475" t="s">
        <v>17</v>
      </c>
      <c r="F475" t="s">
        <v>18</v>
      </c>
      <c r="G475" t="s">
        <v>54</v>
      </c>
      <c r="H475" t="s">
        <v>29</v>
      </c>
      <c r="I475">
        <v>702</v>
      </c>
      <c r="J475">
        <v>1</v>
      </c>
      <c r="K475">
        <v>3.3</v>
      </c>
      <c r="L475">
        <v>2</v>
      </c>
      <c r="M475" t="s">
        <v>47</v>
      </c>
    </row>
    <row r="476" spans="1:13">
      <c r="A476" t="s">
        <v>827</v>
      </c>
      <c r="B476" t="s">
        <v>593</v>
      </c>
      <c r="C476" t="s">
        <v>58</v>
      </c>
      <c r="D476" t="s">
        <v>16</v>
      </c>
      <c r="E476" t="s">
        <v>17</v>
      </c>
      <c r="F476" t="s">
        <v>53</v>
      </c>
      <c r="G476" t="s">
        <v>104</v>
      </c>
      <c r="H476" t="s">
        <v>20</v>
      </c>
      <c r="I476">
        <v>6012</v>
      </c>
      <c r="J476">
        <v>4</v>
      </c>
      <c r="K476">
        <v>3.4</v>
      </c>
      <c r="L476">
        <v>5</v>
      </c>
      <c r="M476" t="s">
        <v>80</v>
      </c>
    </row>
    <row r="477" spans="1:13">
      <c r="A477" t="s">
        <v>828</v>
      </c>
      <c r="B477" t="s">
        <v>829</v>
      </c>
      <c r="C477" t="s">
        <v>78</v>
      </c>
      <c r="D477" t="s">
        <v>79</v>
      </c>
      <c r="E477" t="s">
        <v>26</v>
      </c>
      <c r="F477" t="s">
        <v>18</v>
      </c>
      <c r="G477" t="s">
        <v>54</v>
      </c>
      <c r="H477" t="s">
        <v>20</v>
      </c>
      <c r="I477">
        <v>7876</v>
      </c>
      <c r="J477">
        <v>2</v>
      </c>
      <c r="K477">
        <v>4.9000000000000004</v>
      </c>
      <c r="L477">
        <v>3</v>
      </c>
      <c r="M477" t="s">
        <v>65</v>
      </c>
    </row>
    <row r="478" spans="1:13">
      <c r="A478" t="s">
        <v>830</v>
      </c>
      <c r="B478" t="s">
        <v>799</v>
      </c>
      <c r="C478" t="s">
        <v>133</v>
      </c>
      <c r="D478" t="s">
        <v>69</v>
      </c>
      <c r="E478" t="s">
        <v>26</v>
      </c>
      <c r="F478" t="s">
        <v>18</v>
      </c>
      <c r="G478" t="s">
        <v>104</v>
      </c>
      <c r="H478" t="s">
        <v>36</v>
      </c>
      <c r="I478">
        <v>21057</v>
      </c>
      <c r="J478">
        <v>3</v>
      </c>
      <c r="K478">
        <v>4</v>
      </c>
      <c r="L478">
        <v>4</v>
      </c>
      <c r="M478" t="s">
        <v>55</v>
      </c>
    </row>
    <row r="479" spans="1:13">
      <c r="A479" t="s">
        <v>831</v>
      </c>
      <c r="B479" t="s">
        <v>729</v>
      </c>
      <c r="C479" t="s">
        <v>68</v>
      </c>
      <c r="D479" t="s">
        <v>41</v>
      </c>
      <c r="E479" t="s">
        <v>42</v>
      </c>
      <c r="F479" t="s">
        <v>60</v>
      </c>
      <c r="G479" t="s">
        <v>104</v>
      </c>
      <c r="H479" t="s">
        <v>64</v>
      </c>
      <c r="I479">
        <v>15792</v>
      </c>
      <c r="J479">
        <v>3</v>
      </c>
      <c r="K479">
        <v>3.3</v>
      </c>
      <c r="L479">
        <v>8</v>
      </c>
      <c r="M479" t="s">
        <v>65</v>
      </c>
    </row>
    <row r="480" spans="1:13">
      <c r="A480" t="s">
        <v>832</v>
      </c>
      <c r="B480" t="s">
        <v>833</v>
      </c>
      <c r="C480" t="s">
        <v>129</v>
      </c>
      <c r="D480" t="s">
        <v>59</v>
      </c>
      <c r="E480" t="s">
        <v>26</v>
      </c>
      <c r="F480" t="s">
        <v>83</v>
      </c>
      <c r="G480" t="s">
        <v>54</v>
      </c>
      <c r="H480" t="s">
        <v>64</v>
      </c>
      <c r="I480">
        <v>31144</v>
      </c>
      <c r="J480">
        <v>8</v>
      </c>
      <c r="K480">
        <v>4.7</v>
      </c>
      <c r="L480">
        <v>8</v>
      </c>
      <c r="M480" t="s">
        <v>119</v>
      </c>
    </row>
    <row r="481" spans="1:13">
      <c r="A481" t="s">
        <v>834</v>
      </c>
      <c r="B481" t="s">
        <v>82</v>
      </c>
      <c r="C481" t="s">
        <v>75</v>
      </c>
      <c r="D481" t="s">
        <v>116</v>
      </c>
      <c r="E481" t="s">
        <v>17</v>
      </c>
      <c r="F481" t="s">
        <v>53</v>
      </c>
      <c r="G481" t="s">
        <v>19</v>
      </c>
      <c r="H481" t="s">
        <v>29</v>
      </c>
      <c r="I481">
        <v>1088</v>
      </c>
      <c r="J481">
        <v>2</v>
      </c>
      <c r="K481">
        <v>5</v>
      </c>
      <c r="L481">
        <v>3</v>
      </c>
      <c r="M481" t="s">
        <v>47</v>
      </c>
    </row>
    <row r="482" spans="1:13">
      <c r="A482" t="s">
        <v>835</v>
      </c>
      <c r="B482" t="s">
        <v>203</v>
      </c>
      <c r="C482" t="s">
        <v>129</v>
      </c>
      <c r="D482" t="s">
        <v>51</v>
      </c>
      <c r="E482" t="s">
        <v>52</v>
      </c>
      <c r="F482" t="s">
        <v>60</v>
      </c>
      <c r="G482" t="s">
        <v>28</v>
      </c>
      <c r="H482" t="s">
        <v>64</v>
      </c>
      <c r="I482">
        <v>9176</v>
      </c>
      <c r="J482">
        <v>4</v>
      </c>
      <c r="K482">
        <v>3.7</v>
      </c>
      <c r="L482">
        <v>7</v>
      </c>
      <c r="M482" t="s">
        <v>80</v>
      </c>
    </row>
    <row r="483" spans="1:13">
      <c r="A483" t="s">
        <v>836</v>
      </c>
      <c r="B483" t="s">
        <v>837</v>
      </c>
      <c r="C483" t="s">
        <v>15</v>
      </c>
      <c r="D483" t="s">
        <v>59</v>
      </c>
      <c r="E483" t="s">
        <v>26</v>
      </c>
      <c r="F483" t="s">
        <v>18</v>
      </c>
      <c r="G483" t="s">
        <v>54</v>
      </c>
      <c r="H483" t="s">
        <v>36</v>
      </c>
      <c r="I483">
        <v>71576</v>
      </c>
      <c r="J483">
        <v>8</v>
      </c>
      <c r="K483">
        <v>3.6</v>
      </c>
      <c r="L483">
        <v>3</v>
      </c>
      <c r="M483" t="s">
        <v>80</v>
      </c>
    </row>
    <row r="484" spans="1:13">
      <c r="A484" t="s">
        <v>838</v>
      </c>
      <c r="B484" t="s">
        <v>393</v>
      </c>
      <c r="C484" t="s">
        <v>112</v>
      </c>
      <c r="D484" t="s">
        <v>41</v>
      </c>
      <c r="E484" t="s">
        <v>42</v>
      </c>
      <c r="F484" t="s">
        <v>60</v>
      </c>
      <c r="G484" t="s">
        <v>28</v>
      </c>
      <c r="H484" t="s">
        <v>20</v>
      </c>
      <c r="I484">
        <v>22260</v>
      </c>
      <c r="J484">
        <v>7</v>
      </c>
      <c r="K484">
        <v>4.3</v>
      </c>
      <c r="L484">
        <v>2</v>
      </c>
      <c r="M484" t="s">
        <v>37</v>
      </c>
    </row>
    <row r="485" spans="1:13">
      <c r="A485" t="s">
        <v>839</v>
      </c>
      <c r="B485" t="s">
        <v>579</v>
      </c>
      <c r="C485" t="s">
        <v>133</v>
      </c>
      <c r="D485" t="s">
        <v>97</v>
      </c>
      <c r="E485" t="s">
        <v>35</v>
      </c>
      <c r="F485" t="s">
        <v>18</v>
      </c>
      <c r="G485" t="s">
        <v>28</v>
      </c>
      <c r="H485" t="s">
        <v>64</v>
      </c>
      <c r="I485">
        <v>366740</v>
      </c>
      <c r="J485">
        <v>5</v>
      </c>
      <c r="K485">
        <v>4.9000000000000004</v>
      </c>
      <c r="L485">
        <v>1</v>
      </c>
      <c r="M485" t="s">
        <v>65</v>
      </c>
    </row>
    <row r="486" spans="1:13">
      <c r="A486" t="s">
        <v>840</v>
      </c>
      <c r="B486" t="s">
        <v>841</v>
      </c>
      <c r="C486" t="s">
        <v>24</v>
      </c>
      <c r="D486" t="s">
        <v>97</v>
      </c>
      <c r="E486" t="s">
        <v>35</v>
      </c>
      <c r="F486" t="s">
        <v>60</v>
      </c>
      <c r="G486" t="s">
        <v>28</v>
      </c>
      <c r="H486" t="s">
        <v>20</v>
      </c>
      <c r="I486">
        <v>205456</v>
      </c>
      <c r="J486">
        <v>8</v>
      </c>
      <c r="K486">
        <v>4.7</v>
      </c>
      <c r="L486">
        <v>5</v>
      </c>
      <c r="M486" t="s">
        <v>47</v>
      </c>
    </row>
    <row r="487" spans="1:13">
      <c r="A487" t="s">
        <v>842</v>
      </c>
      <c r="B487" t="s">
        <v>843</v>
      </c>
      <c r="C487" t="s">
        <v>112</v>
      </c>
      <c r="D487" t="s">
        <v>97</v>
      </c>
      <c r="E487" t="s">
        <v>35</v>
      </c>
      <c r="F487" t="s">
        <v>18</v>
      </c>
      <c r="G487" t="s">
        <v>28</v>
      </c>
      <c r="H487" t="s">
        <v>29</v>
      </c>
      <c r="I487">
        <v>150170</v>
      </c>
      <c r="J487">
        <v>2</v>
      </c>
      <c r="K487">
        <v>4</v>
      </c>
      <c r="L487">
        <v>3</v>
      </c>
      <c r="M487" t="s">
        <v>65</v>
      </c>
    </row>
    <row r="488" spans="1:13">
      <c r="A488" t="s">
        <v>844</v>
      </c>
      <c r="B488" t="s">
        <v>595</v>
      </c>
      <c r="C488" t="s">
        <v>129</v>
      </c>
      <c r="D488" t="s">
        <v>90</v>
      </c>
      <c r="E488" t="s">
        <v>42</v>
      </c>
      <c r="F488" t="s">
        <v>27</v>
      </c>
      <c r="G488" t="s">
        <v>54</v>
      </c>
      <c r="H488" t="s">
        <v>29</v>
      </c>
      <c r="I488">
        <v>5580</v>
      </c>
      <c r="J488">
        <v>6</v>
      </c>
      <c r="K488">
        <v>3.3</v>
      </c>
      <c r="L488">
        <v>6</v>
      </c>
      <c r="M488" t="s">
        <v>192</v>
      </c>
    </row>
    <row r="489" spans="1:13">
      <c r="A489" t="s">
        <v>845</v>
      </c>
      <c r="B489" t="s">
        <v>846</v>
      </c>
      <c r="C489" t="s">
        <v>40</v>
      </c>
      <c r="D489" t="s">
        <v>41</v>
      </c>
      <c r="E489" t="s">
        <v>42</v>
      </c>
      <c r="F489" t="s">
        <v>100</v>
      </c>
      <c r="G489" t="s">
        <v>54</v>
      </c>
      <c r="H489" t="s">
        <v>36</v>
      </c>
      <c r="I489">
        <v>6972</v>
      </c>
      <c r="J489">
        <v>6</v>
      </c>
      <c r="K489">
        <v>3.6</v>
      </c>
      <c r="L489">
        <v>4</v>
      </c>
      <c r="M489" t="s">
        <v>47</v>
      </c>
    </row>
    <row r="490" spans="1:13">
      <c r="A490" t="s">
        <v>847</v>
      </c>
      <c r="B490" t="s">
        <v>156</v>
      </c>
      <c r="C490" t="s">
        <v>58</v>
      </c>
      <c r="D490" t="s">
        <v>113</v>
      </c>
      <c r="E490" t="s">
        <v>35</v>
      </c>
      <c r="F490" t="s">
        <v>100</v>
      </c>
      <c r="G490" t="s">
        <v>28</v>
      </c>
      <c r="H490" t="s">
        <v>29</v>
      </c>
      <c r="I490">
        <v>135732</v>
      </c>
      <c r="J490">
        <v>3</v>
      </c>
      <c r="K490">
        <v>4.4000000000000004</v>
      </c>
      <c r="L490">
        <v>7</v>
      </c>
      <c r="M490" t="s">
        <v>126</v>
      </c>
    </row>
    <row r="491" spans="1:13">
      <c r="A491" t="s">
        <v>848</v>
      </c>
      <c r="B491" t="s">
        <v>543</v>
      </c>
      <c r="C491" t="s">
        <v>68</v>
      </c>
      <c r="D491" t="s">
        <v>116</v>
      </c>
      <c r="E491" t="s">
        <v>17</v>
      </c>
      <c r="F491" t="s">
        <v>27</v>
      </c>
      <c r="G491" t="s">
        <v>19</v>
      </c>
      <c r="H491" t="s">
        <v>29</v>
      </c>
      <c r="I491">
        <v>948</v>
      </c>
      <c r="J491">
        <v>1</v>
      </c>
      <c r="K491">
        <v>4.2</v>
      </c>
      <c r="L491">
        <v>8</v>
      </c>
      <c r="M491" t="s">
        <v>30</v>
      </c>
    </row>
    <row r="492" spans="1:13">
      <c r="A492" t="s">
        <v>849</v>
      </c>
      <c r="B492" t="s">
        <v>415</v>
      </c>
      <c r="C492" t="s">
        <v>78</v>
      </c>
      <c r="D492" t="s">
        <v>46</v>
      </c>
      <c r="E492" t="s">
        <v>42</v>
      </c>
      <c r="F492" t="s">
        <v>83</v>
      </c>
      <c r="G492" t="s">
        <v>104</v>
      </c>
      <c r="H492" t="s">
        <v>29</v>
      </c>
      <c r="I492">
        <v>23855</v>
      </c>
      <c r="J492">
        <v>5</v>
      </c>
      <c r="K492">
        <v>4.7</v>
      </c>
      <c r="L492">
        <v>2</v>
      </c>
      <c r="M492" t="s">
        <v>80</v>
      </c>
    </row>
    <row r="493" spans="1:13">
      <c r="A493" t="s">
        <v>850</v>
      </c>
      <c r="B493" t="s">
        <v>252</v>
      </c>
      <c r="C493" t="s">
        <v>58</v>
      </c>
      <c r="D493" t="s">
        <v>218</v>
      </c>
      <c r="E493" t="s">
        <v>17</v>
      </c>
      <c r="F493" t="s">
        <v>100</v>
      </c>
      <c r="G493" t="s">
        <v>28</v>
      </c>
      <c r="H493" t="s">
        <v>64</v>
      </c>
      <c r="I493">
        <v>5334</v>
      </c>
      <c r="J493">
        <v>7</v>
      </c>
      <c r="K493">
        <v>3.8</v>
      </c>
      <c r="L493">
        <v>2</v>
      </c>
      <c r="M493" t="s">
        <v>30</v>
      </c>
    </row>
    <row r="494" spans="1:13">
      <c r="A494" t="s">
        <v>851</v>
      </c>
      <c r="B494" t="s">
        <v>263</v>
      </c>
      <c r="C494" t="s">
        <v>103</v>
      </c>
      <c r="D494" t="s">
        <v>109</v>
      </c>
      <c r="E494" t="s">
        <v>52</v>
      </c>
      <c r="F494" t="s">
        <v>100</v>
      </c>
      <c r="G494" t="s">
        <v>28</v>
      </c>
      <c r="H494" t="s">
        <v>20</v>
      </c>
      <c r="I494">
        <v>7390</v>
      </c>
      <c r="J494">
        <v>5</v>
      </c>
      <c r="K494">
        <v>3.6</v>
      </c>
      <c r="L494">
        <v>7</v>
      </c>
      <c r="M494" t="s">
        <v>87</v>
      </c>
    </row>
    <row r="495" spans="1:13">
      <c r="A495" t="s">
        <v>852</v>
      </c>
      <c r="B495" t="s">
        <v>424</v>
      </c>
      <c r="C495" t="s">
        <v>58</v>
      </c>
      <c r="D495" t="s">
        <v>86</v>
      </c>
      <c r="E495" t="s">
        <v>17</v>
      </c>
      <c r="F495" t="s">
        <v>27</v>
      </c>
      <c r="G495" t="s">
        <v>54</v>
      </c>
      <c r="H495" t="s">
        <v>20</v>
      </c>
      <c r="I495">
        <v>5888</v>
      </c>
      <c r="J495">
        <v>8</v>
      </c>
      <c r="K495">
        <v>4.7</v>
      </c>
      <c r="L495">
        <v>7</v>
      </c>
      <c r="M495" t="s">
        <v>30</v>
      </c>
    </row>
    <row r="496" spans="1:13">
      <c r="A496" t="s">
        <v>853</v>
      </c>
      <c r="B496" t="s">
        <v>837</v>
      </c>
      <c r="C496" t="s">
        <v>179</v>
      </c>
      <c r="D496" t="s">
        <v>97</v>
      </c>
      <c r="E496" t="s">
        <v>35</v>
      </c>
      <c r="F496" t="s">
        <v>60</v>
      </c>
      <c r="G496" t="s">
        <v>104</v>
      </c>
      <c r="H496" t="s">
        <v>29</v>
      </c>
      <c r="I496">
        <v>238268</v>
      </c>
      <c r="J496">
        <v>4</v>
      </c>
      <c r="K496">
        <v>4.7</v>
      </c>
      <c r="L496">
        <v>2</v>
      </c>
      <c r="M496" t="s">
        <v>80</v>
      </c>
    </row>
    <row r="497" spans="1:13">
      <c r="A497" t="s">
        <v>854</v>
      </c>
      <c r="B497" t="s">
        <v>833</v>
      </c>
      <c r="C497" t="s">
        <v>146</v>
      </c>
      <c r="D497" t="s">
        <v>109</v>
      </c>
      <c r="E497" t="s">
        <v>52</v>
      </c>
      <c r="F497" t="s">
        <v>60</v>
      </c>
      <c r="G497" t="s">
        <v>28</v>
      </c>
      <c r="H497" t="s">
        <v>64</v>
      </c>
      <c r="I497">
        <v>4904</v>
      </c>
      <c r="J497">
        <v>4</v>
      </c>
      <c r="K497">
        <v>3.2</v>
      </c>
      <c r="L497">
        <v>5</v>
      </c>
      <c r="M497" t="s">
        <v>119</v>
      </c>
    </row>
    <row r="498" spans="1:13">
      <c r="A498" t="s">
        <v>855</v>
      </c>
      <c r="B498" t="s">
        <v>487</v>
      </c>
      <c r="C498" t="s">
        <v>125</v>
      </c>
      <c r="D498" t="s">
        <v>86</v>
      </c>
      <c r="E498" t="s">
        <v>17</v>
      </c>
      <c r="F498" t="s">
        <v>18</v>
      </c>
      <c r="G498" t="s">
        <v>54</v>
      </c>
      <c r="H498" t="s">
        <v>36</v>
      </c>
      <c r="I498">
        <v>2895</v>
      </c>
      <c r="J498">
        <v>5</v>
      </c>
      <c r="K498">
        <v>4.2</v>
      </c>
      <c r="L498">
        <v>1</v>
      </c>
      <c r="M498" t="s">
        <v>80</v>
      </c>
    </row>
    <row r="499" spans="1:13">
      <c r="A499" t="s">
        <v>856</v>
      </c>
      <c r="B499" t="s">
        <v>187</v>
      </c>
      <c r="C499" t="s">
        <v>112</v>
      </c>
      <c r="D499" t="s">
        <v>165</v>
      </c>
      <c r="E499" t="s">
        <v>35</v>
      </c>
      <c r="F499" t="s">
        <v>27</v>
      </c>
      <c r="G499" t="s">
        <v>104</v>
      </c>
      <c r="H499" t="s">
        <v>64</v>
      </c>
      <c r="I499">
        <v>28672</v>
      </c>
      <c r="J499">
        <v>2</v>
      </c>
      <c r="K499">
        <v>3.6</v>
      </c>
      <c r="L499">
        <v>2</v>
      </c>
      <c r="M499" t="s">
        <v>126</v>
      </c>
    </row>
    <row r="500" spans="1:13">
      <c r="A500" t="s">
        <v>857</v>
      </c>
      <c r="B500" t="s">
        <v>250</v>
      </c>
      <c r="C500" t="s">
        <v>72</v>
      </c>
      <c r="D500" t="s">
        <v>86</v>
      </c>
      <c r="E500" t="s">
        <v>17</v>
      </c>
      <c r="F500" t="s">
        <v>18</v>
      </c>
      <c r="G500" t="s">
        <v>19</v>
      </c>
      <c r="H500" t="s">
        <v>20</v>
      </c>
      <c r="I500">
        <v>1882</v>
      </c>
      <c r="J500">
        <v>2</v>
      </c>
      <c r="K500">
        <v>4.9000000000000004</v>
      </c>
      <c r="L500">
        <v>4</v>
      </c>
      <c r="M500" t="s">
        <v>192</v>
      </c>
    </row>
    <row r="501" spans="1:13">
      <c r="A501" t="s">
        <v>858</v>
      </c>
      <c r="B501" t="s">
        <v>859</v>
      </c>
      <c r="C501" t="s">
        <v>170</v>
      </c>
      <c r="D501" t="s">
        <v>97</v>
      </c>
      <c r="E501" t="s">
        <v>35</v>
      </c>
      <c r="F501" t="s">
        <v>100</v>
      </c>
      <c r="G501" t="s">
        <v>28</v>
      </c>
      <c r="H501" t="s">
        <v>64</v>
      </c>
      <c r="I501">
        <v>333860</v>
      </c>
      <c r="J501">
        <v>5</v>
      </c>
      <c r="K501">
        <v>4.5</v>
      </c>
      <c r="L501">
        <v>2</v>
      </c>
      <c r="M501"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9AB4-D0CB-4B52-89C6-4C2C0A5AB47A}">
  <dimension ref="A3:AA505"/>
  <sheetViews>
    <sheetView showGridLines="0" topLeftCell="A2" workbookViewId="0">
      <selection activeCell="K5" sqref="K5"/>
    </sheetView>
  </sheetViews>
  <sheetFormatPr defaultRowHeight="14.25"/>
  <cols>
    <col min="1" max="1" width="15.875" bestFit="1" customWidth="1"/>
    <col min="2" max="2" width="8.875" bestFit="1" customWidth="1"/>
    <col min="3" max="3" width="12.375" bestFit="1" customWidth="1"/>
    <col min="4" max="5" width="15" bestFit="1" customWidth="1"/>
    <col min="6" max="6" width="12.375" customWidth="1"/>
    <col min="7" max="7" width="10.125" customWidth="1"/>
    <col min="8" max="8" width="12.25" customWidth="1"/>
    <col min="9" max="9" width="10.875" customWidth="1"/>
    <col min="10" max="10" width="12.625" customWidth="1"/>
    <col min="11" max="11" width="12" customWidth="1"/>
    <col min="17" max="17" width="10" customWidth="1"/>
    <col min="19" max="19" width="9.75" customWidth="1"/>
    <col min="20" max="20" width="10.625" customWidth="1"/>
    <col min="21" max="21" width="13.25" customWidth="1"/>
    <col min="22" max="22" width="10.375" customWidth="1"/>
    <col min="23" max="23" width="11.75" customWidth="1"/>
    <col min="24" max="24" width="8.875" customWidth="1"/>
    <col min="25" max="25" width="11.125" customWidth="1"/>
  </cols>
  <sheetData>
    <row r="3" spans="1:27">
      <c r="A3" s="2" t="s">
        <v>864</v>
      </c>
      <c r="C3" s="2" t="s">
        <v>865</v>
      </c>
      <c r="D3" t="s">
        <v>861</v>
      </c>
      <c r="E3" s="2" t="s">
        <v>865</v>
      </c>
      <c r="F3" t="s">
        <v>861</v>
      </c>
      <c r="G3" s="2" t="s">
        <v>865</v>
      </c>
      <c r="H3" t="s">
        <v>861</v>
      </c>
      <c r="I3" s="2" t="s">
        <v>865</v>
      </c>
      <c r="J3" t="s">
        <v>861</v>
      </c>
      <c r="K3" s="2" t="s">
        <v>861</v>
      </c>
      <c r="Q3" s="9" t="s">
        <v>873</v>
      </c>
      <c r="R3" s="9" t="s">
        <v>868</v>
      </c>
      <c r="S3" s="9" t="s">
        <v>869</v>
      </c>
      <c r="T3" s="9" t="s">
        <v>874</v>
      </c>
      <c r="U3" s="9" t="s">
        <v>875</v>
      </c>
      <c r="V3" s="2" t="s">
        <v>865</v>
      </c>
      <c r="W3" t="s">
        <v>861</v>
      </c>
      <c r="Y3" s="16" t="s">
        <v>876</v>
      </c>
      <c r="Z3" s="16" t="s">
        <v>870</v>
      </c>
      <c r="AA3" s="18" t="s">
        <v>877</v>
      </c>
    </row>
    <row r="4" spans="1:27">
      <c r="A4" s="3" t="s">
        <v>860</v>
      </c>
      <c r="B4" s="1">
        <v>500</v>
      </c>
      <c r="C4" s="3" t="s">
        <v>144</v>
      </c>
      <c r="D4" s="5">
        <v>1480730</v>
      </c>
      <c r="E4" s="3" t="s">
        <v>17</v>
      </c>
      <c r="F4" s="5">
        <v>490618</v>
      </c>
      <c r="G4" s="13" t="s">
        <v>36</v>
      </c>
      <c r="H4" s="20">
        <v>5522910</v>
      </c>
      <c r="I4" s="3" t="s">
        <v>97</v>
      </c>
      <c r="J4" s="5">
        <v>5398413</v>
      </c>
      <c r="K4" s="2" t="s">
        <v>0</v>
      </c>
      <c r="L4" s="2" t="s">
        <v>2</v>
      </c>
      <c r="M4" s="2" t="s">
        <v>3</v>
      </c>
      <c r="N4" s="2" t="s">
        <v>4</v>
      </c>
      <c r="O4" t="s">
        <v>867</v>
      </c>
      <c r="Q4" s="7" t="str">
        <f>K5</f>
        <v>ORD10001</v>
      </c>
      <c r="R4" s="7" t="str">
        <f t="shared" ref="R4:U4" si="0">L5</f>
        <v>Rohit</v>
      </c>
      <c r="S4" s="7" t="str">
        <f t="shared" si="0"/>
        <v>Shampoo</v>
      </c>
      <c r="T4" s="7" t="str">
        <f t="shared" si="0"/>
        <v>Beauty</v>
      </c>
      <c r="U4" s="14">
        <f t="shared" si="0"/>
        <v>3028</v>
      </c>
      <c r="V4" s="3" t="s">
        <v>83</v>
      </c>
      <c r="W4" s="5">
        <v>3353882</v>
      </c>
      <c r="Y4" s="8" t="str">
        <f>V4</f>
        <v>Delhi</v>
      </c>
      <c r="Z4" s="15">
        <f>W4</f>
        <v>3353882</v>
      </c>
      <c r="AA4" s="19">
        <f>Z4/Z10</f>
        <v>0.14578028382255265</v>
      </c>
    </row>
    <row r="5" spans="1:27">
      <c r="A5" s="3" t="s">
        <v>863</v>
      </c>
      <c r="B5" s="4">
        <v>4.1180000000000021</v>
      </c>
      <c r="C5" s="3" t="s">
        <v>87</v>
      </c>
      <c r="D5" s="5">
        <v>1991453</v>
      </c>
      <c r="E5" s="3" t="s">
        <v>52</v>
      </c>
      <c r="F5" s="5">
        <v>570604</v>
      </c>
      <c r="G5" s="3" t="s">
        <v>20</v>
      </c>
      <c r="H5" s="5">
        <v>5037484</v>
      </c>
      <c r="I5" s="3" t="s">
        <v>34</v>
      </c>
      <c r="J5" s="5">
        <v>2352917</v>
      </c>
      <c r="K5" s="12" t="s">
        <v>13</v>
      </c>
      <c r="L5" s="12" t="s">
        <v>15</v>
      </c>
      <c r="M5" s="12" t="s">
        <v>16</v>
      </c>
      <c r="N5" s="12" t="s">
        <v>17</v>
      </c>
      <c r="O5" s="5">
        <v>3028</v>
      </c>
      <c r="Q5" s="7" t="str">
        <f t="shared" ref="Q5:Q10" si="1">K6</f>
        <v>ORD10002</v>
      </c>
      <c r="R5" s="7" t="str">
        <f t="shared" ref="R5:R10" si="2">L6</f>
        <v>Kavya</v>
      </c>
      <c r="S5" s="7" t="str">
        <f t="shared" ref="S5:S10" si="3">M6</f>
        <v>Chair</v>
      </c>
      <c r="T5" s="7" t="str">
        <f t="shared" ref="T5:T10" si="4">N6</f>
        <v>Home</v>
      </c>
      <c r="U5" s="14">
        <f t="shared" ref="U5:U10" si="5">O6</f>
        <v>32636</v>
      </c>
      <c r="V5" s="3" t="s">
        <v>27</v>
      </c>
      <c r="W5" s="5">
        <v>4389497</v>
      </c>
      <c r="Y5" s="8" t="str">
        <f t="shared" ref="Y5:Y9" si="6">V5</f>
        <v>Gujrat</v>
      </c>
      <c r="Z5" s="15">
        <f t="shared" ref="Z5:Z9" si="7">W5</f>
        <v>4389497</v>
      </c>
      <c r="AA5" s="19">
        <f>Z5/Z10</f>
        <v>0.19079446399671882</v>
      </c>
    </row>
    <row r="6" spans="1:27">
      <c r="A6" s="3" t="s">
        <v>861</v>
      </c>
      <c r="B6" s="5">
        <v>23006417</v>
      </c>
      <c r="C6" s="3" t="s">
        <v>80</v>
      </c>
      <c r="D6" s="5">
        <v>2439516</v>
      </c>
      <c r="E6" s="3" t="s">
        <v>42</v>
      </c>
      <c r="F6" s="5">
        <v>1790583</v>
      </c>
      <c r="G6" s="3" t="s">
        <v>29</v>
      </c>
      <c r="H6" s="5">
        <v>6132531</v>
      </c>
      <c r="I6" s="3" t="s">
        <v>113</v>
      </c>
      <c r="J6" s="5">
        <v>2432276</v>
      </c>
      <c r="K6" s="12" t="s">
        <v>22</v>
      </c>
      <c r="L6" s="12" t="s">
        <v>24</v>
      </c>
      <c r="M6" s="12" t="s">
        <v>25</v>
      </c>
      <c r="N6" s="12" t="s">
        <v>26</v>
      </c>
      <c r="O6" s="5">
        <v>32636</v>
      </c>
      <c r="Q6" s="7" t="str">
        <f t="shared" si="1"/>
        <v>ORD10003</v>
      </c>
      <c r="R6" s="7" t="str">
        <f t="shared" si="2"/>
        <v>Neha</v>
      </c>
      <c r="S6" s="7" t="str">
        <f t="shared" si="3"/>
        <v>iPhone 15</v>
      </c>
      <c r="T6" s="7" t="str">
        <f t="shared" si="4"/>
        <v>Electronics</v>
      </c>
      <c r="U6" s="14">
        <f t="shared" si="5"/>
        <v>313782</v>
      </c>
      <c r="V6" s="3" t="s">
        <v>18</v>
      </c>
      <c r="W6" s="5">
        <v>5312858</v>
      </c>
      <c r="Y6" s="8" t="str">
        <f t="shared" si="6"/>
        <v>Karnataka</v>
      </c>
      <c r="Z6" s="15">
        <f t="shared" si="7"/>
        <v>5312858</v>
      </c>
      <c r="AA6" s="19">
        <f>Z6/Z10</f>
        <v>0.23092939678525343</v>
      </c>
    </row>
    <row r="7" spans="1:27">
      <c r="A7" s="3" t="s">
        <v>872</v>
      </c>
      <c r="B7" s="6">
        <v>4.5599999999999996</v>
      </c>
      <c r="C7" s="3" t="s">
        <v>37</v>
      </c>
      <c r="D7" s="5">
        <v>1723736</v>
      </c>
      <c r="E7" s="3" t="s">
        <v>26</v>
      </c>
      <c r="F7" s="5">
        <v>2691079</v>
      </c>
      <c r="G7" s="3" t="s">
        <v>64</v>
      </c>
      <c r="H7" s="5">
        <v>6313492</v>
      </c>
      <c r="I7" s="3" t="s">
        <v>130</v>
      </c>
      <c r="J7" s="5">
        <v>3842259</v>
      </c>
      <c r="K7" s="12" t="s">
        <v>31</v>
      </c>
      <c r="L7" s="12" t="s">
        <v>33</v>
      </c>
      <c r="M7" s="12" t="s">
        <v>34</v>
      </c>
      <c r="N7" s="12" t="s">
        <v>35</v>
      </c>
      <c r="O7" s="5">
        <v>313782</v>
      </c>
      <c r="Q7" s="7" t="str">
        <f t="shared" si="1"/>
        <v>ORD10004</v>
      </c>
      <c r="R7" s="7" t="str">
        <f t="shared" si="2"/>
        <v>Rahul</v>
      </c>
      <c r="S7" s="7" t="str">
        <f t="shared" si="3"/>
        <v>Shoes</v>
      </c>
      <c r="T7" s="7" t="str">
        <f t="shared" si="4"/>
        <v>Fashion</v>
      </c>
      <c r="U7" s="14">
        <f t="shared" si="5"/>
        <v>11375</v>
      </c>
      <c r="V7" s="3" t="s">
        <v>60</v>
      </c>
      <c r="W7" s="5">
        <v>3463152</v>
      </c>
      <c r="Y7" s="8" t="str">
        <f t="shared" si="6"/>
        <v>Maharashtra</v>
      </c>
      <c r="Z7" s="15">
        <f t="shared" si="7"/>
        <v>3463152</v>
      </c>
      <c r="AA7" s="19">
        <f>Z7/Z10</f>
        <v>0.15052982826487063</v>
      </c>
    </row>
    <row r="8" spans="1:27">
      <c r="A8" s="3" t="s">
        <v>862</v>
      </c>
      <c r="B8" s="1">
        <v>2146</v>
      </c>
      <c r="C8" s="3" t="s">
        <v>21</v>
      </c>
      <c r="D8" s="5">
        <v>2226405</v>
      </c>
      <c r="E8" s="3" t="s">
        <v>35</v>
      </c>
      <c r="F8" s="5">
        <v>17463533</v>
      </c>
      <c r="G8" s="3" t="s">
        <v>866</v>
      </c>
      <c r="H8" s="5">
        <v>23006417</v>
      </c>
      <c r="I8" s="3" t="s">
        <v>165</v>
      </c>
      <c r="J8" s="5">
        <v>3437668</v>
      </c>
      <c r="K8" s="12" t="s">
        <v>38</v>
      </c>
      <c r="L8" s="12" t="s">
        <v>40</v>
      </c>
      <c r="M8" s="12" t="s">
        <v>41</v>
      </c>
      <c r="N8" s="12" t="s">
        <v>42</v>
      </c>
      <c r="O8" s="5">
        <v>11375</v>
      </c>
      <c r="Q8" s="7" t="str">
        <f t="shared" si="1"/>
        <v>ORD10005</v>
      </c>
      <c r="R8" s="7" t="str">
        <f t="shared" si="2"/>
        <v>Akash</v>
      </c>
      <c r="S8" s="7" t="str">
        <f t="shared" si="3"/>
        <v>Jeans</v>
      </c>
      <c r="T8" s="7" t="str">
        <f t="shared" si="4"/>
        <v>Fashion</v>
      </c>
      <c r="U8" s="14">
        <f t="shared" si="5"/>
        <v>14496</v>
      </c>
      <c r="V8" s="3" t="s">
        <v>100</v>
      </c>
      <c r="W8" s="5">
        <v>3050638</v>
      </c>
      <c r="Y8" s="8" t="str">
        <f t="shared" si="6"/>
        <v>Tamil Nadu</v>
      </c>
      <c r="Z8" s="15">
        <f t="shared" si="7"/>
        <v>3050638</v>
      </c>
      <c r="AA8" s="19">
        <f>Z8/Z10</f>
        <v>0.13259943953897732</v>
      </c>
    </row>
    <row r="9" spans="1:27">
      <c r="C9" s="3" t="s">
        <v>126</v>
      </c>
      <c r="D9" s="5">
        <v>1483670</v>
      </c>
      <c r="E9" s="3" t="s">
        <v>866</v>
      </c>
      <c r="F9" s="5">
        <v>23006417</v>
      </c>
      <c r="I9" s="3" t="s">
        <v>866</v>
      </c>
      <c r="J9" s="5">
        <v>17463533</v>
      </c>
      <c r="K9" s="12" t="s">
        <v>43</v>
      </c>
      <c r="L9" s="12" t="s">
        <v>45</v>
      </c>
      <c r="M9" s="12" t="s">
        <v>46</v>
      </c>
      <c r="N9" s="12" t="s">
        <v>42</v>
      </c>
      <c r="O9" s="5">
        <v>14496</v>
      </c>
      <c r="Q9" s="7" t="str">
        <f t="shared" si="1"/>
        <v>ORD10006</v>
      </c>
      <c r="R9" s="7" t="str">
        <f t="shared" si="2"/>
        <v>Anjali</v>
      </c>
      <c r="S9" s="7" t="str">
        <f t="shared" si="3"/>
        <v>Business Book</v>
      </c>
      <c r="T9" s="7" t="str">
        <f t="shared" si="4"/>
        <v>Books</v>
      </c>
      <c r="U9" s="14">
        <f t="shared" si="5"/>
        <v>5745</v>
      </c>
      <c r="V9" s="3" t="s">
        <v>53</v>
      </c>
      <c r="W9" s="5">
        <v>3436390</v>
      </c>
      <c r="Y9" s="8" t="str">
        <f t="shared" si="6"/>
        <v>Telangana</v>
      </c>
      <c r="Z9" s="15">
        <f t="shared" si="7"/>
        <v>3436390</v>
      </c>
      <c r="AA9" s="19">
        <f>Z9/Z10</f>
        <v>0.14936658759162716</v>
      </c>
    </row>
    <row r="10" spans="1:27">
      <c r="C10" s="3" t="s">
        <v>55</v>
      </c>
      <c r="D10" s="5">
        <v>2566476</v>
      </c>
      <c r="K10" s="12" t="s">
        <v>48</v>
      </c>
      <c r="L10" s="12" t="s">
        <v>50</v>
      </c>
      <c r="M10" s="12" t="s">
        <v>51</v>
      </c>
      <c r="N10" s="12" t="s">
        <v>52</v>
      </c>
      <c r="O10" s="5">
        <v>5745</v>
      </c>
      <c r="Q10" s="7" t="str">
        <f t="shared" si="1"/>
        <v>ORD10007</v>
      </c>
      <c r="R10" s="7" t="str">
        <f t="shared" si="2"/>
        <v>Divya</v>
      </c>
      <c r="S10" s="7" t="str">
        <f t="shared" si="3"/>
        <v>Bedsheet</v>
      </c>
      <c r="T10" s="7" t="str">
        <f t="shared" si="4"/>
        <v>Home</v>
      </c>
      <c r="U10" s="14">
        <f t="shared" si="5"/>
        <v>24696</v>
      </c>
      <c r="V10" s="3" t="s">
        <v>866</v>
      </c>
      <c r="W10" s="5">
        <v>23006417</v>
      </c>
      <c r="Y10" s="16" t="s">
        <v>871</v>
      </c>
      <c r="Z10" s="17">
        <f>SUM(Z4:Z9)</f>
        <v>23006417</v>
      </c>
      <c r="AA10" s="18">
        <f>Z10/Z10</f>
        <v>1</v>
      </c>
    </row>
    <row r="11" spans="1:27">
      <c r="A11" s="5">
        <f>GETPIVOTDATA("Sum of Sales",$A$3)</f>
        <v>23006417</v>
      </c>
      <c r="C11" s="3" t="s">
        <v>47</v>
      </c>
      <c r="D11" s="5">
        <v>1323566</v>
      </c>
      <c r="K11" s="12" t="s">
        <v>56</v>
      </c>
      <c r="L11" s="12" t="s">
        <v>58</v>
      </c>
      <c r="M11" s="12" t="s">
        <v>59</v>
      </c>
      <c r="N11" s="12" t="s">
        <v>26</v>
      </c>
      <c r="O11" s="5">
        <v>24696</v>
      </c>
      <c r="Q11" s="10" t="s">
        <v>871</v>
      </c>
      <c r="R11" s="10"/>
      <c r="S11" s="10"/>
      <c r="T11" s="10"/>
      <c r="U11" s="11">
        <f>SUM(U4:U10)</f>
        <v>405758</v>
      </c>
    </row>
    <row r="12" spans="1:27">
      <c r="A12">
        <f>GETPIVOTDATA("Count of Order_ID",$A$3)</f>
        <v>500</v>
      </c>
      <c r="C12" s="3" t="s">
        <v>65</v>
      </c>
      <c r="D12" s="5">
        <v>1648464</v>
      </c>
      <c r="K12" s="12" t="s">
        <v>61</v>
      </c>
      <c r="L12" s="12" t="s">
        <v>45</v>
      </c>
      <c r="M12" s="12" t="s">
        <v>63</v>
      </c>
      <c r="N12" s="12" t="s">
        <v>52</v>
      </c>
      <c r="O12" s="5">
        <v>3536</v>
      </c>
    </row>
    <row r="13" spans="1:27">
      <c r="A13" s="6">
        <f>GETPIVOTDATA("Average of Quantity",$A$3)</f>
        <v>4.5599999999999996</v>
      </c>
      <c r="C13" s="3" t="s">
        <v>30</v>
      </c>
      <c r="D13" s="5">
        <v>1876219</v>
      </c>
      <c r="K13" s="12" t="s">
        <v>66</v>
      </c>
      <c r="L13" s="12" t="s">
        <v>68</v>
      </c>
      <c r="M13" s="12" t="s">
        <v>69</v>
      </c>
      <c r="N13" s="12" t="s">
        <v>26</v>
      </c>
      <c r="O13" s="5">
        <v>25855</v>
      </c>
    </row>
    <row r="14" spans="1:27">
      <c r="A14" s="4">
        <f>GETPIVOTDATA("Average of Rating",$A$3)</f>
        <v>4.1180000000000021</v>
      </c>
      <c r="C14" s="3" t="s">
        <v>192</v>
      </c>
      <c r="D14" s="5">
        <v>948995</v>
      </c>
      <c r="K14" s="12" t="s">
        <v>70</v>
      </c>
      <c r="L14" s="12" t="s">
        <v>72</v>
      </c>
      <c r="M14" s="12" t="s">
        <v>41</v>
      </c>
      <c r="N14" s="12" t="s">
        <v>42</v>
      </c>
      <c r="O14" s="5">
        <v>9432</v>
      </c>
    </row>
    <row r="15" spans="1:27">
      <c r="A15">
        <f>GETPIVOTDATA("Sum of Delivery",$A$3)</f>
        <v>2146</v>
      </c>
      <c r="C15" s="3" t="s">
        <v>119</v>
      </c>
      <c r="D15" s="5">
        <v>3297187</v>
      </c>
      <c r="K15" s="12" t="s">
        <v>73</v>
      </c>
      <c r="L15" s="12" t="s">
        <v>75</v>
      </c>
      <c r="M15" s="12" t="s">
        <v>59</v>
      </c>
      <c r="N15" s="12" t="s">
        <v>26</v>
      </c>
      <c r="O15" s="5">
        <v>1749</v>
      </c>
    </row>
    <row r="16" spans="1:27">
      <c r="C16" s="3" t="s">
        <v>866</v>
      </c>
      <c r="D16" s="5">
        <v>23006417</v>
      </c>
      <c r="K16" s="12" t="s">
        <v>76</v>
      </c>
      <c r="L16" s="12" t="s">
        <v>78</v>
      </c>
      <c r="M16" s="12" t="s">
        <v>79</v>
      </c>
      <c r="N16" s="12" t="s">
        <v>26</v>
      </c>
      <c r="O16" s="5">
        <v>85904</v>
      </c>
    </row>
    <row r="17" spans="11:15">
      <c r="K17" s="12" t="s">
        <v>81</v>
      </c>
      <c r="L17" s="12" t="s">
        <v>58</v>
      </c>
      <c r="M17" s="12" t="s">
        <v>46</v>
      </c>
      <c r="N17" s="12" t="s">
        <v>42</v>
      </c>
      <c r="O17" s="5">
        <v>9792</v>
      </c>
    </row>
    <row r="18" spans="11:15">
      <c r="K18" s="12" t="s">
        <v>84</v>
      </c>
      <c r="L18" s="12" t="s">
        <v>78</v>
      </c>
      <c r="M18" s="12" t="s">
        <v>86</v>
      </c>
      <c r="N18" s="12" t="s">
        <v>17</v>
      </c>
      <c r="O18" s="5">
        <v>976</v>
      </c>
    </row>
    <row r="19" spans="11:15">
      <c r="K19" s="12" t="s">
        <v>88</v>
      </c>
      <c r="L19" s="12" t="s">
        <v>68</v>
      </c>
      <c r="M19" s="12" t="s">
        <v>90</v>
      </c>
      <c r="N19" s="12" t="s">
        <v>42</v>
      </c>
      <c r="O19" s="5">
        <v>8338</v>
      </c>
    </row>
    <row r="20" spans="11:15">
      <c r="K20" s="12" t="s">
        <v>91</v>
      </c>
      <c r="L20" s="12" t="s">
        <v>75</v>
      </c>
      <c r="M20" s="12" t="s">
        <v>86</v>
      </c>
      <c r="N20" s="12" t="s">
        <v>17</v>
      </c>
      <c r="O20" s="5">
        <v>5592</v>
      </c>
    </row>
    <row r="21" spans="11:15">
      <c r="K21" s="12" t="s">
        <v>93</v>
      </c>
      <c r="L21" s="12" t="s">
        <v>24</v>
      </c>
      <c r="M21" s="12" t="s">
        <v>25</v>
      </c>
      <c r="N21" s="12" t="s">
        <v>26</v>
      </c>
      <c r="O21" s="5">
        <v>17208</v>
      </c>
    </row>
    <row r="22" spans="11:15">
      <c r="K22" s="12" t="s">
        <v>95</v>
      </c>
      <c r="L22" s="12" t="s">
        <v>58</v>
      </c>
      <c r="M22" s="12" t="s">
        <v>97</v>
      </c>
      <c r="N22" s="12" t="s">
        <v>35</v>
      </c>
      <c r="O22" s="5">
        <v>159523</v>
      </c>
    </row>
    <row r="23" spans="11:15">
      <c r="K23" s="12" t="s">
        <v>98</v>
      </c>
      <c r="L23" s="12" t="s">
        <v>75</v>
      </c>
      <c r="M23" s="12" t="s">
        <v>16</v>
      </c>
      <c r="N23" s="12" t="s">
        <v>17</v>
      </c>
      <c r="O23" s="5">
        <v>10632</v>
      </c>
    </row>
    <row r="24" spans="11:15">
      <c r="K24" s="12" t="s">
        <v>101</v>
      </c>
      <c r="L24" s="12" t="s">
        <v>103</v>
      </c>
      <c r="M24" s="12" t="s">
        <v>41</v>
      </c>
      <c r="N24" s="12" t="s">
        <v>42</v>
      </c>
      <c r="O24" s="5">
        <v>5484</v>
      </c>
    </row>
    <row r="25" spans="11:15">
      <c r="K25" s="12" t="s">
        <v>105</v>
      </c>
      <c r="L25" s="12" t="s">
        <v>75</v>
      </c>
      <c r="M25" s="12" t="s">
        <v>97</v>
      </c>
      <c r="N25" s="12" t="s">
        <v>35</v>
      </c>
      <c r="O25" s="5">
        <v>60040</v>
      </c>
    </row>
    <row r="26" spans="11:15">
      <c r="K26" s="12" t="s">
        <v>107</v>
      </c>
      <c r="L26" s="12" t="s">
        <v>78</v>
      </c>
      <c r="M26" s="12" t="s">
        <v>109</v>
      </c>
      <c r="N26" s="12" t="s">
        <v>52</v>
      </c>
      <c r="O26" s="5">
        <v>5668</v>
      </c>
    </row>
    <row r="27" spans="11:15">
      <c r="K27" s="12" t="s">
        <v>110</v>
      </c>
      <c r="L27" s="12" t="s">
        <v>112</v>
      </c>
      <c r="M27" s="12" t="s">
        <v>113</v>
      </c>
      <c r="N27" s="12" t="s">
        <v>35</v>
      </c>
      <c r="O27" s="5">
        <v>245328</v>
      </c>
    </row>
    <row r="28" spans="11:15">
      <c r="K28" s="12" t="s">
        <v>114</v>
      </c>
      <c r="L28" s="12" t="s">
        <v>78</v>
      </c>
      <c r="M28" s="12" t="s">
        <v>116</v>
      </c>
      <c r="N28" s="12" t="s">
        <v>17</v>
      </c>
      <c r="O28" s="5">
        <v>307</v>
      </c>
    </row>
    <row r="29" spans="11:15">
      <c r="K29" s="12" t="s">
        <v>117</v>
      </c>
      <c r="L29" s="12" t="s">
        <v>33</v>
      </c>
      <c r="M29" s="12" t="s">
        <v>16</v>
      </c>
      <c r="N29" s="12" t="s">
        <v>17</v>
      </c>
      <c r="O29" s="5">
        <v>4251</v>
      </c>
    </row>
    <row r="30" spans="11:15">
      <c r="K30" s="12" t="s">
        <v>120</v>
      </c>
      <c r="L30" s="12" t="s">
        <v>122</v>
      </c>
      <c r="M30" s="12" t="s">
        <v>34</v>
      </c>
      <c r="N30" s="12" t="s">
        <v>35</v>
      </c>
      <c r="O30" s="5">
        <v>195428</v>
      </c>
    </row>
    <row r="31" spans="11:15">
      <c r="K31" s="12" t="s">
        <v>123</v>
      </c>
      <c r="L31" s="12" t="s">
        <v>125</v>
      </c>
      <c r="M31" s="12" t="s">
        <v>86</v>
      </c>
      <c r="N31" s="12" t="s">
        <v>17</v>
      </c>
      <c r="O31" s="5">
        <v>11697</v>
      </c>
    </row>
    <row r="32" spans="11:15">
      <c r="K32" s="12" t="s">
        <v>127</v>
      </c>
      <c r="L32" s="12" t="s">
        <v>129</v>
      </c>
      <c r="M32" s="12" t="s">
        <v>130</v>
      </c>
      <c r="N32" s="12" t="s">
        <v>35</v>
      </c>
      <c r="O32" s="5">
        <v>218908</v>
      </c>
    </row>
    <row r="33" spans="11:15">
      <c r="K33" s="12" t="s">
        <v>131</v>
      </c>
      <c r="L33" s="12" t="s">
        <v>133</v>
      </c>
      <c r="M33" s="12" t="s">
        <v>16</v>
      </c>
      <c r="N33" s="12" t="s">
        <v>17</v>
      </c>
      <c r="O33" s="5">
        <v>4467</v>
      </c>
    </row>
    <row r="34" spans="11:15">
      <c r="K34" s="12" t="s">
        <v>134</v>
      </c>
      <c r="L34" s="12" t="s">
        <v>129</v>
      </c>
      <c r="M34" s="12" t="s">
        <v>79</v>
      </c>
      <c r="N34" s="12" t="s">
        <v>26</v>
      </c>
      <c r="O34" s="5">
        <v>9621</v>
      </c>
    </row>
    <row r="35" spans="11:15">
      <c r="K35" s="12" t="s">
        <v>136</v>
      </c>
      <c r="L35" s="12" t="s">
        <v>40</v>
      </c>
      <c r="M35" s="12" t="s">
        <v>59</v>
      </c>
      <c r="N35" s="12" t="s">
        <v>26</v>
      </c>
      <c r="O35" s="5">
        <v>23452</v>
      </c>
    </row>
    <row r="36" spans="11:15">
      <c r="K36" s="12" t="s">
        <v>138</v>
      </c>
      <c r="L36" s="12" t="s">
        <v>133</v>
      </c>
      <c r="M36" s="12" t="s">
        <v>90</v>
      </c>
      <c r="N36" s="12" t="s">
        <v>42</v>
      </c>
      <c r="O36" s="5">
        <v>15564</v>
      </c>
    </row>
    <row r="37" spans="11:15">
      <c r="K37" s="12" t="s">
        <v>140</v>
      </c>
      <c r="L37" s="12" t="s">
        <v>75</v>
      </c>
      <c r="M37" s="12" t="s">
        <v>90</v>
      </c>
      <c r="N37" s="12" t="s">
        <v>42</v>
      </c>
      <c r="O37" s="5">
        <v>5576</v>
      </c>
    </row>
    <row r="38" spans="11:15">
      <c r="K38" s="12" t="s">
        <v>142</v>
      </c>
      <c r="L38" s="12" t="s">
        <v>50</v>
      </c>
      <c r="M38" s="12" t="s">
        <v>63</v>
      </c>
      <c r="N38" s="12" t="s">
        <v>52</v>
      </c>
      <c r="O38" s="5">
        <v>2196</v>
      </c>
    </row>
    <row r="39" spans="11:15">
      <c r="K39" s="12" t="s">
        <v>145</v>
      </c>
      <c r="L39" s="12" t="s">
        <v>146</v>
      </c>
      <c r="M39" s="12" t="s">
        <v>147</v>
      </c>
      <c r="N39" s="12" t="s">
        <v>52</v>
      </c>
      <c r="O39" s="5">
        <v>6790</v>
      </c>
    </row>
    <row r="40" spans="11:15">
      <c r="K40" s="12" t="s">
        <v>148</v>
      </c>
      <c r="L40" s="12" t="s">
        <v>112</v>
      </c>
      <c r="M40" s="12" t="s">
        <v>90</v>
      </c>
      <c r="N40" s="12" t="s">
        <v>42</v>
      </c>
      <c r="O40" s="5">
        <v>22584</v>
      </c>
    </row>
    <row r="41" spans="11:15">
      <c r="K41" s="12" t="s">
        <v>150</v>
      </c>
      <c r="L41" s="12" t="s">
        <v>50</v>
      </c>
      <c r="M41" s="12" t="s">
        <v>41</v>
      </c>
      <c r="N41" s="12" t="s">
        <v>42</v>
      </c>
      <c r="O41" s="5">
        <v>20496</v>
      </c>
    </row>
    <row r="42" spans="11:15">
      <c r="K42" s="12" t="s">
        <v>151</v>
      </c>
      <c r="L42" s="12" t="s">
        <v>58</v>
      </c>
      <c r="M42" s="12" t="s">
        <v>116</v>
      </c>
      <c r="N42" s="12" t="s">
        <v>17</v>
      </c>
      <c r="O42" s="5">
        <v>8466</v>
      </c>
    </row>
    <row r="43" spans="11:15">
      <c r="K43" s="12" t="s">
        <v>153</v>
      </c>
      <c r="L43" s="12" t="s">
        <v>122</v>
      </c>
      <c r="M43" s="12" t="s">
        <v>41</v>
      </c>
      <c r="N43" s="12" t="s">
        <v>42</v>
      </c>
      <c r="O43" s="5">
        <v>25865</v>
      </c>
    </row>
    <row r="44" spans="11:15">
      <c r="K44" s="12" t="s">
        <v>155</v>
      </c>
      <c r="L44" s="12" t="s">
        <v>58</v>
      </c>
      <c r="M44" s="12" t="s">
        <v>116</v>
      </c>
      <c r="N44" s="12" t="s">
        <v>17</v>
      </c>
      <c r="O44" s="5">
        <v>12481</v>
      </c>
    </row>
    <row r="45" spans="11:15">
      <c r="K45" s="12" t="s">
        <v>157</v>
      </c>
      <c r="L45" s="12" t="s">
        <v>50</v>
      </c>
      <c r="M45" s="12" t="s">
        <v>159</v>
      </c>
      <c r="N45" s="12" t="s">
        <v>42</v>
      </c>
      <c r="O45" s="5">
        <v>10143</v>
      </c>
    </row>
    <row r="46" spans="11:15">
      <c r="K46" s="12" t="s">
        <v>160</v>
      </c>
      <c r="L46" s="12" t="s">
        <v>15</v>
      </c>
      <c r="M46" s="12" t="s">
        <v>116</v>
      </c>
      <c r="N46" s="12" t="s">
        <v>17</v>
      </c>
      <c r="O46" s="5">
        <v>1016</v>
      </c>
    </row>
    <row r="47" spans="11:15">
      <c r="K47" s="12" t="s">
        <v>162</v>
      </c>
      <c r="L47" s="12" t="s">
        <v>24</v>
      </c>
      <c r="M47" s="12" t="s">
        <v>51</v>
      </c>
      <c r="N47" s="12" t="s">
        <v>52</v>
      </c>
      <c r="O47" s="5">
        <v>2284</v>
      </c>
    </row>
    <row r="48" spans="11:15">
      <c r="K48" s="12" t="s">
        <v>164</v>
      </c>
      <c r="L48" s="12" t="s">
        <v>45</v>
      </c>
      <c r="M48" s="12" t="s">
        <v>165</v>
      </c>
      <c r="N48" s="12" t="s">
        <v>35</v>
      </c>
      <c r="O48" s="5">
        <v>87227</v>
      </c>
    </row>
    <row r="49" spans="11:15">
      <c r="K49" s="12" t="s">
        <v>166</v>
      </c>
      <c r="L49" s="12" t="s">
        <v>133</v>
      </c>
      <c r="M49" s="12" t="s">
        <v>69</v>
      </c>
      <c r="N49" s="12" t="s">
        <v>26</v>
      </c>
      <c r="O49" s="5">
        <v>46092</v>
      </c>
    </row>
    <row r="50" spans="11:15">
      <c r="K50" s="12" t="s">
        <v>168</v>
      </c>
      <c r="L50" s="12" t="s">
        <v>170</v>
      </c>
      <c r="M50" s="12" t="s">
        <v>159</v>
      </c>
      <c r="N50" s="12" t="s">
        <v>42</v>
      </c>
      <c r="O50" s="5">
        <v>22540</v>
      </c>
    </row>
    <row r="51" spans="11:15">
      <c r="K51" s="12" t="s">
        <v>171</v>
      </c>
      <c r="L51" s="12" t="s">
        <v>103</v>
      </c>
      <c r="M51" s="12" t="s">
        <v>159</v>
      </c>
      <c r="N51" s="12" t="s">
        <v>42</v>
      </c>
      <c r="O51" s="5">
        <v>23534</v>
      </c>
    </row>
    <row r="52" spans="11:15">
      <c r="K52" s="12" t="s">
        <v>173</v>
      </c>
      <c r="L52" s="12" t="s">
        <v>125</v>
      </c>
      <c r="M52" s="12" t="s">
        <v>25</v>
      </c>
      <c r="N52" s="12" t="s">
        <v>26</v>
      </c>
      <c r="O52" s="5">
        <v>39584</v>
      </c>
    </row>
    <row r="53" spans="11:15">
      <c r="K53" s="12" t="s">
        <v>175</v>
      </c>
      <c r="L53" s="12" t="s">
        <v>129</v>
      </c>
      <c r="M53" s="12" t="s">
        <v>34</v>
      </c>
      <c r="N53" s="12" t="s">
        <v>35</v>
      </c>
      <c r="O53" s="5">
        <v>258124</v>
      </c>
    </row>
    <row r="54" spans="11:15">
      <c r="K54" s="12" t="s">
        <v>177</v>
      </c>
      <c r="L54" s="12" t="s">
        <v>179</v>
      </c>
      <c r="M54" s="12" t="s">
        <v>130</v>
      </c>
      <c r="N54" s="12" t="s">
        <v>35</v>
      </c>
      <c r="O54" s="5">
        <v>87718</v>
      </c>
    </row>
    <row r="55" spans="11:15">
      <c r="K55" s="12" t="s">
        <v>180</v>
      </c>
      <c r="L55" s="12" t="s">
        <v>103</v>
      </c>
      <c r="M55" s="12" t="s">
        <v>59</v>
      </c>
      <c r="N55" s="12" t="s">
        <v>26</v>
      </c>
      <c r="O55" s="5">
        <v>23008</v>
      </c>
    </row>
    <row r="56" spans="11:15">
      <c r="K56" s="12" t="s">
        <v>182</v>
      </c>
      <c r="L56" s="12" t="s">
        <v>103</v>
      </c>
      <c r="M56" s="12" t="s">
        <v>51</v>
      </c>
      <c r="N56" s="12" t="s">
        <v>52</v>
      </c>
      <c r="O56" s="5">
        <v>1414</v>
      </c>
    </row>
    <row r="57" spans="11:15">
      <c r="K57" s="12" t="s">
        <v>184</v>
      </c>
      <c r="L57" s="12" t="s">
        <v>78</v>
      </c>
      <c r="M57" s="12" t="s">
        <v>90</v>
      </c>
      <c r="N57" s="12" t="s">
        <v>42</v>
      </c>
      <c r="O57" s="5">
        <v>3189</v>
      </c>
    </row>
    <row r="58" spans="11:15">
      <c r="K58" s="12" t="s">
        <v>186</v>
      </c>
      <c r="L58" s="12" t="s">
        <v>75</v>
      </c>
      <c r="M58" s="12" t="s">
        <v>90</v>
      </c>
      <c r="N58" s="12" t="s">
        <v>42</v>
      </c>
      <c r="O58" s="5">
        <v>10584</v>
      </c>
    </row>
    <row r="59" spans="11:15">
      <c r="K59" s="12" t="s">
        <v>188</v>
      </c>
      <c r="L59" s="12" t="s">
        <v>40</v>
      </c>
      <c r="M59" s="12" t="s">
        <v>25</v>
      </c>
      <c r="N59" s="12" t="s">
        <v>26</v>
      </c>
      <c r="O59" s="5">
        <v>5571</v>
      </c>
    </row>
    <row r="60" spans="11:15">
      <c r="K60" s="12" t="s">
        <v>190</v>
      </c>
      <c r="L60" s="12" t="s">
        <v>72</v>
      </c>
      <c r="M60" s="12" t="s">
        <v>109</v>
      </c>
      <c r="N60" s="12" t="s">
        <v>52</v>
      </c>
      <c r="O60" s="5">
        <v>2880</v>
      </c>
    </row>
    <row r="61" spans="11:15">
      <c r="K61" s="12" t="s">
        <v>193</v>
      </c>
      <c r="L61" s="12" t="s">
        <v>146</v>
      </c>
      <c r="M61" s="12" t="s">
        <v>165</v>
      </c>
      <c r="N61" s="12" t="s">
        <v>35</v>
      </c>
      <c r="O61" s="5">
        <v>319665</v>
      </c>
    </row>
    <row r="62" spans="11:15">
      <c r="K62" s="12" t="s">
        <v>194</v>
      </c>
      <c r="L62" s="12" t="s">
        <v>58</v>
      </c>
      <c r="M62" s="12" t="s">
        <v>165</v>
      </c>
      <c r="N62" s="12" t="s">
        <v>35</v>
      </c>
      <c r="O62" s="5">
        <v>77892</v>
      </c>
    </row>
    <row r="63" spans="11:15">
      <c r="K63" s="12" t="s">
        <v>196</v>
      </c>
      <c r="L63" s="12" t="s">
        <v>170</v>
      </c>
      <c r="M63" s="12" t="s">
        <v>69</v>
      </c>
      <c r="N63" s="12" t="s">
        <v>26</v>
      </c>
      <c r="O63" s="5">
        <v>25500</v>
      </c>
    </row>
    <row r="64" spans="11:15">
      <c r="K64" s="12" t="s">
        <v>198</v>
      </c>
      <c r="L64" s="12" t="s">
        <v>170</v>
      </c>
      <c r="M64" s="12" t="s">
        <v>97</v>
      </c>
      <c r="N64" s="12" t="s">
        <v>35</v>
      </c>
      <c r="O64" s="5">
        <v>596816</v>
      </c>
    </row>
    <row r="65" spans="11:15">
      <c r="K65" s="12" t="s">
        <v>200</v>
      </c>
      <c r="L65" s="12" t="s">
        <v>179</v>
      </c>
      <c r="M65" s="12" t="s">
        <v>69</v>
      </c>
      <c r="N65" s="12" t="s">
        <v>26</v>
      </c>
      <c r="O65" s="5">
        <v>8967</v>
      </c>
    </row>
    <row r="66" spans="11:15">
      <c r="K66" s="12" t="s">
        <v>202</v>
      </c>
      <c r="L66" s="12" t="s">
        <v>75</v>
      </c>
      <c r="M66" s="12" t="s">
        <v>90</v>
      </c>
      <c r="N66" s="12" t="s">
        <v>42</v>
      </c>
      <c r="O66" s="5">
        <v>3245</v>
      </c>
    </row>
    <row r="67" spans="11:15">
      <c r="K67" s="12" t="s">
        <v>204</v>
      </c>
      <c r="L67" s="12" t="s">
        <v>50</v>
      </c>
      <c r="M67" s="12" t="s">
        <v>86</v>
      </c>
      <c r="N67" s="12" t="s">
        <v>17</v>
      </c>
      <c r="O67" s="5">
        <v>6710</v>
      </c>
    </row>
    <row r="68" spans="11:15">
      <c r="K68" s="12" t="s">
        <v>206</v>
      </c>
      <c r="L68" s="12" t="s">
        <v>72</v>
      </c>
      <c r="M68" s="12" t="s">
        <v>97</v>
      </c>
      <c r="N68" s="12" t="s">
        <v>35</v>
      </c>
      <c r="O68" s="5">
        <v>208160</v>
      </c>
    </row>
    <row r="69" spans="11:15">
      <c r="K69" s="12" t="s">
        <v>208</v>
      </c>
      <c r="L69" s="12" t="s">
        <v>33</v>
      </c>
      <c r="M69" s="12" t="s">
        <v>165</v>
      </c>
      <c r="N69" s="12" t="s">
        <v>35</v>
      </c>
      <c r="O69" s="5">
        <v>190589</v>
      </c>
    </row>
    <row r="70" spans="11:15">
      <c r="K70" s="12" t="s">
        <v>210</v>
      </c>
      <c r="L70" s="12" t="s">
        <v>68</v>
      </c>
      <c r="M70" s="12" t="s">
        <v>159</v>
      </c>
      <c r="N70" s="12" t="s">
        <v>42</v>
      </c>
      <c r="O70" s="5">
        <v>3419</v>
      </c>
    </row>
    <row r="71" spans="11:15">
      <c r="K71" s="12" t="s">
        <v>212</v>
      </c>
      <c r="L71" s="12" t="s">
        <v>170</v>
      </c>
      <c r="M71" s="12" t="s">
        <v>51</v>
      </c>
      <c r="N71" s="12" t="s">
        <v>52</v>
      </c>
      <c r="O71" s="5">
        <v>6519</v>
      </c>
    </row>
    <row r="72" spans="11:15">
      <c r="K72" s="12" t="s">
        <v>214</v>
      </c>
      <c r="L72" s="12" t="s">
        <v>146</v>
      </c>
      <c r="M72" s="12" t="s">
        <v>41</v>
      </c>
      <c r="N72" s="12" t="s">
        <v>42</v>
      </c>
      <c r="O72" s="5">
        <v>2880</v>
      </c>
    </row>
    <row r="73" spans="11:15">
      <c r="K73" s="12" t="s">
        <v>216</v>
      </c>
      <c r="L73" s="12" t="s">
        <v>24</v>
      </c>
      <c r="M73" s="12" t="s">
        <v>218</v>
      </c>
      <c r="N73" s="12" t="s">
        <v>17</v>
      </c>
      <c r="O73" s="5">
        <v>5170</v>
      </c>
    </row>
    <row r="74" spans="11:15">
      <c r="K74" s="12" t="s">
        <v>219</v>
      </c>
      <c r="L74" s="12" t="s">
        <v>40</v>
      </c>
      <c r="M74" s="12" t="s">
        <v>79</v>
      </c>
      <c r="N74" s="12" t="s">
        <v>26</v>
      </c>
      <c r="O74" s="5">
        <v>14949</v>
      </c>
    </row>
    <row r="75" spans="11:15">
      <c r="K75" s="12" t="s">
        <v>221</v>
      </c>
      <c r="L75" s="12" t="s">
        <v>125</v>
      </c>
      <c r="M75" s="12" t="s">
        <v>46</v>
      </c>
      <c r="N75" s="12" t="s">
        <v>42</v>
      </c>
      <c r="O75" s="5">
        <v>22210</v>
      </c>
    </row>
    <row r="76" spans="11:15">
      <c r="K76" s="12" t="s">
        <v>223</v>
      </c>
      <c r="L76" s="12" t="s">
        <v>45</v>
      </c>
      <c r="M76" s="12" t="s">
        <v>59</v>
      </c>
      <c r="N76" s="12" t="s">
        <v>26</v>
      </c>
      <c r="O76" s="5">
        <v>26485</v>
      </c>
    </row>
    <row r="77" spans="11:15">
      <c r="K77" s="12" t="s">
        <v>225</v>
      </c>
      <c r="L77" s="12" t="s">
        <v>40</v>
      </c>
      <c r="M77" s="12" t="s">
        <v>109</v>
      </c>
      <c r="N77" s="12" t="s">
        <v>52</v>
      </c>
      <c r="O77" s="5">
        <v>5104</v>
      </c>
    </row>
    <row r="78" spans="11:15">
      <c r="K78" s="12" t="s">
        <v>227</v>
      </c>
      <c r="L78" s="12" t="s">
        <v>112</v>
      </c>
      <c r="M78" s="12" t="s">
        <v>147</v>
      </c>
      <c r="N78" s="12" t="s">
        <v>52</v>
      </c>
      <c r="O78" s="5">
        <v>5814</v>
      </c>
    </row>
    <row r="79" spans="11:15">
      <c r="K79" s="12" t="s">
        <v>229</v>
      </c>
      <c r="L79" s="12" t="s">
        <v>78</v>
      </c>
      <c r="M79" s="12" t="s">
        <v>97</v>
      </c>
      <c r="N79" s="12" t="s">
        <v>35</v>
      </c>
      <c r="O79" s="5">
        <v>74214</v>
      </c>
    </row>
    <row r="80" spans="11:15">
      <c r="K80" s="12" t="s">
        <v>230</v>
      </c>
      <c r="L80" s="12" t="s">
        <v>68</v>
      </c>
      <c r="M80" s="12" t="s">
        <v>218</v>
      </c>
      <c r="N80" s="12" t="s">
        <v>17</v>
      </c>
      <c r="O80" s="5">
        <v>2462</v>
      </c>
    </row>
    <row r="81" spans="11:15">
      <c r="K81" s="12" t="s">
        <v>232</v>
      </c>
      <c r="L81" s="12" t="s">
        <v>33</v>
      </c>
      <c r="M81" s="12" t="s">
        <v>218</v>
      </c>
      <c r="N81" s="12" t="s">
        <v>17</v>
      </c>
      <c r="O81" s="5">
        <v>6504</v>
      </c>
    </row>
    <row r="82" spans="11:15">
      <c r="K82" s="12" t="s">
        <v>234</v>
      </c>
      <c r="L82" s="12" t="s">
        <v>133</v>
      </c>
      <c r="M82" s="12" t="s">
        <v>16</v>
      </c>
      <c r="N82" s="12" t="s">
        <v>17</v>
      </c>
      <c r="O82" s="5">
        <v>3285</v>
      </c>
    </row>
    <row r="83" spans="11:15">
      <c r="K83" s="12" t="s">
        <v>236</v>
      </c>
      <c r="L83" s="12" t="s">
        <v>68</v>
      </c>
      <c r="M83" s="12" t="s">
        <v>69</v>
      </c>
      <c r="N83" s="12" t="s">
        <v>26</v>
      </c>
      <c r="O83" s="5">
        <v>8085</v>
      </c>
    </row>
    <row r="84" spans="11:15">
      <c r="K84" s="12" t="s">
        <v>238</v>
      </c>
      <c r="L84" s="12" t="s">
        <v>33</v>
      </c>
      <c r="M84" s="12" t="s">
        <v>116</v>
      </c>
      <c r="N84" s="12" t="s">
        <v>17</v>
      </c>
      <c r="O84" s="5">
        <v>2200</v>
      </c>
    </row>
    <row r="85" spans="11:15">
      <c r="K85" s="12" t="s">
        <v>239</v>
      </c>
      <c r="L85" s="12" t="s">
        <v>103</v>
      </c>
      <c r="M85" s="12" t="s">
        <v>79</v>
      </c>
      <c r="N85" s="12" t="s">
        <v>26</v>
      </c>
      <c r="O85" s="5">
        <v>12868</v>
      </c>
    </row>
    <row r="86" spans="11:15">
      <c r="K86" s="12" t="s">
        <v>240</v>
      </c>
      <c r="L86" s="12" t="s">
        <v>103</v>
      </c>
      <c r="M86" s="12" t="s">
        <v>147</v>
      </c>
      <c r="N86" s="12" t="s">
        <v>52</v>
      </c>
      <c r="O86" s="5">
        <v>310</v>
      </c>
    </row>
    <row r="87" spans="11:15">
      <c r="K87" s="12" t="s">
        <v>241</v>
      </c>
      <c r="L87" s="12" t="s">
        <v>45</v>
      </c>
      <c r="M87" s="12" t="s">
        <v>25</v>
      </c>
      <c r="N87" s="12" t="s">
        <v>26</v>
      </c>
      <c r="O87" s="5">
        <v>20688</v>
      </c>
    </row>
    <row r="88" spans="11:15">
      <c r="K88" s="12" t="s">
        <v>243</v>
      </c>
      <c r="L88" s="12" t="s">
        <v>45</v>
      </c>
      <c r="M88" s="12" t="s">
        <v>16</v>
      </c>
      <c r="N88" s="12" t="s">
        <v>17</v>
      </c>
      <c r="O88" s="5">
        <v>8211</v>
      </c>
    </row>
    <row r="89" spans="11:15">
      <c r="K89" s="12" t="s">
        <v>245</v>
      </c>
      <c r="L89" s="12" t="s">
        <v>68</v>
      </c>
      <c r="M89" s="12" t="s">
        <v>165</v>
      </c>
      <c r="N89" s="12" t="s">
        <v>35</v>
      </c>
      <c r="O89" s="5">
        <v>246912</v>
      </c>
    </row>
    <row r="90" spans="11:15">
      <c r="K90" s="12" t="s">
        <v>247</v>
      </c>
      <c r="L90" s="12" t="s">
        <v>129</v>
      </c>
      <c r="M90" s="12" t="s">
        <v>159</v>
      </c>
      <c r="N90" s="12" t="s">
        <v>42</v>
      </c>
      <c r="O90" s="5">
        <v>8868</v>
      </c>
    </row>
    <row r="91" spans="11:15">
      <c r="K91" s="12" t="s">
        <v>248</v>
      </c>
      <c r="L91" s="12" t="s">
        <v>68</v>
      </c>
      <c r="M91" s="12" t="s">
        <v>16</v>
      </c>
      <c r="N91" s="12" t="s">
        <v>17</v>
      </c>
      <c r="O91" s="5">
        <v>3479</v>
      </c>
    </row>
    <row r="92" spans="11:15">
      <c r="K92" s="12" t="s">
        <v>249</v>
      </c>
      <c r="L92" s="12" t="s">
        <v>122</v>
      </c>
      <c r="M92" s="12" t="s">
        <v>218</v>
      </c>
      <c r="N92" s="12" t="s">
        <v>17</v>
      </c>
      <c r="O92" s="5">
        <v>5100</v>
      </c>
    </row>
    <row r="93" spans="11:15">
      <c r="K93" s="12" t="s">
        <v>251</v>
      </c>
      <c r="L93" s="12" t="s">
        <v>170</v>
      </c>
      <c r="M93" s="12" t="s">
        <v>218</v>
      </c>
      <c r="N93" s="12" t="s">
        <v>17</v>
      </c>
      <c r="O93" s="5">
        <v>4712</v>
      </c>
    </row>
    <row r="94" spans="11:15">
      <c r="K94" s="12" t="s">
        <v>253</v>
      </c>
      <c r="L94" s="12" t="s">
        <v>170</v>
      </c>
      <c r="M94" s="12" t="s">
        <v>51</v>
      </c>
      <c r="N94" s="12" t="s">
        <v>52</v>
      </c>
      <c r="O94" s="5">
        <v>1125</v>
      </c>
    </row>
    <row r="95" spans="11:15">
      <c r="K95" s="12" t="s">
        <v>254</v>
      </c>
      <c r="L95" s="12" t="s">
        <v>146</v>
      </c>
      <c r="M95" s="12" t="s">
        <v>165</v>
      </c>
      <c r="N95" s="12" t="s">
        <v>35</v>
      </c>
      <c r="O95" s="5">
        <v>46264</v>
      </c>
    </row>
    <row r="96" spans="11:15">
      <c r="K96" s="12" t="s">
        <v>256</v>
      </c>
      <c r="L96" s="12" t="s">
        <v>112</v>
      </c>
      <c r="M96" s="12" t="s">
        <v>69</v>
      </c>
      <c r="N96" s="12" t="s">
        <v>26</v>
      </c>
      <c r="O96" s="5">
        <v>39215</v>
      </c>
    </row>
    <row r="97" spans="11:15">
      <c r="K97" s="12" t="s">
        <v>258</v>
      </c>
      <c r="L97" s="12" t="s">
        <v>170</v>
      </c>
      <c r="M97" s="12" t="s">
        <v>51</v>
      </c>
      <c r="N97" s="12" t="s">
        <v>52</v>
      </c>
      <c r="O97" s="5">
        <v>1087</v>
      </c>
    </row>
    <row r="98" spans="11:15">
      <c r="K98" s="12" t="s">
        <v>260</v>
      </c>
      <c r="L98" s="12" t="s">
        <v>50</v>
      </c>
      <c r="M98" s="12" t="s">
        <v>159</v>
      </c>
      <c r="N98" s="12" t="s">
        <v>42</v>
      </c>
      <c r="O98" s="5">
        <v>36939</v>
      </c>
    </row>
    <row r="99" spans="11:15">
      <c r="K99" s="12" t="s">
        <v>262</v>
      </c>
      <c r="L99" s="12" t="s">
        <v>50</v>
      </c>
      <c r="M99" s="12" t="s">
        <v>116</v>
      </c>
      <c r="N99" s="12" t="s">
        <v>17</v>
      </c>
      <c r="O99" s="5">
        <v>8874</v>
      </c>
    </row>
    <row r="100" spans="11:15">
      <c r="K100" s="12" t="s">
        <v>264</v>
      </c>
      <c r="L100" s="12" t="s">
        <v>50</v>
      </c>
      <c r="M100" s="12" t="s">
        <v>69</v>
      </c>
      <c r="N100" s="12" t="s">
        <v>26</v>
      </c>
      <c r="O100" s="5">
        <v>47628</v>
      </c>
    </row>
    <row r="101" spans="11:15">
      <c r="K101" s="12" t="s">
        <v>265</v>
      </c>
      <c r="L101" s="12" t="s">
        <v>122</v>
      </c>
      <c r="M101" s="12" t="s">
        <v>34</v>
      </c>
      <c r="N101" s="12" t="s">
        <v>35</v>
      </c>
      <c r="O101" s="5">
        <v>55830</v>
      </c>
    </row>
    <row r="102" spans="11:15">
      <c r="K102" s="12" t="s">
        <v>266</v>
      </c>
      <c r="L102" s="12" t="s">
        <v>58</v>
      </c>
      <c r="M102" s="12" t="s">
        <v>63</v>
      </c>
      <c r="N102" s="12" t="s">
        <v>52</v>
      </c>
      <c r="O102" s="5">
        <v>1674</v>
      </c>
    </row>
    <row r="103" spans="11:15">
      <c r="K103" s="12" t="s">
        <v>268</v>
      </c>
      <c r="L103" s="12" t="s">
        <v>40</v>
      </c>
      <c r="M103" s="12" t="s">
        <v>51</v>
      </c>
      <c r="N103" s="12" t="s">
        <v>52</v>
      </c>
      <c r="O103" s="5">
        <v>11920</v>
      </c>
    </row>
    <row r="104" spans="11:15">
      <c r="K104" s="12" t="s">
        <v>269</v>
      </c>
      <c r="L104" s="12" t="s">
        <v>146</v>
      </c>
      <c r="M104" s="12" t="s">
        <v>218</v>
      </c>
      <c r="N104" s="12" t="s">
        <v>17</v>
      </c>
      <c r="O104" s="5">
        <v>3240</v>
      </c>
    </row>
    <row r="105" spans="11:15">
      <c r="K105" s="12" t="s">
        <v>270</v>
      </c>
      <c r="L105" s="12" t="s">
        <v>33</v>
      </c>
      <c r="M105" s="12" t="s">
        <v>69</v>
      </c>
      <c r="N105" s="12" t="s">
        <v>26</v>
      </c>
      <c r="O105" s="5">
        <v>6543</v>
      </c>
    </row>
    <row r="106" spans="11:15">
      <c r="K106" s="12" t="s">
        <v>272</v>
      </c>
      <c r="L106" s="12" t="s">
        <v>75</v>
      </c>
      <c r="M106" s="12" t="s">
        <v>79</v>
      </c>
      <c r="N106" s="12" t="s">
        <v>26</v>
      </c>
      <c r="O106" s="5">
        <v>71538</v>
      </c>
    </row>
    <row r="107" spans="11:15">
      <c r="K107" s="12" t="s">
        <v>274</v>
      </c>
      <c r="L107" s="12" t="s">
        <v>72</v>
      </c>
      <c r="M107" s="12" t="s">
        <v>130</v>
      </c>
      <c r="N107" s="12" t="s">
        <v>35</v>
      </c>
      <c r="O107" s="5">
        <v>236640</v>
      </c>
    </row>
    <row r="108" spans="11:15">
      <c r="K108" s="12" t="s">
        <v>276</v>
      </c>
      <c r="L108" s="12" t="s">
        <v>15</v>
      </c>
      <c r="M108" s="12" t="s">
        <v>69</v>
      </c>
      <c r="N108" s="12" t="s">
        <v>26</v>
      </c>
      <c r="O108" s="5">
        <v>70704</v>
      </c>
    </row>
    <row r="109" spans="11:15">
      <c r="K109" s="12" t="s">
        <v>278</v>
      </c>
      <c r="L109" s="12" t="s">
        <v>112</v>
      </c>
      <c r="M109" s="12" t="s">
        <v>109</v>
      </c>
      <c r="N109" s="12" t="s">
        <v>52</v>
      </c>
      <c r="O109" s="5">
        <v>3252</v>
      </c>
    </row>
    <row r="110" spans="11:15">
      <c r="K110" s="12" t="s">
        <v>280</v>
      </c>
      <c r="L110" s="12" t="s">
        <v>133</v>
      </c>
      <c r="M110" s="12" t="s">
        <v>79</v>
      </c>
      <c r="N110" s="12" t="s">
        <v>26</v>
      </c>
      <c r="O110" s="5">
        <v>24584</v>
      </c>
    </row>
    <row r="111" spans="11:15">
      <c r="K111" s="12" t="s">
        <v>281</v>
      </c>
      <c r="L111" s="12" t="s">
        <v>146</v>
      </c>
      <c r="M111" s="12" t="s">
        <v>59</v>
      </c>
      <c r="N111" s="12" t="s">
        <v>26</v>
      </c>
      <c r="O111" s="5">
        <v>15912</v>
      </c>
    </row>
    <row r="112" spans="11:15">
      <c r="K112" s="12" t="s">
        <v>283</v>
      </c>
      <c r="L112" s="12" t="s">
        <v>40</v>
      </c>
      <c r="M112" s="12" t="s">
        <v>63</v>
      </c>
      <c r="N112" s="12" t="s">
        <v>52</v>
      </c>
      <c r="O112" s="5">
        <v>1389</v>
      </c>
    </row>
    <row r="113" spans="11:15">
      <c r="K113" s="12" t="s">
        <v>285</v>
      </c>
      <c r="L113" s="12" t="s">
        <v>122</v>
      </c>
      <c r="M113" s="12" t="s">
        <v>159</v>
      </c>
      <c r="N113" s="12" t="s">
        <v>42</v>
      </c>
      <c r="O113" s="5">
        <v>1836</v>
      </c>
    </row>
    <row r="114" spans="11:15">
      <c r="K114" s="12" t="s">
        <v>287</v>
      </c>
      <c r="L114" s="12" t="s">
        <v>72</v>
      </c>
      <c r="M114" s="12" t="s">
        <v>147</v>
      </c>
      <c r="N114" s="12" t="s">
        <v>52</v>
      </c>
      <c r="O114" s="5">
        <v>3246</v>
      </c>
    </row>
    <row r="115" spans="11:15">
      <c r="K115" s="12" t="s">
        <v>289</v>
      </c>
      <c r="L115" s="12" t="s">
        <v>40</v>
      </c>
      <c r="M115" s="12" t="s">
        <v>25</v>
      </c>
      <c r="N115" s="12" t="s">
        <v>26</v>
      </c>
      <c r="O115" s="5">
        <v>10775</v>
      </c>
    </row>
    <row r="116" spans="11:15">
      <c r="K116" s="12" t="s">
        <v>291</v>
      </c>
      <c r="L116" s="12" t="s">
        <v>72</v>
      </c>
      <c r="M116" s="12" t="s">
        <v>86</v>
      </c>
      <c r="N116" s="12" t="s">
        <v>17</v>
      </c>
      <c r="O116" s="5">
        <v>3424</v>
      </c>
    </row>
    <row r="117" spans="11:15">
      <c r="K117" s="12" t="s">
        <v>293</v>
      </c>
      <c r="L117" s="12" t="s">
        <v>50</v>
      </c>
      <c r="M117" s="12" t="s">
        <v>59</v>
      </c>
      <c r="N117" s="12" t="s">
        <v>26</v>
      </c>
      <c r="O117" s="5">
        <v>13356</v>
      </c>
    </row>
    <row r="118" spans="11:15">
      <c r="K118" s="12" t="s">
        <v>295</v>
      </c>
      <c r="L118" s="12" t="s">
        <v>72</v>
      </c>
      <c r="M118" s="12" t="s">
        <v>130</v>
      </c>
      <c r="N118" s="12" t="s">
        <v>35</v>
      </c>
      <c r="O118" s="5">
        <v>204624</v>
      </c>
    </row>
    <row r="119" spans="11:15">
      <c r="K119" s="12" t="s">
        <v>297</v>
      </c>
      <c r="L119" s="12" t="s">
        <v>33</v>
      </c>
      <c r="M119" s="12" t="s">
        <v>51</v>
      </c>
      <c r="N119" s="12" t="s">
        <v>52</v>
      </c>
      <c r="O119" s="5">
        <v>7968</v>
      </c>
    </row>
    <row r="120" spans="11:15">
      <c r="K120" s="12" t="s">
        <v>299</v>
      </c>
      <c r="L120" s="12" t="s">
        <v>170</v>
      </c>
      <c r="M120" s="12" t="s">
        <v>165</v>
      </c>
      <c r="N120" s="12" t="s">
        <v>35</v>
      </c>
      <c r="O120" s="5">
        <v>220384</v>
      </c>
    </row>
    <row r="121" spans="11:15">
      <c r="K121" s="12" t="s">
        <v>301</v>
      </c>
      <c r="L121" s="12" t="s">
        <v>75</v>
      </c>
      <c r="M121" s="12" t="s">
        <v>90</v>
      </c>
      <c r="N121" s="12" t="s">
        <v>42</v>
      </c>
      <c r="O121" s="5">
        <v>33425</v>
      </c>
    </row>
    <row r="122" spans="11:15">
      <c r="K122" s="12" t="s">
        <v>303</v>
      </c>
      <c r="L122" s="12" t="s">
        <v>45</v>
      </c>
      <c r="M122" s="12" t="s">
        <v>159</v>
      </c>
      <c r="N122" s="12" t="s">
        <v>42</v>
      </c>
      <c r="O122" s="5">
        <v>16930</v>
      </c>
    </row>
    <row r="123" spans="11:15">
      <c r="K123" s="12" t="s">
        <v>305</v>
      </c>
      <c r="L123" s="12" t="s">
        <v>75</v>
      </c>
      <c r="M123" s="12" t="s">
        <v>46</v>
      </c>
      <c r="N123" s="12" t="s">
        <v>42</v>
      </c>
      <c r="O123" s="5">
        <v>4263</v>
      </c>
    </row>
    <row r="124" spans="11:15">
      <c r="K124" s="12" t="s">
        <v>307</v>
      </c>
      <c r="L124" s="12" t="s">
        <v>129</v>
      </c>
      <c r="M124" s="12" t="s">
        <v>79</v>
      </c>
      <c r="N124" s="12" t="s">
        <v>26</v>
      </c>
      <c r="O124" s="5">
        <v>5703</v>
      </c>
    </row>
    <row r="125" spans="11:15">
      <c r="K125" s="12" t="s">
        <v>309</v>
      </c>
      <c r="L125" s="12" t="s">
        <v>122</v>
      </c>
      <c r="M125" s="12" t="s">
        <v>46</v>
      </c>
      <c r="N125" s="12" t="s">
        <v>42</v>
      </c>
      <c r="O125" s="5">
        <v>29648</v>
      </c>
    </row>
    <row r="126" spans="11:15">
      <c r="K126" s="12" t="s">
        <v>311</v>
      </c>
      <c r="L126" s="12" t="s">
        <v>179</v>
      </c>
      <c r="M126" s="12" t="s">
        <v>90</v>
      </c>
      <c r="N126" s="12" t="s">
        <v>42</v>
      </c>
      <c r="O126" s="5">
        <v>4914</v>
      </c>
    </row>
    <row r="127" spans="11:15">
      <c r="K127" s="12" t="s">
        <v>312</v>
      </c>
      <c r="L127" s="12" t="s">
        <v>24</v>
      </c>
      <c r="M127" s="12" t="s">
        <v>159</v>
      </c>
      <c r="N127" s="12" t="s">
        <v>42</v>
      </c>
      <c r="O127" s="5">
        <v>2462</v>
      </c>
    </row>
    <row r="128" spans="11:15">
      <c r="K128" s="12" t="s">
        <v>314</v>
      </c>
      <c r="L128" s="12" t="s">
        <v>146</v>
      </c>
      <c r="M128" s="12" t="s">
        <v>79</v>
      </c>
      <c r="N128" s="12" t="s">
        <v>26</v>
      </c>
      <c r="O128" s="5">
        <v>26848</v>
      </c>
    </row>
    <row r="129" spans="11:15">
      <c r="K129" s="12" t="s">
        <v>315</v>
      </c>
      <c r="L129" s="12" t="s">
        <v>75</v>
      </c>
      <c r="M129" s="12" t="s">
        <v>218</v>
      </c>
      <c r="N129" s="12" t="s">
        <v>17</v>
      </c>
      <c r="O129" s="5">
        <v>11008</v>
      </c>
    </row>
    <row r="130" spans="11:15">
      <c r="K130" s="12" t="s">
        <v>316</v>
      </c>
      <c r="L130" s="12" t="s">
        <v>170</v>
      </c>
      <c r="M130" s="12" t="s">
        <v>63</v>
      </c>
      <c r="N130" s="12" t="s">
        <v>52</v>
      </c>
      <c r="O130" s="5">
        <v>3332</v>
      </c>
    </row>
    <row r="131" spans="11:15">
      <c r="K131" s="12" t="s">
        <v>317</v>
      </c>
      <c r="L131" s="12" t="s">
        <v>112</v>
      </c>
      <c r="M131" s="12" t="s">
        <v>59</v>
      </c>
      <c r="N131" s="12" t="s">
        <v>26</v>
      </c>
      <c r="O131" s="5">
        <v>28805</v>
      </c>
    </row>
    <row r="132" spans="11:15">
      <c r="K132" s="12" t="s">
        <v>318</v>
      </c>
      <c r="L132" s="12" t="s">
        <v>58</v>
      </c>
      <c r="M132" s="12" t="s">
        <v>109</v>
      </c>
      <c r="N132" s="12" t="s">
        <v>52</v>
      </c>
      <c r="O132" s="5">
        <v>582</v>
      </c>
    </row>
    <row r="133" spans="11:15">
      <c r="K133" s="12" t="s">
        <v>320</v>
      </c>
      <c r="L133" s="12" t="s">
        <v>24</v>
      </c>
      <c r="M133" s="12" t="s">
        <v>59</v>
      </c>
      <c r="N133" s="12" t="s">
        <v>26</v>
      </c>
      <c r="O133" s="5">
        <v>41150</v>
      </c>
    </row>
    <row r="134" spans="11:15">
      <c r="K134" s="12" t="s">
        <v>322</v>
      </c>
      <c r="L134" s="12" t="s">
        <v>170</v>
      </c>
      <c r="M134" s="12" t="s">
        <v>159</v>
      </c>
      <c r="N134" s="12" t="s">
        <v>42</v>
      </c>
      <c r="O134" s="5">
        <v>11898</v>
      </c>
    </row>
    <row r="135" spans="11:15">
      <c r="K135" s="12" t="s">
        <v>323</v>
      </c>
      <c r="L135" s="12" t="s">
        <v>170</v>
      </c>
      <c r="M135" s="12" t="s">
        <v>97</v>
      </c>
      <c r="N135" s="12" t="s">
        <v>35</v>
      </c>
      <c r="O135" s="5">
        <v>121614</v>
      </c>
    </row>
    <row r="136" spans="11:15">
      <c r="K136" s="12" t="s">
        <v>325</v>
      </c>
      <c r="L136" s="12" t="s">
        <v>122</v>
      </c>
      <c r="M136" s="12" t="s">
        <v>51</v>
      </c>
      <c r="N136" s="12" t="s">
        <v>52</v>
      </c>
      <c r="O136" s="5">
        <v>12104</v>
      </c>
    </row>
    <row r="137" spans="11:15">
      <c r="K137" s="12" t="s">
        <v>327</v>
      </c>
      <c r="L137" s="12" t="s">
        <v>129</v>
      </c>
      <c r="M137" s="12" t="s">
        <v>218</v>
      </c>
      <c r="N137" s="12" t="s">
        <v>17</v>
      </c>
      <c r="O137" s="5">
        <v>7080</v>
      </c>
    </row>
    <row r="138" spans="11:15">
      <c r="K138" s="12" t="s">
        <v>328</v>
      </c>
      <c r="L138" s="12" t="s">
        <v>45</v>
      </c>
      <c r="M138" s="12" t="s">
        <v>41</v>
      </c>
      <c r="N138" s="12" t="s">
        <v>42</v>
      </c>
      <c r="O138" s="5">
        <v>15456</v>
      </c>
    </row>
    <row r="139" spans="11:15">
      <c r="K139" s="12" t="s">
        <v>329</v>
      </c>
      <c r="L139" s="12" t="s">
        <v>33</v>
      </c>
      <c r="M139" s="12" t="s">
        <v>116</v>
      </c>
      <c r="N139" s="12" t="s">
        <v>17</v>
      </c>
      <c r="O139" s="5">
        <v>8652</v>
      </c>
    </row>
    <row r="140" spans="11:15">
      <c r="K140" s="12" t="s">
        <v>331</v>
      </c>
      <c r="L140" s="12" t="s">
        <v>58</v>
      </c>
      <c r="M140" s="12" t="s">
        <v>90</v>
      </c>
      <c r="N140" s="12" t="s">
        <v>42</v>
      </c>
      <c r="O140" s="5">
        <v>11757</v>
      </c>
    </row>
    <row r="141" spans="11:15">
      <c r="K141" s="12" t="s">
        <v>333</v>
      </c>
      <c r="L141" s="12" t="s">
        <v>45</v>
      </c>
      <c r="M141" s="12" t="s">
        <v>41</v>
      </c>
      <c r="N141" s="12" t="s">
        <v>42</v>
      </c>
      <c r="O141" s="5">
        <v>32886</v>
      </c>
    </row>
    <row r="142" spans="11:15">
      <c r="K142" s="12" t="s">
        <v>335</v>
      </c>
      <c r="L142" s="12" t="s">
        <v>170</v>
      </c>
      <c r="M142" s="12" t="s">
        <v>116</v>
      </c>
      <c r="N142" s="12" t="s">
        <v>17</v>
      </c>
      <c r="O142" s="5">
        <v>4214</v>
      </c>
    </row>
    <row r="143" spans="11:15">
      <c r="K143" s="12" t="s">
        <v>337</v>
      </c>
      <c r="L143" s="12" t="s">
        <v>112</v>
      </c>
      <c r="M143" s="12" t="s">
        <v>51</v>
      </c>
      <c r="N143" s="12" t="s">
        <v>52</v>
      </c>
      <c r="O143" s="5">
        <v>4040</v>
      </c>
    </row>
    <row r="144" spans="11:15">
      <c r="K144" s="12" t="s">
        <v>338</v>
      </c>
      <c r="L144" s="12" t="s">
        <v>78</v>
      </c>
      <c r="M144" s="12" t="s">
        <v>46</v>
      </c>
      <c r="N144" s="12" t="s">
        <v>42</v>
      </c>
      <c r="O144" s="5">
        <v>27996</v>
      </c>
    </row>
    <row r="145" spans="11:15">
      <c r="K145" s="12" t="s">
        <v>339</v>
      </c>
      <c r="L145" s="12" t="s">
        <v>50</v>
      </c>
      <c r="M145" s="12" t="s">
        <v>34</v>
      </c>
      <c r="N145" s="12" t="s">
        <v>35</v>
      </c>
      <c r="O145" s="5">
        <v>385744</v>
      </c>
    </row>
    <row r="146" spans="11:15">
      <c r="K146" s="12" t="s">
        <v>340</v>
      </c>
      <c r="L146" s="12" t="s">
        <v>78</v>
      </c>
      <c r="M146" s="12" t="s">
        <v>218</v>
      </c>
      <c r="N146" s="12" t="s">
        <v>17</v>
      </c>
      <c r="O146" s="5">
        <v>7230</v>
      </c>
    </row>
    <row r="147" spans="11:15">
      <c r="K147" s="12" t="s">
        <v>341</v>
      </c>
      <c r="L147" s="12" t="s">
        <v>170</v>
      </c>
      <c r="M147" s="12" t="s">
        <v>86</v>
      </c>
      <c r="N147" s="12" t="s">
        <v>17</v>
      </c>
      <c r="O147" s="5">
        <v>1671</v>
      </c>
    </row>
    <row r="148" spans="11:15">
      <c r="K148" s="12" t="s">
        <v>343</v>
      </c>
      <c r="L148" s="12" t="s">
        <v>75</v>
      </c>
      <c r="M148" s="12" t="s">
        <v>147</v>
      </c>
      <c r="N148" s="12" t="s">
        <v>52</v>
      </c>
      <c r="O148" s="5">
        <v>6594</v>
      </c>
    </row>
    <row r="149" spans="11:15">
      <c r="K149" s="12" t="s">
        <v>345</v>
      </c>
      <c r="L149" s="12" t="s">
        <v>170</v>
      </c>
      <c r="M149" s="12" t="s">
        <v>51</v>
      </c>
      <c r="N149" s="12" t="s">
        <v>52</v>
      </c>
      <c r="O149" s="5">
        <v>2279</v>
      </c>
    </row>
    <row r="150" spans="11:15">
      <c r="K150" s="12" t="s">
        <v>347</v>
      </c>
      <c r="L150" s="12" t="s">
        <v>15</v>
      </c>
      <c r="M150" s="12" t="s">
        <v>51</v>
      </c>
      <c r="N150" s="12" t="s">
        <v>52</v>
      </c>
      <c r="O150" s="5">
        <v>6416</v>
      </c>
    </row>
    <row r="151" spans="11:15">
      <c r="K151" s="12" t="s">
        <v>349</v>
      </c>
      <c r="L151" s="12" t="s">
        <v>72</v>
      </c>
      <c r="M151" s="12" t="s">
        <v>79</v>
      </c>
      <c r="N151" s="12" t="s">
        <v>26</v>
      </c>
      <c r="O151" s="5">
        <v>51569</v>
      </c>
    </row>
    <row r="152" spans="11:15">
      <c r="K152" s="12" t="s">
        <v>351</v>
      </c>
      <c r="L152" s="12" t="s">
        <v>103</v>
      </c>
      <c r="M152" s="12" t="s">
        <v>218</v>
      </c>
      <c r="N152" s="12" t="s">
        <v>17</v>
      </c>
      <c r="O152" s="5">
        <v>4856</v>
      </c>
    </row>
    <row r="153" spans="11:15">
      <c r="K153" s="12" t="s">
        <v>353</v>
      </c>
      <c r="L153" s="12" t="s">
        <v>129</v>
      </c>
      <c r="M153" s="12" t="s">
        <v>16</v>
      </c>
      <c r="N153" s="12" t="s">
        <v>17</v>
      </c>
      <c r="O153" s="5">
        <v>3135</v>
      </c>
    </row>
    <row r="154" spans="11:15">
      <c r="K154" s="12" t="s">
        <v>355</v>
      </c>
      <c r="L154" s="12" t="s">
        <v>122</v>
      </c>
      <c r="M154" s="12" t="s">
        <v>51</v>
      </c>
      <c r="N154" s="12" t="s">
        <v>52</v>
      </c>
      <c r="O154" s="5">
        <v>14240</v>
      </c>
    </row>
    <row r="155" spans="11:15">
      <c r="K155" s="12" t="s">
        <v>357</v>
      </c>
      <c r="L155" s="12" t="s">
        <v>170</v>
      </c>
      <c r="M155" s="12" t="s">
        <v>59</v>
      </c>
      <c r="N155" s="12" t="s">
        <v>26</v>
      </c>
      <c r="O155" s="5">
        <v>20366</v>
      </c>
    </row>
    <row r="156" spans="11:15">
      <c r="K156" s="12" t="s">
        <v>358</v>
      </c>
      <c r="L156" s="12" t="s">
        <v>78</v>
      </c>
      <c r="M156" s="12" t="s">
        <v>51</v>
      </c>
      <c r="N156" s="12" t="s">
        <v>52</v>
      </c>
      <c r="O156" s="5">
        <v>16856</v>
      </c>
    </row>
    <row r="157" spans="11:15">
      <c r="K157" s="12" t="s">
        <v>360</v>
      </c>
      <c r="L157" s="12" t="s">
        <v>75</v>
      </c>
      <c r="M157" s="12" t="s">
        <v>46</v>
      </c>
      <c r="N157" s="12" t="s">
        <v>42</v>
      </c>
      <c r="O157" s="5">
        <v>16680</v>
      </c>
    </row>
    <row r="158" spans="11:15">
      <c r="K158" s="12" t="s">
        <v>362</v>
      </c>
      <c r="L158" s="12" t="s">
        <v>129</v>
      </c>
      <c r="M158" s="12" t="s">
        <v>159</v>
      </c>
      <c r="N158" s="12" t="s">
        <v>42</v>
      </c>
      <c r="O158" s="5">
        <v>26544</v>
      </c>
    </row>
    <row r="159" spans="11:15">
      <c r="K159" s="12" t="s">
        <v>364</v>
      </c>
      <c r="L159" s="12" t="s">
        <v>122</v>
      </c>
      <c r="M159" s="12" t="s">
        <v>79</v>
      </c>
      <c r="N159" s="12" t="s">
        <v>26</v>
      </c>
      <c r="O159" s="5">
        <v>7748</v>
      </c>
    </row>
    <row r="160" spans="11:15">
      <c r="K160" s="12" t="s">
        <v>366</v>
      </c>
      <c r="L160" s="12" t="s">
        <v>45</v>
      </c>
      <c r="M160" s="12" t="s">
        <v>34</v>
      </c>
      <c r="N160" s="12" t="s">
        <v>35</v>
      </c>
      <c r="O160" s="5">
        <v>83099</v>
      </c>
    </row>
    <row r="161" spans="11:15">
      <c r="K161" s="12" t="s">
        <v>368</v>
      </c>
      <c r="L161" s="12" t="s">
        <v>122</v>
      </c>
      <c r="M161" s="12" t="s">
        <v>147</v>
      </c>
      <c r="N161" s="12" t="s">
        <v>52</v>
      </c>
      <c r="O161" s="5">
        <v>19680</v>
      </c>
    </row>
    <row r="162" spans="11:15">
      <c r="K162" s="12" t="s">
        <v>370</v>
      </c>
      <c r="L162" s="12" t="s">
        <v>133</v>
      </c>
      <c r="M162" s="12" t="s">
        <v>109</v>
      </c>
      <c r="N162" s="12" t="s">
        <v>52</v>
      </c>
      <c r="O162" s="5">
        <v>5920</v>
      </c>
    </row>
    <row r="163" spans="11:15">
      <c r="K163" s="12" t="s">
        <v>372</v>
      </c>
      <c r="L163" s="12" t="s">
        <v>122</v>
      </c>
      <c r="M163" s="12" t="s">
        <v>97</v>
      </c>
      <c r="N163" s="12" t="s">
        <v>35</v>
      </c>
      <c r="O163" s="5">
        <v>336066</v>
      </c>
    </row>
    <row r="164" spans="11:15">
      <c r="K164" s="12" t="s">
        <v>374</v>
      </c>
      <c r="L164" s="12" t="s">
        <v>75</v>
      </c>
      <c r="M164" s="12" t="s">
        <v>41</v>
      </c>
      <c r="N164" s="12" t="s">
        <v>42</v>
      </c>
      <c r="O164" s="5">
        <v>27167</v>
      </c>
    </row>
    <row r="165" spans="11:15">
      <c r="K165" s="12" t="s">
        <v>375</v>
      </c>
      <c r="L165" s="12" t="s">
        <v>125</v>
      </c>
      <c r="M165" s="12" t="s">
        <v>79</v>
      </c>
      <c r="N165" s="12" t="s">
        <v>26</v>
      </c>
      <c r="O165" s="5">
        <v>52130</v>
      </c>
    </row>
    <row r="166" spans="11:15">
      <c r="K166" s="12" t="s">
        <v>377</v>
      </c>
      <c r="L166" s="12" t="s">
        <v>40</v>
      </c>
      <c r="M166" s="12" t="s">
        <v>86</v>
      </c>
      <c r="N166" s="12" t="s">
        <v>17</v>
      </c>
      <c r="O166" s="5">
        <v>2560</v>
      </c>
    </row>
    <row r="167" spans="11:15">
      <c r="K167" s="12" t="s">
        <v>378</v>
      </c>
      <c r="L167" s="12" t="s">
        <v>33</v>
      </c>
      <c r="M167" s="12" t="s">
        <v>130</v>
      </c>
      <c r="N167" s="12" t="s">
        <v>35</v>
      </c>
      <c r="O167" s="5">
        <v>512296</v>
      </c>
    </row>
    <row r="168" spans="11:15">
      <c r="K168" s="12" t="s">
        <v>380</v>
      </c>
      <c r="L168" s="12" t="s">
        <v>125</v>
      </c>
      <c r="M168" s="12" t="s">
        <v>218</v>
      </c>
      <c r="N168" s="12" t="s">
        <v>17</v>
      </c>
      <c r="O168" s="5">
        <v>6328</v>
      </c>
    </row>
    <row r="169" spans="11:15">
      <c r="K169" s="12" t="s">
        <v>382</v>
      </c>
      <c r="L169" s="12" t="s">
        <v>112</v>
      </c>
      <c r="M169" s="12" t="s">
        <v>90</v>
      </c>
      <c r="N169" s="12" t="s">
        <v>42</v>
      </c>
      <c r="O169" s="5">
        <v>5538</v>
      </c>
    </row>
    <row r="170" spans="11:15">
      <c r="K170" s="12" t="s">
        <v>384</v>
      </c>
      <c r="L170" s="12" t="s">
        <v>45</v>
      </c>
      <c r="M170" s="12" t="s">
        <v>116</v>
      </c>
      <c r="N170" s="12" t="s">
        <v>17</v>
      </c>
      <c r="O170" s="5">
        <v>1756</v>
      </c>
    </row>
    <row r="171" spans="11:15">
      <c r="K171" s="12" t="s">
        <v>386</v>
      </c>
      <c r="L171" s="12" t="s">
        <v>112</v>
      </c>
      <c r="M171" s="12" t="s">
        <v>16</v>
      </c>
      <c r="N171" s="12" t="s">
        <v>17</v>
      </c>
      <c r="O171" s="5">
        <v>2268</v>
      </c>
    </row>
    <row r="172" spans="11:15">
      <c r="K172" s="12" t="s">
        <v>388</v>
      </c>
      <c r="L172" s="12" t="s">
        <v>50</v>
      </c>
      <c r="M172" s="12" t="s">
        <v>16</v>
      </c>
      <c r="N172" s="12" t="s">
        <v>17</v>
      </c>
      <c r="O172" s="5">
        <v>2379</v>
      </c>
    </row>
    <row r="173" spans="11:15">
      <c r="K173" s="12" t="s">
        <v>389</v>
      </c>
      <c r="L173" s="12" t="s">
        <v>33</v>
      </c>
      <c r="M173" s="12" t="s">
        <v>159</v>
      </c>
      <c r="N173" s="12" t="s">
        <v>42</v>
      </c>
      <c r="O173" s="5">
        <v>5860</v>
      </c>
    </row>
    <row r="174" spans="11:15">
      <c r="K174" s="12" t="s">
        <v>390</v>
      </c>
      <c r="L174" s="12" t="s">
        <v>103</v>
      </c>
      <c r="M174" s="12" t="s">
        <v>116</v>
      </c>
      <c r="N174" s="12" t="s">
        <v>17</v>
      </c>
      <c r="O174" s="5">
        <v>8748</v>
      </c>
    </row>
    <row r="175" spans="11:15">
      <c r="K175" s="12" t="s">
        <v>392</v>
      </c>
      <c r="L175" s="12" t="s">
        <v>24</v>
      </c>
      <c r="M175" s="12" t="s">
        <v>25</v>
      </c>
      <c r="N175" s="12" t="s">
        <v>26</v>
      </c>
      <c r="O175" s="5">
        <v>43950</v>
      </c>
    </row>
    <row r="176" spans="11:15">
      <c r="K176" s="12" t="s">
        <v>394</v>
      </c>
      <c r="L176" s="12" t="s">
        <v>75</v>
      </c>
      <c r="M176" s="12" t="s">
        <v>59</v>
      </c>
      <c r="N176" s="12" t="s">
        <v>26</v>
      </c>
      <c r="O176" s="5">
        <v>5037</v>
      </c>
    </row>
    <row r="177" spans="11:15">
      <c r="K177" s="12" t="s">
        <v>395</v>
      </c>
      <c r="L177" s="12" t="s">
        <v>75</v>
      </c>
      <c r="M177" s="12" t="s">
        <v>218</v>
      </c>
      <c r="N177" s="12" t="s">
        <v>17</v>
      </c>
      <c r="O177" s="5">
        <v>6136</v>
      </c>
    </row>
    <row r="178" spans="11:15">
      <c r="K178" s="12" t="s">
        <v>397</v>
      </c>
      <c r="L178" s="12" t="s">
        <v>40</v>
      </c>
      <c r="M178" s="12" t="s">
        <v>16</v>
      </c>
      <c r="N178" s="12" t="s">
        <v>17</v>
      </c>
      <c r="O178" s="5">
        <v>3234</v>
      </c>
    </row>
    <row r="179" spans="11:15">
      <c r="K179" s="12" t="s">
        <v>399</v>
      </c>
      <c r="L179" s="12" t="s">
        <v>75</v>
      </c>
      <c r="M179" s="12" t="s">
        <v>86</v>
      </c>
      <c r="N179" s="12" t="s">
        <v>17</v>
      </c>
      <c r="O179" s="5">
        <v>3546</v>
      </c>
    </row>
    <row r="180" spans="11:15">
      <c r="K180" s="12" t="s">
        <v>401</v>
      </c>
      <c r="L180" s="12" t="s">
        <v>24</v>
      </c>
      <c r="M180" s="12" t="s">
        <v>41</v>
      </c>
      <c r="N180" s="12" t="s">
        <v>42</v>
      </c>
      <c r="O180" s="5">
        <v>18816</v>
      </c>
    </row>
    <row r="181" spans="11:15">
      <c r="K181" s="12" t="s">
        <v>403</v>
      </c>
      <c r="L181" s="12" t="s">
        <v>129</v>
      </c>
      <c r="M181" s="12" t="s">
        <v>97</v>
      </c>
      <c r="N181" s="12" t="s">
        <v>35</v>
      </c>
      <c r="O181" s="5">
        <v>77340</v>
      </c>
    </row>
    <row r="182" spans="11:15">
      <c r="K182" s="12" t="s">
        <v>405</v>
      </c>
      <c r="L182" s="12" t="s">
        <v>170</v>
      </c>
      <c r="M182" s="12" t="s">
        <v>79</v>
      </c>
      <c r="N182" s="12" t="s">
        <v>26</v>
      </c>
      <c r="O182" s="5">
        <v>12486</v>
      </c>
    </row>
    <row r="183" spans="11:15">
      <c r="K183" s="12" t="s">
        <v>407</v>
      </c>
      <c r="L183" s="12" t="s">
        <v>40</v>
      </c>
      <c r="M183" s="12" t="s">
        <v>79</v>
      </c>
      <c r="N183" s="12" t="s">
        <v>26</v>
      </c>
      <c r="O183" s="5">
        <v>22260</v>
      </c>
    </row>
    <row r="184" spans="11:15">
      <c r="K184" s="12" t="s">
        <v>409</v>
      </c>
      <c r="L184" s="12" t="s">
        <v>78</v>
      </c>
      <c r="M184" s="12" t="s">
        <v>97</v>
      </c>
      <c r="N184" s="12" t="s">
        <v>35</v>
      </c>
      <c r="O184" s="5">
        <v>534835</v>
      </c>
    </row>
    <row r="185" spans="11:15">
      <c r="K185" s="12" t="s">
        <v>410</v>
      </c>
      <c r="L185" s="12" t="s">
        <v>133</v>
      </c>
      <c r="M185" s="12" t="s">
        <v>46</v>
      </c>
      <c r="N185" s="12" t="s">
        <v>42</v>
      </c>
      <c r="O185" s="5">
        <v>11776</v>
      </c>
    </row>
    <row r="186" spans="11:15">
      <c r="K186" s="12" t="s">
        <v>412</v>
      </c>
      <c r="L186" s="12" t="s">
        <v>78</v>
      </c>
      <c r="M186" s="12" t="s">
        <v>69</v>
      </c>
      <c r="N186" s="12" t="s">
        <v>26</v>
      </c>
      <c r="O186" s="5">
        <v>9814</v>
      </c>
    </row>
    <row r="187" spans="11:15">
      <c r="K187" s="12" t="s">
        <v>414</v>
      </c>
      <c r="L187" s="12" t="s">
        <v>122</v>
      </c>
      <c r="M187" s="12" t="s">
        <v>109</v>
      </c>
      <c r="N187" s="12" t="s">
        <v>52</v>
      </c>
      <c r="O187" s="5">
        <v>1886</v>
      </c>
    </row>
    <row r="188" spans="11:15">
      <c r="K188" s="12" t="s">
        <v>416</v>
      </c>
      <c r="L188" s="12" t="s">
        <v>68</v>
      </c>
      <c r="M188" s="12" t="s">
        <v>97</v>
      </c>
      <c r="N188" s="12" t="s">
        <v>35</v>
      </c>
      <c r="O188" s="5">
        <v>197331</v>
      </c>
    </row>
    <row r="189" spans="11:15">
      <c r="K189" s="12" t="s">
        <v>417</v>
      </c>
      <c r="L189" s="12" t="s">
        <v>170</v>
      </c>
      <c r="M189" s="12" t="s">
        <v>130</v>
      </c>
      <c r="N189" s="12" t="s">
        <v>35</v>
      </c>
      <c r="O189" s="5">
        <v>192608</v>
      </c>
    </row>
    <row r="190" spans="11:15">
      <c r="K190" s="12" t="s">
        <v>419</v>
      </c>
      <c r="L190" s="12" t="s">
        <v>78</v>
      </c>
      <c r="M190" s="12" t="s">
        <v>16</v>
      </c>
      <c r="N190" s="12" t="s">
        <v>17</v>
      </c>
      <c r="O190" s="5">
        <v>3372</v>
      </c>
    </row>
    <row r="191" spans="11:15">
      <c r="K191" s="12" t="s">
        <v>421</v>
      </c>
      <c r="L191" s="12" t="s">
        <v>15</v>
      </c>
      <c r="M191" s="12" t="s">
        <v>159</v>
      </c>
      <c r="N191" s="12" t="s">
        <v>42</v>
      </c>
      <c r="O191" s="5">
        <v>16212</v>
      </c>
    </row>
    <row r="192" spans="11:15">
      <c r="K192" s="12" t="s">
        <v>423</v>
      </c>
      <c r="L192" s="12" t="s">
        <v>125</v>
      </c>
      <c r="M192" s="12" t="s">
        <v>113</v>
      </c>
      <c r="N192" s="12" t="s">
        <v>35</v>
      </c>
      <c r="O192" s="5">
        <v>100890</v>
      </c>
    </row>
    <row r="193" spans="11:15">
      <c r="K193" s="12" t="s">
        <v>425</v>
      </c>
      <c r="L193" s="12" t="s">
        <v>45</v>
      </c>
      <c r="M193" s="12" t="s">
        <v>69</v>
      </c>
      <c r="N193" s="12" t="s">
        <v>26</v>
      </c>
      <c r="O193" s="5">
        <v>7252</v>
      </c>
    </row>
    <row r="194" spans="11:15">
      <c r="K194" s="12" t="s">
        <v>426</v>
      </c>
      <c r="L194" s="12" t="s">
        <v>58</v>
      </c>
      <c r="M194" s="12" t="s">
        <v>113</v>
      </c>
      <c r="N194" s="12" t="s">
        <v>35</v>
      </c>
      <c r="O194" s="5">
        <v>257145</v>
      </c>
    </row>
    <row r="195" spans="11:15">
      <c r="K195" s="12" t="s">
        <v>428</v>
      </c>
      <c r="L195" s="12" t="s">
        <v>129</v>
      </c>
      <c r="M195" s="12" t="s">
        <v>159</v>
      </c>
      <c r="N195" s="12" t="s">
        <v>42</v>
      </c>
      <c r="O195" s="5">
        <v>6696</v>
      </c>
    </row>
    <row r="196" spans="11:15">
      <c r="K196" s="12" t="s">
        <v>430</v>
      </c>
      <c r="L196" s="12" t="s">
        <v>122</v>
      </c>
      <c r="M196" s="12" t="s">
        <v>51</v>
      </c>
      <c r="N196" s="12" t="s">
        <v>52</v>
      </c>
      <c r="O196" s="5">
        <v>18112</v>
      </c>
    </row>
    <row r="197" spans="11:15">
      <c r="K197" s="12" t="s">
        <v>431</v>
      </c>
      <c r="L197" s="12" t="s">
        <v>78</v>
      </c>
      <c r="M197" s="12" t="s">
        <v>109</v>
      </c>
      <c r="N197" s="12" t="s">
        <v>52</v>
      </c>
      <c r="O197" s="5">
        <v>18224</v>
      </c>
    </row>
    <row r="198" spans="11:15">
      <c r="K198" s="12" t="s">
        <v>433</v>
      </c>
      <c r="L198" s="12" t="s">
        <v>146</v>
      </c>
      <c r="M198" s="12" t="s">
        <v>79</v>
      </c>
      <c r="N198" s="12" t="s">
        <v>26</v>
      </c>
      <c r="O198" s="5">
        <v>16336</v>
      </c>
    </row>
    <row r="199" spans="11:15">
      <c r="K199" s="12" t="s">
        <v>435</v>
      </c>
      <c r="L199" s="12" t="s">
        <v>45</v>
      </c>
      <c r="M199" s="12" t="s">
        <v>59</v>
      </c>
      <c r="N199" s="12" t="s">
        <v>26</v>
      </c>
      <c r="O199" s="5">
        <v>12404</v>
      </c>
    </row>
    <row r="200" spans="11:15">
      <c r="K200" s="12" t="s">
        <v>437</v>
      </c>
      <c r="L200" s="12" t="s">
        <v>72</v>
      </c>
      <c r="M200" s="12" t="s">
        <v>130</v>
      </c>
      <c r="N200" s="12" t="s">
        <v>35</v>
      </c>
      <c r="O200" s="5">
        <v>101355</v>
      </c>
    </row>
    <row r="201" spans="11:15">
      <c r="K201" s="12" t="s">
        <v>438</v>
      </c>
      <c r="L201" s="12" t="s">
        <v>50</v>
      </c>
      <c r="M201" s="12" t="s">
        <v>51</v>
      </c>
      <c r="N201" s="12" t="s">
        <v>52</v>
      </c>
      <c r="O201" s="5">
        <v>4050</v>
      </c>
    </row>
    <row r="202" spans="11:15">
      <c r="K202" s="12" t="s">
        <v>439</v>
      </c>
      <c r="L202" s="12" t="s">
        <v>78</v>
      </c>
      <c r="M202" s="12" t="s">
        <v>90</v>
      </c>
      <c r="N202" s="12" t="s">
        <v>42</v>
      </c>
      <c r="O202" s="5">
        <v>5900</v>
      </c>
    </row>
    <row r="203" spans="11:15">
      <c r="K203" s="12" t="s">
        <v>441</v>
      </c>
      <c r="L203" s="12" t="s">
        <v>170</v>
      </c>
      <c r="M203" s="12" t="s">
        <v>51</v>
      </c>
      <c r="N203" s="12" t="s">
        <v>52</v>
      </c>
      <c r="O203" s="5">
        <v>9798</v>
      </c>
    </row>
    <row r="204" spans="11:15">
      <c r="K204" s="12" t="s">
        <v>442</v>
      </c>
      <c r="L204" s="12" t="s">
        <v>40</v>
      </c>
      <c r="M204" s="12" t="s">
        <v>116</v>
      </c>
      <c r="N204" s="12" t="s">
        <v>17</v>
      </c>
      <c r="O204" s="5">
        <v>1246</v>
      </c>
    </row>
    <row r="205" spans="11:15">
      <c r="K205" s="12" t="s">
        <v>443</v>
      </c>
      <c r="L205" s="12" t="s">
        <v>133</v>
      </c>
      <c r="M205" s="12" t="s">
        <v>130</v>
      </c>
      <c r="N205" s="12" t="s">
        <v>35</v>
      </c>
      <c r="O205" s="5">
        <v>55722</v>
      </c>
    </row>
    <row r="206" spans="11:15">
      <c r="K206" s="12" t="s">
        <v>445</v>
      </c>
      <c r="L206" s="12" t="s">
        <v>68</v>
      </c>
      <c r="M206" s="12" t="s">
        <v>86</v>
      </c>
      <c r="N206" s="12" t="s">
        <v>17</v>
      </c>
      <c r="O206" s="5">
        <v>1142</v>
      </c>
    </row>
    <row r="207" spans="11:15">
      <c r="K207" s="12" t="s">
        <v>447</v>
      </c>
      <c r="L207" s="12" t="s">
        <v>50</v>
      </c>
      <c r="M207" s="12" t="s">
        <v>86</v>
      </c>
      <c r="N207" s="12" t="s">
        <v>17</v>
      </c>
      <c r="O207" s="5">
        <v>3592</v>
      </c>
    </row>
    <row r="208" spans="11:15">
      <c r="K208" s="12" t="s">
        <v>448</v>
      </c>
      <c r="L208" s="12" t="s">
        <v>179</v>
      </c>
      <c r="M208" s="12" t="s">
        <v>25</v>
      </c>
      <c r="N208" s="12" t="s">
        <v>26</v>
      </c>
      <c r="O208" s="5">
        <v>9840</v>
      </c>
    </row>
    <row r="209" spans="11:15">
      <c r="K209" s="12" t="s">
        <v>449</v>
      </c>
      <c r="L209" s="12" t="s">
        <v>15</v>
      </c>
      <c r="M209" s="12" t="s">
        <v>116</v>
      </c>
      <c r="N209" s="12" t="s">
        <v>17</v>
      </c>
      <c r="O209" s="5">
        <v>6608</v>
      </c>
    </row>
    <row r="210" spans="11:15">
      <c r="K210" s="12" t="s">
        <v>451</v>
      </c>
      <c r="L210" s="12" t="s">
        <v>45</v>
      </c>
      <c r="M210" s="12" t="s">
        <v>79</v>
      </c>
      <c r="N210" s="12" t="s">
        <v>26</v>
      </c>
      <c r="O210" s="5">
        <v>35610</v>
      </c>
    </row>
    <row r="211" spans="11:15">
      <c r="K211" s="12" t="s">
        <v>453</v>
      </c>
      <c r="L211" s="12" t="s">
        <v>15</v>
      </c>
      <c r="M211" s="12" t="s">
        <v>34</v>
      </c>
      <c r="N211" s="12" t="s">
        <v>35</v>
      </c>
      <c r="O211" s="5">
        <v>176015</v>
      </c>
    </row>
    <row r="212" spans="11:15">
      <c r="K212" s="12" t="s">
        <v>455</v>
      </c>
      <c r="L212" s="12" t="s">
        <v>103</v>
      </c>
      <c r="M212" s="12" t="s">
        <v>116</v>
      </c>
      <c r="N212" s="12" t="s">
        <v>17</v>
      </c>
      <c r="O212" s="5">
        <v>7935</v>
      </c>
    </row>
    <row r="213" spans="11:15">
      <c r="K213" s="12" t="s">
        <v>457</v>
      </c>
      <c r="L213" s="12" t="s">
        <v>133</v>
      </c>
      <c r="M213" s="12" t="s">
        <v>79</v>
      </c>
      <c r="N213" s="12" t="s">
        <v>26</v>
      </c>
      <c r="O213" s="5">
        <v>28254</v>
      </c>
    </row>
    <row r="214" spans="11:15">
      <c r="K214" s="12" t="s">
        <v>459</v>
      </c>
      <c r="L214" s="12" t="s">
        <v>24</v>
      </c>
      <c r="M214" s="12" t="s">
        <v>34</v>
      </c>
      <c r="N214" s="12" t="s">
        <v>35</v>
      </c>
      <c r="O214" s="5">
        <v>3987</v>
      </c>
    </row>
    <row r="215" spans="11:15">
      <c r="K215" s="12" t="s">
        <v>461</v>
      </c>
      <c r="L215" s="12" t="s">
        <v>146</v>
      </c>
      <c r="M215" s="12" t="s">
        <v>16</v>
      </c>
      <c r="N215" s="12" t="s">
        <v>17</v>
      </c>
      <c r="O215" s="5">
        <v>5999</v>
      </c>
    </row>
    <row r="216" spans="11:15">
      <c r="K216" s="12" t="s">
        <v>463</v>
      </c>
      <c r="L216" s="12" t="s">
        <v>33</v>
      </c>
      <c r="M216" s="12" t="s">
        <v>159</v>
      </c>
      <c r="N216" s="12" t="s">
        <v>42</v>
      </c>
      <c r="O216" s="5">
        <v>4932</v>
      </c>
    </row>
    <row r="217" spans="11:15">
      <c r="K217" s="12" t="s">
        <v>464</v>
      </c>
      <c r="L217" s="12" t="s">
        <v>170</v>
      </c>
      <c r="M217" s="12" t="s">
        <v>46</v>
      </c>
      <c r="N217" s="12" t="s">
        <v>42</v>
      </c>
      <c r="O217" s="5">
        <v>12405</v>
      </c>
    </row>
    <row r="218" spans="11:15">
      <c r="K218" s="12" t="s">
        <v>465</v>
      </c>
      <c r="L218" s="12" t="s">
        <v>170</v>
      </c>
      <c r="M218" s="12" t="s">
        <v>16</v>
      </c>
      <c r="N218" s="12" t="s">
        <v>17</v>
      </c>
      <c r="O218" s="5">
        <v>5424</v>
      </c>
    </row>
    <row r="219" spans="11:15">
      <c r="K219" s="12" t="s">
        <v>466</v>
      </c>
      <c r="L219" s="12" t="s">
        <v>78</v>
      </c>
      <c r="M219" s="12" t="s">
        <v>34</v>
      </c>
      <c r="N219" s="12" t="s">
        <v>35</v>
      </c>
      <c r="O219" s="5">
        <v>316535</v>
      </c>
    </row>
    <row r="220" spans="11:15">
      <c r="K220" s="12" t="s">
        <v>467</v>
      </c>
      <c r="L220" s="12" t="s">
        <v>68</v>
      </c>
      <c r="M220" s="12" t="s">
        <v>41</v>
      </c>
      <c r="N220" s="12" t="s">
        <v>42</v>
      </c>
      <c r="O220" s="5">
        <v>4266</v>
      </c>
    </row>
    <row r="221" spans="11:15">
      <c r="K221" s="12" t="s">
        <v>469</v>
      </c>
      <c r="L221" s="12" t="s">
        <v>146</v>
      </c>
      <c r="M221" s="12" t="s">
        <v>41</v>
      </c>
      <c r="N221" s="12" t="s">
        <v>42</v>
      </c>
      <c r="O221" s="5">
        <v>24785</v>
      </c>
    </row>
    <row r="222" spans="11:15">
      <c r="K222" s="12" t="s">
        <v>471</v>
      </c>
      <c r="L222" s="12" t="s">
        <v>50</v>
      </c>
      <c r="M222" s="12" t="s">
        <v>79</v>
      </c>
      <c r="N222" s="12" t="s">
        <v>26</v>
      </c>
      <c r="O222" s="5">
        <v>32753</v>
      </c>
    </row>
    <row r="223" spans="11:15">
      <c r="K223" s="12" t="s">
        <v>473</v>
      </c>
      <c r="L223" s="12" t="s">
        <v>146</v>
      </c>
      <c r="M223" s="12" t="s">
        <v>46</v>
      </c>
      <c r="N223" s="12" t="s">
        <v>42</v>
      </c>
      <c r="O223" s="5">
        <v>3184</v>
      </c>
    </row>
    <row r="224" spans="11:15">
      <c r="K224" s="12" t="s">
        <v>474</v>
      </c>
      <c r="L224" s="12" t="s">
        <v>45</v>
      </c>
      <c r="M224" s="12" t="s">
        <v>59</v>
      </c>
      <c r="N224" s="12" t="s">
        <v>26</v>
      </c>
      <c r="O224" s="5">
        <v>18248</v>
      </c>
    </row>
    <row r="225" spans="11:15">
      <c r="K225" s="12" t="s">
        <v>476</v>
      </c>
      <c r="L225" s="12" t="s">
        <v>15</v>
      </c>
      <c r="M225" s="12" t="s">
        <v>147</v>
      </c>
      <c r="N225" s="12" t="s">
        <v>52</v>
      </c>
      <c r="O225" s="5">
        <v>7492</v>
      </c>
    </row>
    <row r="226" spans="11:15">
      <c r="K226" s="12" t="s">
        <v>478</v>
      </c>
      <c r="L226" s="12" t="s">
        <v>129</v>
      </c>
      <c r="M226" s="12" t="s">
        <v>116</v>
      </c>
      <c r="N226" s="12" t="s">
        <v>17</v>
      </c>
      <c r="O226" s="5">
        <v>1644</v>
      </c>
    </row>
    <row r="227" spans="11:15">
      <c r="K227" s="12" t="s">
        <v>479</v>
      </c>
      <c r="L227" s="12" t="s">
        <v>33</v>
      </c>
      <c r="M227" s="12" t="s">
        <v>16</v>
      </c>
      <c r="N227" s="12" t="s">
        <v>17</v>
      </c>
      <c r="O227" s="5">
        <v>6488</v>
      </c>
    </row>
    <row r="228" spans="11:15">
      <c r="K228" s="12" t="s">
        <v>481</v>
      </c>
      <c r="L228" s="12" t="s">
        <v>33</v>
      </c>
      <c r="M228" s="12" t="s">
        <v>41</v>
      </c>
      <c r="N228" s="12" t="s">
        <v>42</v>
      </c>
      <c r="O228" s="5">
        <v>15631</v>
      </c>
    </row>
    <row r="229" spans="11:15">
      <c r="K229" s="12" t="s">
        <v>483</v>
      </c>
      <c r="L229" s="12" t="s">
        <v>78</v>
      </c>
      <c r="M229" s="12" t="s">
        <v>90</v>
      </c>
      <c r="N229" s="12" t="s">
        <v>42</v>
      </c>
      <c r="O229" s="5">
        <v>30696</v>
      </c>
    </row>
    <row r="230" spans="11:15">
      <c r="K230" s="12" t="s">
        <v>484</v>
      </c>
      <c r="L230" s="12" t="s">
        <v>103</v>
      </c>
      <c r="M230" s="12" t="s">
        <v>90</v>
      </c>
      <c r="N230" s="12" t="s">
        <v>42</v>
      </c>
      <c r="O230" s="5">
        <v>5478</v>
      </c>
    </row>
    <row r="231" spans="11:15">
      <c r="K231" s="12" t="s">
        <v>486</v>
      </c>
      <c r="L231" s="12" t="s">
        <v>58</v>
      </c>
      <c r="M231" s="12" t="s">
        <v>79</v>
      </c>
      <c r="N231" s="12" t="s">
        <v>26</v>
      </c>
      <c r="O231" s="5">
        <v>3432</v>
      </c>
    </row>
    <row r="232" spans="11:15">
      <c r="K232" s="12" t="s">
        <v>488</v>
      </c>
      <c r="L232" s="12" t="s">
        <v>58</v>
      </c>
      <c r="M232" s="12" t="s">
        <v>63</v>
      </c>
      <c r="N232" s="12" t="s">
        <v>52</v>
      </c>
      <c r="O232" s="5">
        <v>10314</v>
      </c>
    </row>
    <row r="233" spans="11:15">
      <c r="K233" s="12" t="s">
        <v>490</v>
      </c>
      <c r="L233" s="12" t="s">
        <v>170</v>
      </c>
      <c r="M233" s="12" t="s">
        <v>51</v>
      </c>
      <c r="N233" s="12" t="s">
        <v>52</v>
      </c>
      <c r="O233" s="5">
        <v>2404</v>
      </c>
    </row>
    <row r="234" spans="11:15">
      <c r="K234" s="12" t="s">
        <v>492</v>
      </c>
      <c r="L234" s="12" t="s">
        <v>75</v>
      </c>
      <c r="M234" s="12" t="s">
        <v>34</v>
      </c>
      <c r="N234" s="12" t="s">
        <v>35</v>
      </c>
      <c r="O234" s="5">
        <v>79388</v>
      </c>
    </row>
    <row r="235" spans="11:15">
      <c r="K235" s="12" t="s">
        <v>494</v>
      </c>
      <c r="L235" s="12" t="s">
        <v>122</v>
      </c>
      <c r="M235" s="12" t="s">
        <v>130</v>
      </c>
      <c r="N235" s="12" t="s">
        <v>35</v>
      </c>
      <c r="O235" s="5">
        <v>199074</v>
      </c>
    </row>
    <row r="236" spans="11:15">
      <c r="K236" s="12" t="s">
        <v>495</v>
      </c>
      <c r="L236" s="12" t="s">
        <v>45</v>
      </c>
      <c r="M236" s="12" t="s">
        <v>130</v>
      </c>
      <c r="N236" s="12" t="s">
        <v>35</v>
      </c>
      <c r="O236" s="5">
        <v>232746</v>
      </c>
    </row>
    <row r="237" spans="11:15">
      <c r="K237" s="12" t="s">
        <v>496</v>
      </c>
      <c r="L237" s="12" t="s">
        <v>146</v>
      </c>
      <c r="M237" s="12" t="s">
        <v>109</v>
      </c>
      <c r="N237" s="12" t="s">
        <v>52</v>
      </c>
      <c r="O237" s="5">
        <v>6232</v>
      </c>
    </row>
    <row r="238" spans="11:15">
      <c r="K238" s="12" t="s">
        <v>497</v>
      </c>
      <c r="L238" s="12" t="s">
        <v>133</v>
      </c>
      <c r="M238" s="12" t="s">
        <v>147</v>
      </c>
      <c r="N238" s="12" t="s">
        <v>52</v>
      </c>
      <c r="O238" s="5">
        <v>1275</v>
      </c>
    </row>
    <row r="239" spans="11:15">
      <c r="K239" s="12" t="s">
        <v>498</v>
      </c>
      <c r="L239" s="12" t="s">
        <v>40</v>
      </c>
      <c r="M239" s="12" t="s">
        <v>69</v>
      </c>
      <c r="N239" s="12" t="s">
        <v>26</v>
      </c>
      <c r="O239" s="5">
        <v>16056</v>
      </c>
    </row>
    <row r="240" spans="11:15">
      <c r="K240" s="12" t="s">
        <v>499</v>
      </c>
      <c r="L240" s="12" t="s">
        <v>15</v>
      </c>
      <c r="M240" s="12" t="s">
        <v>16</v>
      </c>
      <c r="N240" s="12" t="s">
        <v>17</v>
      </c>
      <c r="O240" s="5">
        <v>3204</v>
      </c>
    </row>
    <row r="241" spans="11:15">
      <c r="K241" s="12" t="s">
        <v>500</v>
      </c>
      <c r="L241" s="12" t="s">
        <v>40</v>
      </c>
      <c r="M241" s="12" t="s">
        <v>147</v>
      </c>
      <c r="N241" s="12" t="s">
        <v>52</v>
      </c>
      <c r="O241" s="5">
        <v>6168</v>
      </c>
    </row>
    <row r="242" spans="11:15">
      <c r="K242" s="12" t="s">
        <v>501</v>
      </c>
      <c r="L242" s="12" t="s">
        <v>179</v>
      </c>
      <c r="M242" s="12" t="s">
        <v>90</v>
      </c>
      <c r="N242" s="12" t="s">
        <v>42</v>
      </c>
      <c r="O242" s="5">
        <v>1417</v>
      </c>
    </row>
    <row r="243" spans="11:15">
      <c r="K243" s="12" t="s">
        <v>502</v>
      </c>
      <c r="L243" s="12" t="s">
        <v>75</v>
      </c>
      <c r="M243" s="12" t="s">
        <v>109</v>
      </c>
      <c r="N243" s="12" t="s">
        <v>52</v>
      </c>
      <c r="O243" s="5">
        <v>12104</v>
      </c>
    </row>
    <row r="244" spans="11:15">
      <c r="K244" s="12" t="s">
        <v>504</v>
      </c>
      <c r="L244" s="12" t="s">
        <v>58</v>
      </c>
      <c r="M244" s="12" t="s">
        <v>97</v>
      </c>
      <c r="N244" s="12" t="s">
        <v>35</v>
      </c>
      <c r="O244" s="5">
        <v>111030</v>
      </c>
    </row>
    <row r="245" spans="11:15">
      <c r="K245" s="12" t="s">
        <v>506</v>
      </c>
      <c r="L245" s="12" t="s">
        <v>78</v>
      </c>
      <c r="M245" s="12" t="s">
        <v>218</v>
      </c>
      <c r="N245" s="12" t="s">
        <v>17</v>
      </c>
      <c r="O245" s="5">
        <v>10549</v>
      </c>
    </row>
    <row r="246" spans="11:15">
      <c r="K246" s="12" t="s">
        <v>508</v>
      </c>
      <c r="L246" s="12" t="s">
        <v>68</v>
      </c>
      <c r="M246" s="12" t="s">
        <v>46</v>
      </c>
      <c r="N246" s="12" t="s">
        <v>42</v>
      </c>
      <c r="O246" s="5">
        <v>37653</v>
      </c>
    </row>
    <row r="247" spans="11:15">
      <c r="K247" s="12" t="s">
        <v>509</v>
      </c>
      <c r="L247" s="12" t="s">
        <v>170</v>
      </c>
      <c r="M247" s="12" t="s">
        <v>63</v>
      </c>
      <c r="N247" s="12" t="s">
        <v>52</v>
      </c>
      <c r="O247" s="5">
        <v>570</v>
      </c>
    </row>
    <row r="248" spans="11:15">
      <c r="K248" s="12" t="s">
        <v>511</v>
      </c>
      <c r="L248" s="12" t="s">
        <v>68</v>
      </c>
      <c r="M248" s="12" t="s">
        <v>90</v>
      </c>
      <c r="N248" s="12" t="s">
        <v>42</v>
      </c>
      <c r="O248" s="5">
        <v>4806</v>
      </c>
    </row>
    <row r="249" spans="11:15">
      <c r="K249" s="12" t="s">
        <v>512</v>
      </c>
      <c r="L249" s="12" t="s">
        <v>58</v>
      </c>
      <c r="M249" s="12" t="s">
        <v>25</v>
      </c>
      <c r="N249" s="12" t="s">
        <v>26</v>
      </c>
      <c r="O249" s="5">
        <v>10254</v>
      </c>
    </row>
    <row r="250" spans="11:15">
      <c r="K250" s="12" t="s">
        <v>513</v>
      </c>
      <c r="L250" s="12" t="s">
        <v>125</v>
      </c>
      <c r="M250" s="12" t="s">
        <v>109</v>
      </c>
      <c r="N250" s="12" t="s">
        <v>52</v>
      </c>
      <c r="O250" s="5">
        <v>5685</v>
      </c>
    </row>
    <row r="251" spans="11:15">
      <c r="K251" s="12" t="s">
        <v>515</v>
      </c>
      <c r="L251" s="12" t="s">
        <v>170</v>
      </c>
      <c r="M251" s="12" t="s">
        <v>130</v>
      </c>
      <c r="N251" s="12" t="s">
        <v>35</v>
      </c>
      <c r="O251" s="5">
        <v>161890</v>
      </c>
    </row>
    <row r="252" spans="11:15">
      <c r="K252" s="12" t="s">
        <v>517</v>
      </c>
      <c r="L252" s="12" t="s">
        <v>40</v>
      </c>
      <c r="M252" s="12" t="s">
        <v>51</v>
      </c>
      <c r="N252" s="12" t="s">
        <v>52</v>
      </c>
      <c r="O252" s="5">
        <v>16555</v>
      </c>
    </row>
    <row r="253" spans="11:15">
      <c r="K253" s="12" t="s">
        <v>518</v>
      </c>
      <c r="L253" s="12" t="s">
        <v>179</v>
      </c>
      <c r="M253" s="12" t="s">
        <v>25</v>
      </c>
      <c r="N253" s="12" t="s">
        <v>26</v>
      </c>
      <c r="O253" s="5">
        <v>33112</v>
      </c>
    </row>
    <row r="254" spans="11:15">
      <c r="K254" s="12" t="s">
        <v>520</v>
      </c>
      <c r="L254" s="12" t="s">
        <v>125</v>
      </c>
      <c r="M254" s="12" t="s">
        <v>69</v>
      </c>
      <c r="N254" s="12" t="s">
        <v>26</v>
      </c>
      <c r="O254" s="5">
        <v>17616</v>
      </c>
    </row>
    <row r="255" spans="11:15">
      <c r="K255" s="12" t="s">
        <v>522</v>
      </c>
      <c r="L255" s="12" t="s">
        <v>122</v>
      </c>
      <c r="M255" s="12" t="s">
        <v>109</v>
      </c>
      <c r="N255" s="12" t="s">
        <v>52</v>
      </c>
      <c r="O255" s="5">
        <v>724</v>
      </c>
    </row>
    <row r="256" spans="11:15">
      <c r="K256" s="12" t="s">
        <v>524</v>
      </c>
      <c r="L256" s="12" t="s">
        <v>122</v>
      </c>
      <c r="M256" s="12" t="s">
        <v>97</v>
      </c>
      <c r="N256" s="12" t="s">
        <v>35</v>
      </c>
      <c r="O256" s="5">
        <v>64640</v>
      </c>
    </row>
    <row r="257" spans="11:15">
      <c r="K257" s="12" t="s">
        <v>526</v>
      </c>
      <c r="L257" s="12" t="s">
        <v>58</v>
      </c>
      <c r="M257" s="12" t="s">
        <v>90</v>
      </c>
      <c r="N257" s="12" t="s">
        <v>42</v>
      </c>
      <c r="O257" s="5">
        <v>25400</v>
      </c>
    </row>
    <row r="258" spans="11:15">
      <c r="K258" s="12" t="s">
        <v>528</v>
      </c>
      <c r="L258" s="12" t="s">
        <v>103</v>
      </c>
      <c r="M258" s="12" t="s">
        <v>59</v>
      </c>
      <c r="N258" s="12" t="s">
        <v>26</v>
      </c>
      <c r="O258" s="5">
        <v>22590</v>
      </c>
    </row>
    <row r="259" spans="11:15">
      <c r="K259" s="12" t="s">
        <v>529</v>
      </c>
      <c r="L259" s="12" t="s">
        <v>103</v>
      </c>
      <c r="M259" s="12" t="s">
        <v>63</v>
      </c>
      <c r="N259" s="12" t="s">
        <v>52</v>
      </c>
      <c r="O259" s="5">
        <v>10913</v>
      </c>
    </row>
    <row r="260" spans="11:15">
      <c r="K260" s="12" t="s">
        <v>531</v>
      </c>
      <c r="L260" s="12" t="s">
        <v>78</v>
      </c>
      <c r="M260" s="12" t="s">
        <v>86</v>
      </c>
      <c r="N260" s="12" t="s">
        <v>17</v>
      </c>
      <c r="O260" s="5">
        <v>6820</v>
      </c>
    </row>
    <row r="261" spans="11:15">
      <c r="K261" s="12" t="s">
        <v>532</v>
      </c>
      <c r="L261" s="12" t="s">
        <v>133</v>
      </c>
      <c r="M261" s="12" t="s">
        <v>159</v>
      </c>
      <c r="N261" s="12" t="s">
        <v>42</v>
      </c>
      <c r="O261" s="5">
        <v>7560</v>
      </c>
    </row>
    <row r="262" spans="11:15">
      <c r="K262" s="12" t="s">
        <v>534</v>
      </c>
      <c r="L262" s="12" t="s">
        <v>112</v>
      </c>
      <c r="M262" s="12" t="s">
        <v>59</v>
      </c>
      <c r="N262" s="12" t="s">
        <v>26</v>
      </c>
      <c r="O262" s="5">
        <v>21936</v>
      </c>
    </row>
    <row r="263" spans="11:15">
      <c r="K263" s="12" t="s">
        <v>535</v>
      </c>
      <c r="L263" s="12" t="s">
        <v>75</v>
      </c>
      <c r="M263" s="12" t="s">
        <v>41</v>
      </c>
      <c r="N263" s="12" t="s">
        <v>42</v>
      </c>
      <c r="O263" s="5">
        <v>16092</v>
      </c>
    </row>
    <row r="264" spans="11:15">
      <c r="K264" s="12" t="s">
        <v>537</v>
      </c>
      <c r="L264" s="12" t="s">
        <v>72</v>
      </c>
      <c r="M264" s="12" t="s">
        <v>113</v>
      </c>
      <c r="N264" s="12" t="s">
        <v>35</v>
      </c>
      <c r="O264" s="5">
        <v>196792</v>
      </c>
    </row>
    <row r="265" spans="11:15">
      <c r="K265" s="12" t="s">
        <v>539</v>
      </c>
      <c r="L265" s="12" t="s">
        <v>112</v>
      </c>
      <c r="M265" s="12" t="s">
        <v>90</v>
      </c>
      <c r="N265" s="12" t="s">
        <v>42</v>
      </c>
      <c r="O265" s="5">
        <v>16331</v>
      </c>
    </row>
    <row r="266" spans="11:15">
      <c r="K266" s="12" t="s">
        <v>540</v>
      </c>
      <c r="L266" s="12" t="s">
        <v>75</v>
      </c>
      <c r="M266" s="12" t="s">
        <v>63</v>
      </c>
      <c r="N266" s="12" t="s">
        <v>52</v>
      </c>
      <c r="O266" s="5">
        <v>4668</v>
      </c>
    </row>
    <row r="267" spans="11:15">
      <c r="K267" s="12" t="s">
        <v>541</v>
      </c>
      <c r="L267" s="12" t="s">
        <v>15</v>
      </c>
      <c r="M267" s="12" t="s">
        <v>46</v>
      </c>
      <c r="N267" s="12" t="s">
        <v>42</v>
      </c>
      <c r="O267" s="5">
        <v>6729</v>
      </c>
    </row>
    <row r="268" spans="11:15">
      <c r="K268" s="12" t="s">
        <v>542</v>
      </c>
      <c r="L268" s="12" t="s">
        <v>45</v>
      </c>
      <c r="M268" s="12" t="s">
        <v>147</v>
      </c>
      <c r="N268" s="12" t="s">
        <v>52</v>
      </c>
      <c r="O268" s="5">
        <v>5253</v>
      </c>
    </row>
    <row r="269" spans="11:15">
      <c r="K269" s="12" t="s">
        <v>544</v>
      </c>
      <c r="L269" s="12" t="s">
        <v>15</v>
      </c>
      <c r="M269" s="12" t="s">
        <v>16</v>
      </c>
      <c r="N269" s="12" t="s">
        <v>17</v>
      </c>
      <c r="O269" s="5">
        <v>8624</v>
      </c>
    </row>
    <row r="270" spans="11:15">
      <c r="K270" s="12" t="s">
        <v>546</v>
      </c>
      <c r="L270" s="12" t="s">
        <v>125</v>
      </c>
      <c r="M270" s="12" t="s">
        <v>59</v>
      </c>
      <c r="N270" s="12" t="s">
        <v>26</v>
      </c>
      <c r="O270" s="5">
        <v>8184</v>
      </c>
    </row>
    <row r="271" spans="11:15">
      <c r="K271" s="12" t="s">
        <v>548</v>
      </c>
      <c r="L271" s="12" t="s">
        <v>170</v>
      </c>
      <c r="M271" s="12" t="s">
        <v>79</v>
      </c>
      <c r="N271" s="12" t="s">
        <v>26</v>
      </c>
      <c r="O271" s="5">
        <v>62524</v>
      </c>
    </row>
    <row r="272" spans="11:15">
      <c r="K272" s="12" t="s">
        <v>550</v>
      </c>
      <c r="L272" s="12" t="s">
        <v>146</v>
      </c>
      <c r="M272" s="12" t="s">
        <v>16</v>
      </c>
      <c r="N272" s="12" t="s">
        <v>17</v>
      </c>
      <c r="O272" s="5">
        <v>4840</v>
      </c>
    </row>
    <row r="273" spans="11:15">
      <c r="K273" s="12" t="s">
        <v>551</v>
      </c>
      <c r="L273" s="12" t="s">
        <v>15</v>
      </c>
      <c r="M273" s="12" t="s">
        <v>16</v>
      </c>
      <c r="N273" s="12" t="s">
        <v>17</v>
      </c>
      <c r="O273" s="5">
        <v>895</v>
      </c>
    </row>
    <row r="274" spans="11:15">
      <c r="K274" s="12" t="s">
        <v>552</v>
      </c>
      <c r="L274" s="12" t="s">
        <v>103</v>
      </c>
      <c r="M274" s="12" t="s">
        <v>97</v>
      </c>
      <c r="N274" s="12" t="s">
        <v>35</v>
      </c>
      <c r="O274" s="5">
        <v>237105</v>
      </c>
    </row>
    <row r="275" spans="11:15">
      <c r="K275" s="12" t="s">
        <v>553</v>
      </c>
      <c r="L275" s="12" t="s">
        <v>24</v>
      </c>
      <c r="M275" s="12" t="s">
        <v>147</v>
      </c>
      <c r="N275" s="12" t="s">
        <v>52</v>
      </c>
      <c r="O275" s="5">
        <v>674</v>
      </c>
    </row>
    <row r="276" spans="11:15">
      <c r="K276" s="12" t="s">
        <v>554</v>
      </c>
      <c r="L276" s="12" t="s">
        <v>170</v>
      </c>
      <c r="M276" s="12" t="s">
        <v>25</v>
      </c>
      <c r="N276" s="12" t="s">
        <v>26</v>
      </c>
      <c r="O276" s="5">
        <v>24060</v>
      </c>
    </row>
    <row r="277" spans="11:15">
      <c r="K277" s="12" t="s">
        <v>556</v>
      </c>
      <c r="L277" s="12" t="s">
        <v>15</v>
      </c>
      <c r="M277" s="12" t="s">
        <v>25</v>
      </c>
      <c r="N277" s="12" t="s">
        <v>26</v>
      </c>
      <c r="O277" s="5">
        <v>39788</v>
      </c>
    </row>
    <row r="278" spans="11:15">
      <c r="K278" s="12" t="s">
        <v>558</v>
      </c>
      <c r="L278" s="12" t="s">
        <v>50</v>
      </c>
      <c r="M278" s="12" t="s">
        <v>159</v>
      </c>
      <c r="N278" s="12" t="s">
        <v>42</v>
      </c>
      <c r="O278" s="5">
        <v>23824</v>
      </c>
    </row>
    <row r="279" spans="11:15">
      <c r="K279" s="12" t="s">
        <v>560</v>
      </c>
      <c r="L279" s="12" t="s">
        <v>133</v>
      </c>
      <c r="M279" s="12" t="s">
        <v>90</v>
      </c>
      <c r="N279" s="12" t="s">
        <v>42</v>
      </c>
      <c r="O279" s="5">
        <v>38192</v>
      </c>
    </row>
    <row r="280" spans="11:15">
      <c r="K280" s="12" t="s">
        <v>562</v>
      </c>
      <c r="L280" s="12" t="s">
        <v>170</v>
      </c>
      <c r="M280" s="12" t="s">
        <v>59</v>
      </c>
      <c r="N280" s="12" t="s">
        <v>26</v>
      </c>
      <c r="O280" s="5">
        <v>6756</v>
      </c>
    </row>
    <row r="281" spans="11:15">
      <c r="K281" s="12" t="s">
        <v>563</v>
      </c>
      <c r="L281" s="12" t="s">
        <v>68</v>
      </c>
      <c r="M281" s="12" t="s">
        <v>41</v>
      </c>
      <c r="N281" s="12" t="s">
        <v>42</v>
      </c>
      <c r="O281" s="5">
        <v>23560</v>
      </c>
    </row>
    <row r="282" spans="11:15">
      <c r="K282" s="12" t="s">
        <v>565</v>
      </c>
      <c r="L282" s="12" t="s">
        <v>170</v>
      </c>
      <c r="M282" s="12" t="s">
        <v>51</v>
      </c>
      <c r="N282" s="12" t="s">
        <v>52</v>
      </c>
      <c r="O282" s="5">
        <v>5260</v>
      </c>
    </row>
    <row r="283" spans="11:15">
      <c r="K283" s="12" t="s">
        <v>566</v>
      </c>
      <c r="L283" s="12" t="s">
        <v>78</v>
      </c>
      <c r="M283" s="12" t="s">
        <v>25</v>
      </c>
      <c r="N283" s="12" t="s">
        <v>26</v>
      </c>
      <c r="O283" s="5">
        <v>6968</v>
      </c>
    </row>
    <row r="284" spans="11:15">
      <c r="K284" s="12" t="s">
        <v>567</v>
      </c>
      <c r="L284" s="12" t="s">
        <v>103</v>
      </c>
      <c r="M284" s="12" t="s">
        <v>79</v>
      </c>
      <c r="N284" s="12" t="s">
        <v>26</v>
      </c>
      <c r="O284" s="5">
        <v>15318</v>
      </c>
    </row>
    <row r="285" spans="11:15">
      <c r="K285" s="12" t="s">
        <v>568</v>
      </c>
      <c r="L285" s="12" t="s">
        <v>179</v>
      </c>
      <c r="M285" s="12" t="s">
        <v>159</v>
      </c>
      <c r="N285" s="12" t="s">
        <v>42</v>
      </c>
      <c r="O285" s="5">
        <v>36309</v>
      </c>
    </row>
    <row r="286" spans="11:15">
      <c r="K286" s="12" t="s">
        <v>569</v>
      </c>
      <c r="L286" s="12" t="s">
        <v>78</v>
      </c>
      <c r="M286" s="12" t="s">
        <v>63</v>
      </c>
      <c r="N286" s="12" t="s">
        <v>52</v>
      </c>
      <c r="O286" s="5">
        <v>4332</v>
      </c>
    </row>
    <row r="287" spans="11:15">
      <c r="K287" s="12" t="s">
        <v>571</v>
      </c>
      <c r="L287" s="12" t="s">
        <v>40</v>
      </c>
      <c r="M287" s="12" t="s">
        <v>25</v>
      </c>
      <c r="N287" s="12" t="s">
        <v>26</v>
      </c>
      <c r="O287" s="5">
        <v>36218</v>
      </c>
    </row>
    <row r="288" spans="11:15">
      <c r="K288" s="12" t="s">
        <v>572</v>
      </c>
      <c r="L288" s="12" t="s">
        <v>78</v>
      </c>
      <c r="M288" s="12" t="s">
        <v>218</v>
      </c>
      <c r="N288" s="12" t="s">
        <v>17</v>
      </c>
      <c r="O288" s="5">
        <v>1034</v>
      </c>
    </row>
    <row r="289" spans="11:15">
      <c r="K289" s="12" t="s">
        <v>574</v>
      </c>
      <c r="L289" s="12" t="s">
        <v>45</v>
      </c>
      <c r="M289" s="12" t="s">
        <v>116</v>
      </c>
      <c r="N289" s="12" t="s">
        <v>17</v>
      </c>
      <c r="O289" s="5">
        <v>11921</v>
      </c>
    </row>
    <row r="290" spans="11:15">
      <c r="K290" s="12" t="s">
        <v>575</v>
      </c>
      <c r="L290" s="12" t="s">
        <v>50</v>
      </c>
      <c r="M290" s="12" t="s">
        <v>79</v>
      </c>
      <c r="N290" s="12" t="s">
        <v>26</v>
      </c>
      <c r="O290" s="5">
        <v>18235</v>
      </c>
    </row>
    <row r="291" spans="11:15">
      <c r="K291" s="12" t="s">
        <v>577</v>
      </c>
      <c r="L291" s="12" t="s">
        <v>33</v>
      </c>
      <c r="M291" s="12" t="s">
        <v>59</v>
      </c>
      <c r="N291" s="12" t="s">
        <v>26</v>
      </c>
      <c r="O291" s="5">
        <v>25320</v>
      </c>
    </row>
    <row r="292" spans="11:15">
      <c r="K292" s="12" t="s">
        <v>578</v>
      </c>
      <c r="L292" s="12" t="s">
        <v>133</v>
      </c>
      <c r="M292" s="12" t="s">
        <v>59</v>
      </c>
      <c r="N292" s="12" t="s">
        <v>26</v>
      </c>
      <c r="O292" s="5">
        <v>22872</v>
      </c>
    </row>
    <row r="293" spans="11:15">
      <c r="K293" s="12" t="s">
        <v>580</v>
      </c>
      <c r="L293" s="12" t="s">
        <v>68</v>
      </c>
      <c r="M293" s="12" t="s">
        <v>34</v>
      </c>
      <c r="N293" s="12" t="s">
        <v>35</v>
      </c>
      <c r="O293" s="5">
        <v>245874</v>
      </c>
    </row>
    <row r="294" spans="11:15">
      <c r="K294" s="12" t="s">
        <v>582</v>
      </c>
      <c r="L294" s="12" t="s">
        <v>112</v>
      </c>
      <c r="M294" s="12" t="s">
        <v>63</v>
      </c>
      <c r="N294" s="12" t="s">
        <v>52</v>
      </c>
      <c r="O294" s="5">
        <v>4284</v>
      </c>
    </row>
    <row r="295" spans="11:15">
      <c r="K295" s="12" t="s">
        <v>584</v>
      </c>
      <c r="L295" s="12" t="s">
        <v>75</v>
      </c>
      <c r="M295" s="12" t="s">
        <v>218</v>
      </c>
      <c r="N295" s="12" t="s">
        <v>17</v>
      </c>
      <c r="O295" s="5">
        <v>3824</v>
      </c>
    </row>
    <row r="296" spans="11:15">
      <c r="K296" s="12" t="s">
        <v>586</v>
      </c>
      <c r="L296" s="12" t="s">
        <v>75</v>
      </c>
      <c r="M296" s="12" t="s">
        <v>86</v>
      </c>
      <c r="N296" s="12" t="s">
        <v>17</v>
      </c>
      <c r="O296" s="5">
        <v>11368</v>
      </c>
    </row>
    <row r="297" spans="11:15">
      <c r="K297" s="12" t="s">
        <v>588</v>
      </c>
      <c r="L297" s="12" t="s">
        <v>15</v>
      </c>
      <c r="M297" s="12" t="s">
        <v>165</v>
      </c>
      <c r="N297" s="12" t="s">
        <v>35</v>
      </c>
      <c r="O297" s="5">
        <v>213440</v>
      </c>
    </row>
    <row r="298" spans="11:15">
      <c r="K298" s="12" t="s">
        <v>590</v>
      </c>
      <c r="L298" s="12" t="s">
        <v>45</v>
      </c>
      <c r="M298" s="12" t="s">
        <v>25</v>
      </c>
      <c r="N298" s="12" t="s">
        <v>26</v>
      </c>
      <c r="O298" s="5">
        <v>2538</v>
      </c>
    </row>
    <row r="299" spans="11:15">
      <c r="K299" s="12" t="s">
        <v>591</v>
      </c>
      <c r="L299" s="12" t="s">
        <v>72</v>
      </c>
      <c r="M299" s="12" t="s">
        <v>90</v>
      </c>
      <c r="N299" s="12" t="s">
        <v>42</v>
      </c>
      <c r="O299" s="5">
        <v>2501</v>
      </c>
    </row>
    <row r="300" spans="11:15">
      <c r="K300" s="12" t="s">
        <v>592</v>
      </c>
      <c r="L300" s="12" t="s">
        <v>179</v>
      </c>
      <c r="M300" s="12" t="s">
        <v>79</v>
      </c>
      <c r="N300" s="12" t="s">
        <v>26</v>
      </c>
      <c r="O300" s="5">
        <v>2194</v>
      </c>
    </row>
    <row r="301" spans="11:15">
      <c r="K301" s="12" t="s">
        <v>594</v>
      </c>
      <c r="L301" s="12" t="s">
        <v>78</v>
      </c>
      <c r="M301" s="12" t="s">
        <v>63</v>
      </c>
      <c r="N301" s="12" t="s">
        <v>52</v>
      </c>
      <c r="O301" s="5">
        <v>3595</v>
      </c>
    </row>
    <row r="302" spans="11:15">
      <c r="K302" s="12" t="s">
        <v>596</v>
      </c>
      <c r="L302" s="12" t="s">
        <v>179</v>
      </c>
      <c r="M302" s="12" t="s">
        <v>113</v>
      </c>
      <c r="N302" s="12" t="s">
        <v>35</v>
      </c>
      <c r="O302" s="5">
        <v>154440</v>
      </c>
    </row>
    <row r="303" spans="11:15">
      <c r="K303" s="12" t="s">
        <v>598</v>
      </c>
      <c r="L303" s="12" t="s">
        <v>24</v>
      </c>
      <c r="M303" s="12" t="s">
        <v>165</v>
      </c>
      <c r="N303" s="12" t="s">
        <v>35</v>
      </c>
      <c r="O303" s="5">
        <v>383140</v>
      </c>
    </row>
    <row r="304" spans="11:15">
      <c r="K304" s="12" t="s">
        <v>600</v>
      </c>
      <c r="L304" s="12" t="s">
        <v>125</v>
      </c>
      <c r="M304" s="12" t="s">
        <v>51</v>
      </c>
      <c r="N304" s="12" t="s">
        <v>52</v>
      </c>
      <c r="O304" s="5">
        <v>9648</v>
      </c>
    </row>
    <row r="305" spans="11:15">
      <c r="K305" s="12" t="s">
        <v>601</v>
      </c>
      <c r="L305" s="12" t="s">
        <v>112</v>
      </c>
      <c r="M305" s="12" t="s">
        <v>25</v>
      </c>
      <c r="N305" s="12" t="s">
        <v>26</v>
      </c>
      <c r="O305" s="5">
        <v>6156</v>
      </c>
    </row>
    <row r="306" spans="11:15">
      <c r="K306" s="12" t="s">
        <v>602</v>
      </c>
      <c r="L306" s="12" t="s">
        <v>72</v>
      </c>
      <c r="M306" s="12" t="s">
        <v>79</v>
      </c>
      <c r="N306" s="12" t="s">
        <v>26</v>
      </c>
      <c r="O306" s="5">
        <v>33965</v>
      </c>
    </row>
    <row r="307" spans="11:15">
      <c r="K307" s="12" t="s">
        <v>604</v>
      </c>
      <c r="L307" s="12" t="s">
        <v>125</v>
      </c>
      <c r="M307" s="12" t="s">
        <v>165</v>
      </c>
      <c r="N307" s="12" t="s">
        <v>35</v>
      </c>
      <c r="O307" s="5">
        <v>279552</v>
      </c>
    </row>
    <row r="308" spans="11:15">
      <c r="K308" s="12" t="s">
        <v>606</v>
      </c>
      <c r="L308" s="12" t="s">
        <v>50</v>
      </c>
      <c r="M308" s="12" t="s">
        <v>159</v>
      </c>
      <c r="N308" s="12" t="s">
        <v>42</v>
      </c>
      <c r="O308" s="5">
        <v>11965</v>
      </c>
    </row>
    <row r="309" spans="11:15">
      <c r="K309" s="12" t="s">
        <v>607</v>
      </c>
      <c r="L309" s="12" t="s">
        <v>58</v>
      </c>
      <c r="M309" s="12" t="s">
        <v>218</v>
      </c>
      <c r="N309" s="12" t="s">
        <v>17</v>
      </c>
      <c r="O309" s="5">
        <v>4195</v>
      </c>
    </row>
    <row r="310" spans="11:15">
      <c r="K310" s="12" t="s">
        <v>608</v>
      </c>
      <c r="L310" s="12" t="s">
        <v>146</v>
      </c>
      <c r="M310" s="12" t="s">
        <v>159</v>
      </c>
      <c r="N310" s="12" t="s">
        <v>42</v>
      </c>
      <c r="O310" s="5">
        <v>32543</v>
      </c>
    </row>
    <row r="311" spans="11:15">
      <c r="K311" s="12" t="s">
        <v>609</v>
      </c>
      <c r="L311" s="12" t="s">
        <v>170</v>
      </c>
      <c r="M311" s="12" t="s">
        <v>59</v>
      </c>
      <c r="N311" s="12" t="s">
        <v>26</v>
      </c>
      <c r="O311" s="5">
        <v>8214</v>
      </c>
    </row>
    <row r="312" spans="11:15">
      <c r="K312" s="12" t="s">
        <v>610</v>
      </c>
      <c r="L312" s="12" t="s">
        <v>72</v>
      </c>
      <c r="M312" s="12" t="s">
        <v>90</v>
      </c>
      <c r="N312" s="12" t="s">
        <v>42</v>
      </c>
      <c r="O312" s="5">
        <v>8088</v>
      </c>
    </row>
    <row r="313" spans="11:15">
      <c r="K313" s="12" t="s">
        <v>612</v>
      </c>
      <c r="L313" s="12" t="s">
        <v>75</v>
      </c>
      <c r="M313" s="12" t="s">
        <v>86</v>
      </c>
      <c r="N313" s="12" t="s">
        <v>17</v>
      </c>
      <c r="O313" s="5">
        <v>4074</v>
      </c>
    </row>
    <row r="314" spans="11:15">
      <c r="K314" s="12" t="s">
        <v>613</v>
      </c>
      <c r="L314" s="12" t="s">
        <v>24</v>
      </c>
      <c r="M314" s="12" t="s">
        <v>159</v>
      </c>
      <c r="N314" s="12" t="s">
        <v>42</v>
      </c>
      <c r="O314" s="5">
        <v>15323</v>
      </c>
    </row>
    <row r="315" spans="11:15">
      <c r="K315" s="12" t="s">
        <v>614</v>
      </c>
      <c r="L315" s="12" t="s">
        <v>72</v>
      </c>
      <c r="M315" s="12" t="s">
        <v>25</v>
      </c>
      <c r="N315" s="12" t="s">
        <v>26</v>
      </c>
      <c r="O315" s="5">
        <v>28805</v>
      </c>
    </row>
    <row r="316" spans="11:15">
      <c r="K316" s="12" t="s">
        <v>616</v>
      </c>
      <c r="L316" s="12" t="s">
        <v>112</v>
      </c>
      <c r="M316" s="12" t="s">
        <v>41</v>
      </c>
      <c r="N316" s="12" t="s">
        <v>42</v>
      </c>
      <c r="O316" s="5">
        <v>11286</v>
      </c>
    </row>
    <row r="317" spans="11:15">
      <c r="K317" s="12" t="s">
        <v>617</v>
      </c>
      <c r="L317" s="12" t="s">
        <v>125</v>
      </c>
      <c r="M317" s="12" t="s">
        <v>69</v>
      </c>
      <c r="N317" s="12" t="s">
        <v>26</v>
      </c>
      <c r="O317" s="5">
        <v>19200</v>
      </c>
    </row>
    <row r="318" spans="11:15">
      <c r="K318" s="12" t="s">
        <v>618</v>
      </c>
      <c r="L318" s="12" t="s">
        <v>179</v>
      </c>
      <c r="M318" s="12" t="s">
        <v>69</v>
      </c>
      <c r="N318" s="12" t="s">
        <v>26</v>
      </c>
      <c r="O318" s="5">
        <v>10920</v>
      </c>
    </row>
    <row r="319" spans="11:15">
      <c r="K319" s="12" t="s">
        <v>620</v>
      </c>
      <c r="L319" s="12" t="s">
        <v>50</v>
      </c>
      <c r="M319" s="12" t="s">
        <v>113</v>
      </c>
      <c r="N319" s="12" t="s">
        <v>35</v>
      </c>
      <c r="O319" s="5">
        <v>257243</v>
      </c>
    </row>
    <row r="320" spans="11:15">
      <c r="K320" s="12" t="s">
        <v>621</v>
      </c>
      <c r="L320" s="12" t="s">
        <v>122</v>
      </c>
      <c r="M320" s="12" t="s">
        <v>109</v>
      </c>
      <c r="N320" s="12" t="s">
        <v>52</v>
      </c>
      <c r="O320" s="5">
        <v>12048</v>
      </c>
    </row>
    <row r="321" spans="11:15">
      <c r="K321" s="12" t="s">
        <v>623</v>
      </c>
      <c r="L321" s="12" t="s">
        <v>75</v>
      </c>
      <c r="M321" s="12" t="s">
        <v>51</v>
      </c>
      <c r="N321" s="12" t="s">
        <v>52</v>
      </c>
      <c r="O321" s="5">
        <v>1843</v>
      </c>
    </row>
    <row r="322" spans="11:15">
      <c r="K322" s="12" t="s">
        <v>625</v>
      </c>
      <c r="L322" s="12" t="s">
        <v>24</v>
      </c>
      <c r="M322" s="12" t="s">
        <v>113</v>
      </c>
      <c r="N322" s="12" t="s">
        <v>35</v>
      </c>
      <c r="O322" s="5">
        <v>55013</v>
      </c>
    </row>
    <row r="323" spans="11:15">
      <c r="K323" s="12" t="s">
        <v>627</v>
      </c>
      <c r="L323" s="12" t="s">
        <v>33</v>
      </c>
      <c r="M323" s="12" t="s">
        <v>86</v>
      </c>
      <c r="N323" s="12" t="s">
        <v>17</v>
      </c>
      <c r="O323" s="5">
        <v>3490</v>
      </c>
    </row>
    <row r="324" spans="11:15">
      <c r="K324" s="12" t="s">
        <v>628</v>
      </c>
      <c r="L324" s="12" t="s">
        <v>75</v>
      </c>
      <c r="M324" s="12" t="s">
        <v>147</v>
      </c>
      <c r="N324" s="12" t="s">
        <v>52</v>
      </c>
      <c r="O324" s="5">
        <v>13076</v>
      </c>
    </row>
    <row r="325" spans="11:15">
      <c r="K325" s="12" t="s">
        <v>629</v>
      </c>
      <c r="L325" s="12" t="s">
        <v>78</v>
      </c>
      <c r="M325" s="12" t="s">
        <v>130</v>
      </c>
      <c r="N325" s="12" t="s">
        <v>35</v>
      </c>
      <c r="O325" s="5">
        <v>311416</v>
      </c>
    </row>
    <row r="326" spans="11:15">
      <c r="K326" s="12" t="s">
        <v>631</v>
      </c>
      <c r="L326" s="12" t="s">
        <v>146</v>
      </c>
      <c r="M326" s="12" t="s">
        <v>218</v>
      </c>
      <c r="N326" s="12" t="s">
        <v>17</v>
      </c>
      <c r="O326" s="5">
        <v>8605</v>
      </c>
    </row>
    <row r="327" spans="11:15">
      <c r="K327" s="12" t="s">
        <v>632</v>
      </c>
      <c r="L327" s="12" t="s">
        <v>103</v>
      </c>
      <c r="M327" s="12" t="s">
        <v>41</v>
      </c>
      <c r="N327" s="12" t="s">
        <v>42</v>
      </c>
      <c r="O327" s="5">
        <v>6572</v>
      </c>
    </row>
    <row r="328" spans="11:15">
      <c r="K328" s="12" t="s">
        <v>633</v>
      </c>
      <c r="L328" s="12" t="s">
        <v>125</v>
      </c>
      <c r="M328" s="12" t="s">
        <v>46</v>
      </c>
      <c r="N328" s="12" t="s">
        <v>42</v>
      </c>
      <c r="O328" s="5">
        <v>7470</v>
      </c>
    </row>
    <row r="329" spans="11:15">
      <c r="K329" s="12" t="s">
        <v>634</v>
      </c>
      <c r="L329" s="12" t="s">
        <v>75</v>
      </c>
      <c r="M329" s="12" t="s">
        <v>109</v>
      </c>
      <c r="N329" s="12" t="s">
        <v>52</v>
      </c>
      <c r="O329" s="5">
        <v>5088</v>
      </c>
    </row>
    <row r="330" spans="11:15">
      <c r="K330" s="12" t="s">
        <v>636</v>
      </c>
      <c r="L330" s="12" t="s">
        <v>50</v>
      </c>
      <c r="M330" s="12" t="s">
        <v>25</v>
      </c>
      <c r="N330" s="12" t="s">
        <v>26</v>
      </c>
      <c r="O330" s="5">
        <v>31806</v>
      </c>
    </row>
    <row r="331" spans="11:15">
      <c r="K331" s="12" t="s">
        <v>638</v>
      </c>
      <c r="L331" s="12" t="s">
        <v>170</v>
      </c>
      <c r="M331" s="12" t="s">
        <v>69</v>
      </c>
      <c r="N331" s="12" t="s">
        <v>26</v>
      </c>
      <c r="O331" s="5">
        <v>8290</v>
      </c>
    </row>
    <row r="332" spans="11:15">
      <c r="K332" s="12" t="s">
        <v>639</v>
      </c>
      <c r="L332" s="12" t="s">
        <v>103</v>
      </c>
      <c r="M332" s="12" t="s">
        <v>51</v>
      </c>
      <c r="N332" s="12" t="s">
        <v>52</v>
      </c>
      <c r="O332" s="5">
        <v>3462</v>
      </c>
    </row>
    <row r="333" spans="11:15">
      <c r="K333" s="12" t="s">
        <v>641</v>
      </c>
      <c r="L333" s="12" t="s">
        <v>58</v>
      </c>
      <c r="M333" s="12" t="s">
        <v>51</v>
      </c>
      <c r="N333" s="12" t="s">
        <v>52</v>
      </c>
      <c r="O333" s="5">
        <v>7096</v>
      </c>
    </row>
    <row r="334" spans="11:15">
      <c r="K334" s="12" t="s">
        <v>642</v>
      </c>
      <c r="L334" s="12" t="s">
        <v>133</v>
      </c>
      <c r="M334" s="12" t="s">
        <v>34</v>
      </c>
      <c r="N334" s="12" t="s">
        <v>35</v>
      </c>
      <c r="O334" s="5">
        <v>151312</v>
      </c>
    </row>
    <row r="335" spans="11:15">
      <c r="K335" s="12" t="s">
        <v>643</v>
      </c>
      <c r="L335" s="12" t="s">
        <v>68</v>
      </c>
      <c r="M335" s="12" t="s">
        <v>46</v>
      </c>
      <c r="N335" s="12" t="s">
        <v>42</v>
      </c>
      <c r="O335" s="5">
        <v>1191</v>
      </c>
    </row>
    <row r="336" spans="11:15">
      <c r="K336" s="12" t="s">
        <v>644</v>
      </c>
      <c r="L336" s="12" t="s">
        <v>58</v>
      </c>
      <c r="M336" s="12" t="s">
        <v>130</v>
      </c>
      <c r="N336" s="12" t="s">
        <v>35</v>
      </c>
      <c r="O336" s="5">
        <v>282350</v>
      </c>
    </row>
    <row r="337" spans="11:15">
      <c r="K337" s="12" t="s">
        <v>645</v>
      </c>
      <c r="L337" s="12" t="s">
        <v>24</v>
      </c>
      <c r="M337" s="12" t="s">
        <v>130</v>
      </c>
      <c r="N337" s="12" t="s">
        <v>35</v>
      </c>
      <c r="O337" s="5">
        <v>419576</v>
      </c>
    </row>
    <row r="338" spans="11:15">
      <c r="K338" s="12" t="s">
        <v>647</v>
      </c>
      <c r="L338" s="12" t="s">
        <v>45</v>
      </c>
      <c r="M338" s="12" t="s">
        <v>69</v>
      </c>
      <c r="N338" s="12" t="s">
        <v>26</v>
      </c>
      <c r="O338" s="5">
        <v>11982</v>
      </c>
    </row>
    <row r="339" spans="11:15">
      <c r="K339" s="12" t="s">
        <v>648</v>
      </c>
      <c r="L339" s="12" t="s">
        <v>75</v>
      </c>
      <c r="M339" s="12" t="s">
        <v>46</v>
      </c>
      <c r="N339" s="12" t="s">
        <v>42</v>
      </c>
      <c r="O339" s="5">
        <v>7112</v>
      </c>
    </row>
    <row r="340" spans="11:15">
      <c r="K340" s="12" t="s">
        <v>649</v>
      </c>
      <c r="L340" s="12" t="s">
        <v>68</v>
      </c>
      <c r="M340" s="12" t="s">
        <v>16</v>
      </c>
      <c r="N340" s="12" t="s">
        <v>17</v>
      </c>
      <c r="O340" s="5">
        <v>11384</v>
      </c>
    </row>
    <row r="341" spans="11:15">
      <c r="K341" s="12" t="s">
        <v>650</v>
      </c>
      <c r="L341" s="12" t="s">
        <v>15</v>
      </c>
      <c r="M341" s="12" t="s">
        <v>46</v>
      </c>
      <c r="N341" s="12" t="s">
        <v>42</v>
      </c>
      <c r="O341" s="5">
        <v>6940</v>
      </c>
    </row>
    <row r="342" spans="11:15">
      <c r="K342" s="12" t="s">
        <v>651</v>
      </c>
      <c r="L342" s="12" t="s">
        <v>58</v>
      </c>
      <c r="M342" s="12" t="s">
        <v>90</v>
      </c>
      <c r="N342" s="12" t="s">
        <v>42</v>
      </c>
      <c r="O342" s="5">
        <v>25585</v>
      </c>
    </row>
    <row r="343" spans="11:15">
      <c r="K343" s="12" t="s">
        <v>653</v>
      </c>
      <c r="L343" s="12" t="s">
        <v>112</v>
      </c>
      <c r="M343" s="12" t="s">
        <v>159</v>
      </c>
      <c r="N343" s="12" t="s">
        <v>42</v>
      </c>
      <c r="O343" s="5">
        <v>22624</v>
      </c>
    </row>
    <row r="344" spans="11:15">
      <c r="K344" s="12" t="s">
        <v>654</v>
      </c>
      <c r="L344" s="12" t="s">
        <v>78</v>
      </c>
      <c r="M344" s="12" t="s">
        <v>41</v>
      </c>
      <c r="N344" s="12" t="s">
        <v>42</v>
      </c>
      <c r="O344" s="5">
        <v>33808</v>
      </c>
    </row>
    <row r="345" spans="11:15">
      <c r="K345" s="12" t="s">
        <v>655</v>
      </c>
      <c r="L345" s="12" t="s">
        <v>112</v>
      </c>
      <c r="M345" s="12" t="s">
        <v>69</v>
      </c>
      <c r="N345" s="12" t="s">
        <v>26</v>
      </c>
      <c r="O345" s="5">
        <v>20432</v>
      </c>
    </row>
    <row r="346" spans="11:15">
      <c r="K346" s="12" t="s">
        <v>657</v>
      </c>
      <c r="L346" s="12" t="s">
        <v>103</v>
      </c>
      <c r="M346" s="12" t="s">
        <v>59</v>
      </c>
      <c r="N346" s="12" t="s">
        <v>26</v>
      </c>
      <c r="O346" s="5">
        <v>10432</v>
      </c>
    </row>
    <row r="347" spans="11:15">
      <c r="K347" s="12" t="s">
        <v>658</v>
      </c>
      <c r="L347" s="12" t="s">
        <v>15</v>
      </c>
      <c r="M347" s="12" t="s">
        <v>113</v>
      </c>
      <c r="N347" s="12" t="s">
        <v>35</v>
      </c>
      <c r="O347" s="5">
        <v>26871</v>
      </c>
    </row>
    <row r="348" spans="11:15">
      <c r="K348" s="12" t="s">
        <v>659</v>
      </c>
      <c r="L348" s="12" t="s">
        <v>170</v>
      </c>
      <c r="M348" s="12" t="s">
        <v>116</v>
      </c>
      <c r="N348" s="12" t="s">
        <v>17</v>
      </c>
      <c r="O348" s="5">
        <v>6960</v>
      </c>
    </row>
    <row r="349" spans="11:15">
      <c r="K349" s="12" t="s">
        <v>661</v>
      </c>
      <c r="L349" s="12" t="s">
        <v>50</v>
      </c>
      <c r="M349" s="12" t="s">
        <v>97</v>
      </c>
      <c r="N349" s="12" t="s">
        <v>35</v>
      </c>
      <c r="O349" s="5">
        <v>282224</v>
      </c>
    </row>
    <row r="350" spans="11:15">
      <c r="K350" s="12" t="s">
        <v>662</v>
      </c>
      <c r="L350" s="12" t="s">
        <v>78</v>
      </c>
      <c r="M350" s="12" t="s">
        <v>51</v>
      </c>
      <c r="N350" s="12" t="s">
        <v>52</v>
      </c>
      <c r="O350" s="5">
        <v>7372</v>
      </c>
    </row>
    <row r="351" spans="11:15">
      <c r="K351" s="12" t="s">
        <v>664</v>
      </c>
      <c r="L351" s="12" t="s">
        <v>24</v>
      </c>
      <c r="M351" s="12" t="s">
        <v>46</v>
      </c>
      <c r="N351" s="12" t="s">
        <v>42</v>
      </c>
      <c r="O351" s="5">
        <v>15798</v>
      </c>
    </row>
    <row r="352" spans="11:15">
      <c r="K352" s="12" t="s">
        <v>665</v>
      </c>
      <c r="L352" s="12" t="s">
        <v>45</v>
      </c>
      <c r="M352" s="12" t="s">
        <v>147</v>
      </c>
      <c r="N352" s="12" t="s">
        <v>52</v>
      </c>
      <c r="O352" s="5">
        <v>7072</v>
      </c>
    </row>
    <row r="353" spans="11:15">
      <c r="K353" s="12" t="s">
        <v>667</v>
      </c>
      <c r="L353" s="12" t="s">
        <v>146</v>
      </c>
      <c r="M353" s="12" t="s">
        <v>34</v>
      </c>
      <c r="N353" s="12" t="s">
        <v>35</v>
      </c>
      <c r="O353" s="5">
        <v>65994</v>
      </c>
    </row>
    <row r="354" spans="11:15">
      <c r="K354" s="12" t="s">
        <v>669</v>
      </c>
      <c r="L354" s="12" t="s">
        <v>179</v>
      </c>
      <c r="M354" s="12" t="s">
        <v>46</v>
      </c>
      <c r="N354" s="12" t="s">
        <v>42</v>
      </c>
      <c r="O354" s="5">
        <v>26395</v>
      </c>
    </row>
    <row r="355" spans="11:15">
      <c r="K355" s="12" t="s">
        <v>671</v>
      </c>
      <c r="L355" s="12" t="s">
        <v>146</v>
      </c>
      <c r="M355" s="12" t="s">
        <v>97</v>
      </c>
      <c r="N355" s="12" t="s">
        <v>35</v>
      </c>
      <c r="O355" s="5">
        <v>68457</v>
      </c>
    </row>
    <row r="356" spans="11:15">
      <c r="K356" s="12" t="s">
        <v>672</v>
      </c>
      <c r="L356" s="12" t="s">
        <v>78</v>
      </c>
      <c r="M356" s="12" t="s">
        <v>218</v>
      </c>
      <c r="N356" s="12" t="s">
        <v>17</v>
      </c>
      <c r="O356" s="5">
        <v>3824</v>
      </c>
    </row>
    <row r="357" spans="11:15">
      <c r="K357" s="12" t="s">
        <v>674</v>
      </c>
      <c r="L357" s="12" t="s">
        <v>68</v>
      </c>
      <c r="M357" s="12" t="s">
        <v>46</v>
      </c>
      <c r="N357" s="12" t="s">
        <v>42</v>
      </c>
      <c r="O357" s="5">
        <v>3526</v>
      </c>
    </row>
    <row r="358" spans="11:15">
      <c r="K358" s="12" t="s">
        <v>676</v>
      </c>
      <c r="L358" s="12" t="s">
        <v>15</v>
      </c>
      <c r="M358" s="12" t="s">
        <v>116</v>
      </c>
      <c r="N358" s="12" t="s">
        <v>17</v>
      </c>
      <c r="O358" s="5">
        <v>11008</v>
      </c>
    </row>
    <row r="359" spans="11:15">
      <c r="K359" s="12" t="s">
        <v>677</v>
      </c>
      <c r="L359" s="12" t="s">
        <v>40</v>
      </c>
      <c r="M359" s="12" t="s">
        <v>41</v>
      </c>
      <c r="N359" s="12" t="s">
        <v>42</v>
      </c>
      <c r="O359" s="5">
        <v>20139</v>
      </c>
    </row>
    <row r="360" spans="11:15">
      <c r="K360" s="12" t="s">
        <v>678</v>
      </c>
      <c r="L360" s="12" t="s">
        <v>78</v>
      </c>
      <c r="M360" s="12" t="s">
        <v>86</v>
      </c>
      <c r="N360" s="12" t="s">
        <v>17</v>
      </c>
      <c r="O360" s="5">
        <v>4816</v>
      </c>
    </row>
    <row r="361" spans="11:15">
      <c r="K361" s="12" t="s">
        <v>679</v>
      </c>
      <c r="L361" s="12" t="s">
        <v>24</v>
      </c>
      <c r="M361" s="12" t="s">
        <v>59</v>
      </c>
      <c r="N361" s="12" t="s">
        <v>26</v>
      </c>
      <c r="O361" s="5">
        <v>30040</v>
      </c>
    </row>
    <row r="362" spans="11:15">
      <c r="K362" s="12" t="s">
        <v>680</v>
      </c>
      <c r="L362" s="12" t="s">
        <v>50</v>
      </c>
      <c r="M362" s="12" t="s">
        <v>165</v>
      </c>
      <c r="N362" s="12" t="s">
        <v>35</v>
      </c>
      <c r="O362" s="5">
        <v>269370</v>
      </c>
    </row>
    <row r="363" spans="11:15">
      <c r="K363" s="12" t="s">
        <v>682</v>
      </c>
      <c r="L363" s="12" t="s">
        <v>15</v>
      </c>
      <c r="M363" s="12" t="s">
        <v>90</v>
      </c>
      <c r="N363" s="12" t="s">
        <v>42</v>
      </c>
      <c r="O363" s="5">
        <v>5580</v>
      </c>
    </row>
    <row r="364" spans="11:15">
      <c r="K364" s="12" t="s">
        <v>683</v>
      </c>
      <c r="L364" s="12" t="s">
        <v>146</v>
      </c>
      <c r="M364" s="12" t="s">
        <v>113</v>
      </c>
      <c r="N364" s="12" t="s">
        <v>35</v>
      </c>
      <c r="O364" s="5">
        <v>377090</v>
      </c>
    </row>
    <row r="365" spans="11:15">
      <c r="K365" s="12" t="s">
        <v>684</v>
      </c>
      <c r="L365" s="12" t="s">
        <v>75</v>
      </c>
      <c r="M365" s="12" t="s">
        <v>130</v>
      </c>
      <c r="N365" s="12" t="s">
        <v>35</v>
      </c>
      <c r="O365" s="5">
        <v>167444</v>
      </c>
    </row>
    <row r="366" spans="11:15">
      <c r="K366" s="12" t="s">
        <v>685</v>
      </c>
      <c r="L366" s="12" t="s">
        <v>170</v>
      </c>
      <c r="M366" s="12" t="s">
        <v>51</v>
      </c>
      <c r="N366" s="12" t="s">
        <v>52</v>
      </c>
      <c r="O366" s="5">
        <v>2960</v>
      </c>
    </row>
    <row r="367" spans="11:15">
      <c r="K367" s="12" t="s">
        <v>686</v>
      </c>
      <c r="L367" s="12" t="s">
        <v>170</v>
      </c>
      <c r="M367" s="12" t="s">
        <v>86</v>
      </c>
      <c r="N367" s="12" t="s">
        <v>17</v>
      </c>
      <c r="O367" s="5">
        <v>1598</v>
      </c>
    </row>
    <row r="368" spans="11:15">
      <c r="K368" s="12" t="s">
        <v>688</v>
      </c>
      <c r="L368" s="12" t="s">
        <v>125</v>
      </c>
      <c r="M368" s="12" t="s">
        <v>116</v>
      </c>
      <c r="N368" s="12" t="s">
        <v>17</v>
      </c>
      <c r="O368" s="5">
        <v>1508</v>
      </c>
    </row>
    <row r="369" spans="11:15">
      <c r="K369" s="12" t="s">
        <v>689</v>
      </c>
      <c r="L369" s="12" t="s">
        <v>58</v>
      </c>
      <c r="M369" s="12" t="s">
        <v>113</v>
      </c>
      <c r="N369" s="12" t="s">
        <v>35</v>
      </c>
      <c r="O369" s="5">
        <v>141239</v>
      </c>
    </row>
    <row r="370" spans="11:15">
      <c r="K370" s="12" t="s">
        <v>691</v>
      </c>
      <c r="L370" s="12" t="s">
        <v>170</v>
      </c>
      <c r="M370" s="12" t="s">
        <v>218</v>
      </c>
      <c r="N370" s="12" t="s">
        <v>17</v>
      </c>
      <c r="O370" s="5">
        <v>10212</v>
      </c>
    </row>
    <row r="371" spans="11:15">
      <c r="K371" s="12" t="s">
        <v>693</v>
      </c>
      <c r="L371" s="12" t="s">
        <v>72</v>
      </c>
      <c r="M371" s="12" t="s">
        <v>109</v>
      </c>
      <c r="N371" s="12" t="s">
        <v>52</v>
      </c>
      <c r="O371" s="5">
        <v>6776</v>
      </c>
    </row>
    <row r="372" spans="11:15">
      <c r="K372" s="12" t="s">
        <v>694</v>
      </c>
      <c r="L372" s="12" t="s">
        <v>170</v>
      </c>
      <c r="M372" s="12" t="s">
        <v>86</v>
      </c>
      <c r="N372" s="12" t="s">
        <v>17</v>
      </c>
      <c r="O372" s="5">
        <v>2667</v>
      </c>
    </row>
    <row r="373" spans="11:15">
      <c r="K373" s="12" t="s">
        <v>695</v>
      </c>
      <c r="L373" s="12" t="s">
        <v>103</v>
      </c>
      <c r="M373" s="12" t="s">
        <v>59</v>
      </c>
      <c r="N373" s="12" t="s">
        <v>26</v>
      </c>
      <c r="O373" s="5">
        <v>82808</v>
      </c>
    </row>
    <row r="374" spans="11:15">
      <c r="K374" s="12" t="s">
        <v>696</v>
      </c>
      <c r="L374" s="12" t="s">
        <v>68</v>
      </c>
      <c r="M374" s="12" t="s">
        <v>109</v>
      </c>
      <c r="N374" s="12" t="s">
        <v>52</v>
      </c>
      <c r="O374" s="5">
        <v>2272</v>
      </c>
    </row>
    <row r="375" spans="11:15">
      <c r="K375" s="12" t="s">
        <v>698</v>
      </c>
      <c r="L375" s="12" t="s">
        <v>78</v>
      </c>
      <c r="M375" s="12" t="s">
        <v>51</v>
      </c>
      <c r="N375" s="12" t="s">
        <v>52</v>
      </c>
      <c r="O375" s="5">
        <v>4470</v>
      </c>
    </row>
    <row r="376" spans="11:15">
      <c r="K376" s="12" t="s">
        <v>699</v>
      </c>
      <c r="L376" s="12" t="s">
        <v>122</v>
      </c>
      <c r="M376" s="12" t="s">
        <v>109</v>
      </c>
      <c r="N376" s="12" t="s">
        <v>52</v>
      </c>
      <c r="O376" s="5">
        <v>7144</v>
      </c>
    </row>
    <row r="377" spans="11:15">
      <c r="K377" s="12" t="s">
        <v>700</v>
      </c>
      <c r="L377" s="12" t="s">
        <v>112</v>
      </c>
      <c r="M377" s="12" t="s">
        <v>97</v>
      </c>
      <c r="N377" s="12" t="s">
        <v>35</v>
      </c>
      <c r="O377" s="5">
        <v>236490</v>
      </c>
    </row>
    <row r="378" spans="11:15">
      <c r="K378" s="12" t="s">
        <v>701</v>
      </c>
      <c r="L378" s="12" t="s">
        <v>58</v>
      </c>
      <c r="M378" s="12" t="s">
        <v>63</v>
      </c>
      <c r="N378" s="12" t="s">
        <v>52</v>
      </c>
      <c r="O378" s="5">
        <v>7990</v>
      </c>
    </row>
    <row r="379" spans="11:15">
      <c r="K379" s="12" t="s">
        <v>703</v>
      </c>
      <c r="L379" s="12" t="s">
        <v>24</v>
      </c>
      <c r="M379" s="12" t="s">
        <v>165</v>
      </c>
      <c r="N379" s="12" t="s">
        <v>35</v>
      </c>
      <c r="O379" s="5">
        <v>308798</v>
      </c>
    </row>
    <row r="380" spans="11:15">
      <c r="K380" s="12" t="s">
        <v>704</v>
      </c>
      <c r="L380" s="12" t="s">
        <v>45</v>
      </c>
      <c r="M380" s="12" t="s">
        <v>97</v>
      </c>
      <c r="N380" s="12" t="s">
        <v>35</v>
      </c>
      <c r="O380" s="5">
        <v>112085</v>
      </c>
    </row>
    <row r="381" spans="11:15">
      <c r="K381" s="12" t="s">
        <v>706</v>
      </c>
      <c r="L381" s="12" t="s">
        <v>129</v>
      </c>
      <c r="M381" s="12" t="s">
        <v>79</v>
      </c>
      <c r="N381" s="12" t="s">
        <v>26</v>
      </c>
      <c r="O381" s="5">
        <v>9030</v>
      </c>
    </row>
    <row r="382" spans="11:15">
      <c r="K382" s="12" t="s">
        <v>707</v>
      </c>
      <c r="L382" s="12" t="s">
        <v>179</v>
      </c>
      <c r="M382" s="12" t="s">
        <v>159</v>
      </c>
      <c r="N382" s="12" t="s">
        <v>42</v>
      </c>
      <c r="O382" s="5">
        <v>3288</v>
      </c>
    </row>
    <row r="383" spans="11:15">
      <c r="K383" s="12" t="s">
        <v>709</v>
      </c>
      <c r="L383" s="12" t="s">
        <v>170</v>
      </c>
      <c r="M383" s="12" t="s">
        <v>90</v>
      </c>
      <c r="N383" s="12" t="s">
        <v>42</v>
      </c>
      <c r="O383" s="5">
        <v>24096</v>
      </c>
    </row>
    <row r="384" spans="11:15">
      <c r="K384" s="12" t="s">
        <v>710</v>
      </c>
      <c r="L384" s="12" t="s">
        <v>179</v>
      </c>
      <c r="M384" s="12" t="s">
        <v>90</v>
      </c>
      <c r="N384" s="12" t="s">
        <v>42</v>
      </c>
      <c r="O384" s="5">
        <v>4084</v>
      </c>
    </row>
    <row r="385" spans="11:15">
      <c r="K385" s="12" t="s">
        <v>711</v>
      </c>
      <c r="L385" s="12" t="s">
        <v>146</v>
      </c>
      <c r="M385" s="12" t="s">
        <v>130</v>
      </c>
      <c r="N385" s="12" t="s">
        <v>35</v>
      </c>
      <c r="O385" s="5">
        <v>248592</v>
      </c>
    </row>
    <row r="386" spans="11:15">
      <c r="K386" s="12" t="s">
        <v>712</v>
      </c>
      <c r="L386" s="12" t="s">
        <v>146</v>
      </c>
      <c r="M386" s="12" t="s">
        <v>79</v>
      </c>
      <c r="N386" s="12" t="s">
        <v>26</v>
      </c>
      <c r="O386" s="5">
        <v>57631</v>
      </c>
    </row>
    <row r="387" spans="11:15">
      <c r="K387" s="12" t="s">
        <v>714</v>
      </c>
      <c r="L387" s="12" t="s">
        <v>50</v>
      </c>
      <c r="M387" s="12" t="s">
        <v>147</v>
      </c>
      <c r="N387" s="12" t="s">
        <v>52</v>
      </c>
      <c r="O387" s="5">
        <v>4180</v>
      </c>
    </row>
    <row r="388" spans="11:15">
      <c r="K388" s="12" t="s">
        <v>715</v>
      </c>
      <c r="L388" s="12" t="s">
        <v>40</v>
      </c>
      <c r="M388" s="12" t="s">
        <v>109</v>
      </c>
      <c r="N388" s="12" t="s">
        <v>52</v>
      </c>
      <c r="O388" s="5">
        <v>2526</v>
      </c>
    </row>
    <row r="389" spans="11:15">
      <c r="K389" s="12" t="s">
        <v>717</v>
      </c>
      <c r="L389" s="12" t="s">
        <v>122</v>
      </c>
      <c r="M389" s="12" t="s">
        <v>63</v>
      </c>
      <c r="N389" s="12" t="s">
        <v>52</v>
      </c>
      <c r="O389" s="5">
        <v>10640</v>
      </c>
    </row>
    <row r="390" spans="11:15">
      <c r="K390" s="12" t="s">
        <v>718</v>
      </c>
      <c r="L390" s="12" t="s">
        <v>33</v>
      </c>
      <c r="M390" s="12" t="s">
        <v>90</v>
      </c>
      <c r="N390" s="12" t="s">
        <v>42</v>
      </c>
      <c r="O390" s="5">
        <v>5777</v>
      </c>
    </row>
    <row r="391" spans="11:15">
      <c r="K391" s="12" t="s">
        <v>719</v>
      </c>
      <c r="L391" s="12" t="s">
        <v>24</v>
      </c>
      <c r="M391" s="12" t="s">
        <v>113</v>
      </c>
      <c r="N391" s="12" t="s">
        <v>35</v>
      </c>
      <c r="O391" s="5">
        <v>45899</v>
      </c>
    </row>
    <row r="392" spans="11:15">
      <c r="K392" s="12" t="s">
        <v>720</v>
      </c>
      <c r="L392" s="12" t="s">
        <v>40</v>
      </c>
      <c r="M392" s="12" t="s">
        <v>46</v>
      </c>
      <c r="N392" s="12" t="s">
        <v>42</v>
      </c>
      <c r="O392" s="5">
        <v>7608</v>
      </c>
    </row>
    <row r="393" spans="11:15">
      <c r="K393" s="12" t="s">
        <v>721</v>
      </c>
      <c r="L393" s="12" t="s">
        <v>125</v>
      </c>
      <c r="M393" s="12" t="s">
        <v>130</v>
      </c>
      <c r="N393" s="12" t="s">
        <v>35</v>
      </c>
      <c r="O393" s="5">
        <v>209300</v>
      </c>
    </row>
    <row r="394" spans="11:15">
      <c r="K394" s="12" t="s">
        <v>723</v>
      </c>
      <c r="L394" s="12" t="s">
        <v>45</v>
      </c>
      <c r="M394" s="12" t="s">
        <v>59</v>
      </c>
      <c r="N394" s="12" t="s">
        <v>26</v>
      </c>
      <c r="O394" s="5">
        <v>53724</v>
      </c>
    </row>
    <row r="395" spans="11:15">
      <c r="K395" s="12" t="s">
        <v>724</v>
      </c>
      <c r="L395" s="12" t="s">
        <v>129</v>
      </c>
      <c r="M395" s="12" t="s">
        <v>16</v>
      </c>
      <c r="N395" s="12" t="s">
        <v>17</v>
      </c>
      <c r="O395" s="5">
        <v>12640</v>
      </c>
    </row>
    <row r="396" spans="11:15">
      <c r="K396" s="12" t="s">
        <v>725</v>
      </c>
      <c r="L396" s="12" t="s">
        <v>170</v>
      </c>
      <c r="M396" s="12" t="s">
        <v>109</v>
      </c>
      <c r="N396" s="12" t="s">
        <v>52</v>
      </c>
      <c r="O396" s="5">
        <v>2958</v>
      </c>
    </row>
    <row r="397" spans="11:15">
      <c r="K397" s="12" t="s">
        <v>726</v>
      </c>
      <c r="L397" s="12" t="s">
        <v>146</v>
      </c>
      <c r="M397" s="12" t="s">
        <v>63</v>
      </c>
      <c r="N397" s="12" t="s">
        <v>52</v>
      </c>
      <c r="O397" s="5">
        <v>13272</v>
      </c>
    </row>
    <row r="398" spans="11:15">
      <c r="K398" s="12" t="s">
        <v>728</v>
      </c>
      <c r="L398" s="12" t="s">
        <v>129</v>
      </c>
      <c r="M398" s="12" t="s">
        <v>41</v>
      </c>
      <c r="N398" s="12" t="s">
        <v>42</v>
      </c>
      <c r="O398" s="5">
        <v>25445</v>
      </c>
    </row>
    <row r="399" spans="11:15">
      <c r="K399" s="12" t="s">
        <v>730</v>
      </c>
      <c r="L399" s="12" t="s">
        <v>170</v>
      </c>
      <c r="M399" s="12" t="s">
        <v>218</v>
      </c>
      <c r="N399" s="12" t="s">
        <v>17</v>
      </c>
      <c r="O399" s="5">
        <v>4407</v>
      </c>
    </row>
    <row r="400" spans="11:15">
      <c r="K400" s="12" t="s">
        <v>732</v>
      </c>
      <c r="L400" s="12" t="s">
        <v>129</v>
      </c>
      <c r="M400" s="12" t="s">
        <v>41</v>
      </c>
      <c r="N400" s="12" t="s">
        <v>42</v>
      </c>
      <c r="O400" s="5">
        <v>9880</v>
      </c>
    </row>
    <row r="401" spans="11:15">
      <c r="K401" s="12" t="s">
        <v>733</v>
      </c>
      <c r="L401" s="12" t="s">
        <v>68</v>
      </c>
      <c r="M401" s="12" t="s">
        <v>41</v>
      </c>
      <c r="N401" s="12" t="s">
        <v>42</v>
      </c>
      <c r="O401" s="5">
        <v>14967</v>
      </c>
    </row>
    <row r="402" spans="11:15">
      <c r="K402" s="12" t="s">
        <v>735</v>
      </c>
      <c r="L402" s="12" t="s">
        <v>68</v>
      </c>
      <c r="M402" s="12" t="s">
        <v>116</v>
      </c>
      <c r="N402" s="12" t="s">
        <v>17</v>
      </c>
      <c r="O402" s="5">
        <v>616</v>
      </c>
    </row>
    <row r="403" spans="11:15">
      <c r="K403" s="12" t="s">
        <v>736</v>
      </c>
      <c r="L403" s="12" t="s">
        <v>68</v>
      </c>
      <c r="M403" s="12" t="s">
        <v>59</v>
      </c>
      <c r="N403" s="12" t="s">
        <v>26</v>
      </c>
      <c r="O403" s="5">
        <v>21328</v>
      </c>
    </row>
    <row r="404" spans="11:15">
      <c r="K404" s="12" t="s">
        <v>738</v>
      </c>
      <c r="L404" s="12" t="s">
        <v>58</v>
      </c>
      <c r="M404" s="12" t="s">
        <v>113</v>
      </c>
      <c r="N404" s="12" t="s">
        <v>35</v>
      </c>
      <c r="O404" s="5">
        <v>96832</v>
      </c>
    </row>
    <row r="405" spans="11:15">
      <c r="K405" s="12" t="s">
        <v>740</v>
      </c>
      <c r="L405" s="12" t="s">
        <v>33</v>
      </c>
      <c r="M405" s="12" t="s">
        <v>165</v>
      </c>
      <c r="N405" s="12" t="s">
        <v>35</v>
      </c>
      <c r="O405" s="5">
        <v>50400</v>
      </c>
    </row>
    <row r="406" spans="11:15">
      <c r="K406" s="12" t="s">
        <v>741</v>
      </c>
      <c r="L406" s="12" t="s">
        <v>58</v>
      </c>
      <c r="M406" s="12" t="s">
        <v>51</v>
      </c>
      <c r="N406" s="12" t="s">
        <v>52</v>
      </c>
      <c r="O406" s="5">
        <v>9666</v>
      </c>
    </row>
    <row r="407" spans="11:15">
      <c r="K407" s="12" t="s">
        <v>742</v>
      </c>
      <c r="L407" s="12" t="s">
        <v>50</v>
      </c>
      <c r="M407" s="12" t="s">
        <v>116</v>
      </c>
      <c r="N407" s="12" t="s">
        <v>17</v>
      </c>
      <c r="O407" s="5">
        <v>10104</v>
      </c>
    </row>
    <row r="408" spans="11:15">
      <c r="K408" s="12" t="s">
        <v>744</v>
      </c>
      <c r="L408" s="12" t="s">
        <v>129</v>
      </c>
      <c r="M408" s="12" t="s">
        <v>90</v>
      </c>
      <c r="N408" s="12" t="s">
        <v>42</v>
      </c>
      <c r="O408" s="5">
        <v>9242</v>
      </c>
    </row>
    <row r="409" spans="11:15">
      <c r="K409" s="12" t="s">
        <v>745</v>
      </c>
      <c r="L409" s="12" t="s">
        <v>78</v>
      </c>
      <c r="M409" s="12" t="s">
        <v>41</v>
      </c>
      <c r="N409" s="12" t="s">
        <v>42</v>
      </c>
      <c r="O409" s="5">
        <v>7966</v>
      </c>
    </row>
    <row r="410" spans="11:15">
      <c r="K410" s="12" t="s">
        <v>746</v>
      </c>
      <c r="L410" s="12" t="s">
        <v>58</v>
      </c>
      <c r="M410" s="12" t="s">
        <v>218</v>
      </c>
      <c r="N410" s="12" t="s">
        <v>17</v>
      </c>
      <c r="O410" s="5">
        <v>8337</v>
      </c>
    </row>
    <row r="411" spans="11:15">
      <c r="K411" s="12" t="s">
        <v>747</v>
      </c>
      <c r="L411" s="12" t="s">
        <v>170</v>
      </c>
      <c r="M411" s="12" t="s">
        <v>165</v>
      </c>
      <c r="N411" s="12" t="s">
        <v>35</v>
      </c>
      <c r="O411" s="5">
        <v>445504</v>
      </c>
    </row>
    <row r="412" spans="11:15">
      <c r="K412" s="12" t="s">
        <v>748</v>
      </c>
      <c r="L412" s="12" t="s">
        <v>179</v>
      </c>
      <c r="M412" s="12" t="s">
        <v>63</v>
      </c>
      <c r="N412" s="12" t="s">
        <v>52</v>
      </c>
      <c r="O412" s="5">
        <v>861</v>
      </c>
    </row>
    <row r="413" spans="11:15">
      <c r="K413" s="12" t="s">
        <v>749</v>
      </c>
      <c r="L413" s="12" t="s">
        <v>33</v>
      </c>
      <c r="M413" s="12" t="s">
        <v>59</v>
      </c>
      <c r="N413" s="12" t="s">
        <v>26</v>
      </c>
      <c r="O413" s="5">
        <v>44532</v>
      </c>
    </row>
    <row r="414" spans="11:15">
      <c r="K414" s="12" t="s">
        <v>750</v>
      </c>
      <c r="L414" s="12" t="s">
        <v>50</v>
      </c>
      <c r="M414" s="12" t="s">
        <v>59</v>
      </c>
      <c r="N414" s="12" t="s">
        <v>26</v>
      </c>
      <c r="O414" s="5">
        <v>36295</v>
      </c>
    </row>
    <row r="415" spans="11:15">
      <c r="K415" s="12" t="s">
        <v>751</v>
      </c>
      <c r="L415" s="12" t="s">
        <v>72</v>
      </c>
      <c r="M415" s="12" t="s">
        <v>51</v>
      </c>
      <c r="N415" s="12" t="s">
        <v>52</v>
      </c>
      <c r="O415" s="5">
        <v>7300</v>
      </c>
    </row>
    <row r="416" spans="11:15">
      <c r="K416" s="12" t="s">
        <v>753</v>
      </c>
      <c r="L416" s="12" t="s">
        <v>45</v>
      </c>
      <c r="M416" s="12" t="s">
        <v>51</v>
      </c>
      <c r="N416" s="12" t="s">
        <v>52</v>
      </c>
      <c r="O416" s="5">
        <v>4172</v>
      </c>
    </row>
    <row r="417" spans="11:15">
      <c r="K417" s="12" t="s">
        <v>754</v>
      </c>
      <c r="L417" s="12" t="s">
        <v>112</v>
      </c>
      <c r="M417" s="12" t="s">
        <v>69</v>
      </c>
      <c r="N417" s="12" t="s">
        <v>26</v>
      </c>
      <c r="O417" s="5">
        <v>5526</v>
      </c>
    </row>
    <row r="418" spans="11:15">
      <c r="K418" s="12" t="s">
        <v>755</v>
      </c>
      <c r="L418" s="12" t="s">
        <v>72</v>
      </c>
      <c r="M418" s="12" t="s">
        <v>16</v>
      </c>
      <c r="N418" s="12" t="s">
        <v>17</v>
      </c>
      <c r="O418" s="5">
        <v>13944</v>
      </c>
    </row>
    <row r="419" spans="11:15">
      <c r="K419" s="12" t="s">
        <v>757</v>
      </c>
      <c r="L419" s="12" t="s">
        <v>45</v>
      </c>
      <c r="M419" s="12" t="s">
        <v>25</v>
      </c>
      <c r="N419" s="12" t="s">
        <v>26</v>
      </c>
      <c r="O419" s="5">
        <v>19268</v>
      </c>
    </row>
    <row r="420" spans="11:15">
      <c r="K420" s="12" t="s">
        <v>758</v>
      </c>
      <c r="L420" s="12" t="s">
        <v>45</v>
      </c>
      <c r="M420" s="12" t="s">
        <v>90</v>
      </c>
      <c r="N420" s="12" t="s">
        <v>42</v>
      </c>
      <c r="O420" s="5">
        <v>28728</v>
      </c>
    </row>
    <row r="421" spans="11:15">
      <c r="K421" s="12" t="s">
        <v>759</v>
      </c>
      <c r="L421" s="12" t="s">
        <v>72</v>
      </c>
      <c r="M421" s="12" t="s">
        <v>116</v>
      </c>
      <c r="N421" s="12" t="s">
        <v>17</v>
      </c>
      <c r="O421" s="5">
        <v>4419</v>
      </c>
    </row>
    <row r="422" spans="11:15">
      <c r="K422" s="12" t="s">
        <v>761</v>
      </c>
      <c r="L422" s="12" t="s">
        <v>146</v>
      </c>
      <c r="M422" s="12" t="s">
        <v>34</v>
      </c>
      <c r="N422" s="12" t="s">
        <v>35</v>
      </c>
      <c r="O422" s="5">
        <v>21805</v>
      </c>
    </row>
    <row r="423" spans="11:15">
      <c r="K423" s="12" t="s">
        <v>762</v>
      </c>
      <c r="L423" s="12" t="s">
        <v>50</v>
      </c>
      <c r="M423" s="12" t="s">
        <v>51</v>
      </c>
      <c r="N423" s="12" t="s">
        <v>52</v>
      </c>
      <c r="O423" s="5">
        <v>595</v>
      </c>
    </row>
    <row r="424" spans="11:15">
      <c r="K424" s="12" t="s">
        <v>764</v>
      </c>
      <c r="L424" s="12" t="s">
        <v>78</v>
      </c>
      <c r="M424" s="12" t="s">
        <v>109</v>
      </c>
      <c r="N424" s="12" t="s">
        <v>52</v>
      </c>
      <c r="O424" s="5">
        <v>2325</v>
      </c>
    </row>
    <row r="425" spans="11:15">
      <c r="K425" s="12" t="s">
        <v>765</v>
      </c>
      <c r="L425" s="12" t="s">
        <v>68</v>
      </c>
      <c r="M425" s="12" t="s">
        <v>46</v>
      </c>
      <c r="N425" s="12" t="s">
        <v>42</v>
      </c>
      <c r="O425" s="5">
        <v>26803</v>
      </c>
    </row>
    <row r="426" spans="11:15">
      <c r="K426" s="12" t="s">
        <v>766</v>
      </c>
      <c r="L426" s="12" t="s">
        <v>58</v>
      </c>
      <c r="M426" s="12" t="s">
        <v>59</v>
      </c>
      <c r="N426" s="12" t="s">
        <v>26</v>
      </c>
      <c r="O426" s="5">
        <v>36040</v>
      </c>
    </row>
    <row r="427" spans="11:15">
      <c r="K427" s="12" t="s">
        <v>767</v>
      </c>
      <c r="L427" s="12" t="s">
        <v>129</v>
      </c>
      <c r="M427" s="12" t="s">
        <v>165</v>
      </c>
      <c r="N427" s="12" t="s">
        <v>35</v>
      </c>
      <c r="O427" s="5">
        <v>56403</v>
      </c>
    </row>
    <row r="428" spans="11:15">
      <c r="K428" s="12" t="s">
        <v>768</v>
      </c>
      <c r="L428" s="12" t="s">
        <v>75</v>
      </c>
      <c r="M428" s="12" t="s">
        <v>147</v>
      </c>
      <c r="N428" s="12" t="s">
        <v>52</v>
      </c>
      <c r="O428" s="5">
        <v>2276</v>
      </c>
    </row>
    <row r="429" spans="11:15">
      <c r="K429" s="12" t="s">
        <v>769</v>
      </c>
      <c r="L429" s="12" t="s">
        <v>133</v>
      </c>
      <c r="M429" s="12" t="s">
        <v>79</v>
      </c>
      <c r="N429" s="12" t="s">
        <v>26</v>
      </c>
      <c r="O429" s="5">
        <v>33795</v>
      </c>
    </row>
    <row r="430" spans="11:15">
      <c r="K430" s="12" t="s">
        <v>770</v>
      </c>
      <c r="L430" s="12" t="s">
        <v>24</v>
      </c>
      <c r="M430" s="12" t="s">
        <v>147</v>
      </c>
      <c r="N430" s="12" t="s">
        <v>52</v>
      </c>
      <c r="O430" s="5">
        <v>1841</v>
      </c>
    </row>
    <row r="431" spans="11:15">
      <c r="K431" s="12" t="s">
        <v>771</v>
      </c>
      <c r="L431" s="12" t="s">
        <v>146</v>
      </c>
      <c r="M431" s="12" t="s">
        <v>51</v>
      </c>
      <c r="N431" s="12" t="s">
        <v>52</v>
      </c>
      <c r="O431" s="5">
        <v>6712</v>
      </c>
    </row>
    <row r="432" spans="11:15">
      <c r="K432" s="12" t="s">
        <v>772</v>
      </c>
      <c r="L432" s="12" t="s">
        <v>50</v>
      </c>
      <c r="M432" s="12" t="s">
        <v>16</v>
      </c>
      <c r="N432" s="12" t="s">
        <v>17</v>
      </c>
      <c r="O432" s="5">
        <v>6065</v>
      </c>
    </row>
    <row r="433" spans="11:15">
      <c r="K433" s="12" t="s">
        <v>773</v>
      </c>
      <c r="L433" s="12" t="s">
        <v>125</v>
      </c>
      <c r="M433" s="12" t="s">
        <v>41</v>
      </c>
      <c r="N433" s="12" t="s">
        <v>42</v>
      </c>
      <c r="O433" s="5">
        <v>10192</v>
      </c>
    </row>
    <row r="434" spans="11:15">
      <c r="K434" s="12" t="s">
        <v>774</v>
      </c>
      <c r="L434" s="12" t="s">
        <v>179</v>
      </c>
      <c r="M434" s="12" t="s">
        <v>97</v>
      </c>
      <c r="N434" s="12" t="s">
        <v>35</v>
      </c>
      <c r="O434" s="5">
        <v>94144</v>
      </c>
    </row>
    <row r="435" spans="11:15">
      <c r="K435" s="12" t="s">
        <v>775</v>
      </c>
      <c r="L435" s="12" t="s">
        <v>72</v>
      </c>
      <c r="M435" s="12" t="s">
        <v>109</v>
      </c>
      <c r="N435" s="12" t="s">
        <v>52</v>
      </c>
      <c r="O435" s="5">
        <v>12047</v>
      </c>
    </row>
    <row r="436" spans="11:15">
      <c r="K436" s="12" t="s">
        <v>776</v>
      </c>
      <c r="L436" s="12" t="s">
        <v>15</v>
      </c>
      <c r="M436" s="12" t="s">
        <v>79</v>
      </c>
      <c r="N436" s="12" t="s">
        <v>26</v>
      </c>
      <c r="O436" s="5">
        <v>66836</v>
      </c>
    </row>
    <row r="437" spans="11:15">
      <c r="K437" s="12" t="s">
        <v>777</v>
      </c>
      <c r="L437" s="12" t="s">
        <v>75</v>
      </c>
      <c r="M437" s="12" t="s">
        <v>113</v>
      </c>
      <c r="N437" s="12" t="s">
        <v>35</v>
      </c>
      <c r="O437" s="5">
        <v>125158</v>
      </c>
    </row>
    <row r="438" spans="11:15">
      <c r="K438" s="12" t="s">
        <v>778</v>
      </c>
      <c r="L438" s="12" t="s">
        <v>68</v>
      </c>
      <c r="M438" s="12" t="s">
        <v>116</v>
      </c>
      <c r="N438" s="12" t="s">
        <v>17</v>
      </c>
      <c r="O438" s="5">
        <v>797</v>
      </c>
    </row>
    <row r="439" spans="11:15">
      <c r="K439" s="12" t="s">
        <v>779</v>
      </c>
      <c r="L439" s="12" t="s">
        <v>58</v>
      </c>
      <c r="M439" s="12" t="s">
        <v>16</v>
      </c>
      <c r="N439" s="12" t="s">
        <v>17</v>
      </c>
      <c r="O439" s="5">
        <v>1716</v>
      </c>
    </row>
    <row r="440" spans="11:15">
      <c r="K440" s="12" t="s">
        <v>780</v>
      </c>
      <c r="L440" s="12" t="s">
        <v>129</v>
      </c>
      <c r="M440" s="12" t="s">
        <v>147</v>
      </c>
      <c r="N440" s="12" t="s">
        <v>52</v>
      </c>
      <c r="O440" s="5">
        <v>1524</v>
      </c>
    </row>
    <row r="441" spans="11:15">
      <c r="K441" s="12" t="s">
        <v>781</v>
      </c>
      <c r="L441" s="12" t="s">
        <v>24</v>
      </c>
      <c r="M441" s="12" t="s">
        <v>147</v>
      </c>
      <c r="N441" s="12" t="s">
        <v>52</v>
      </c>
      <c r="O441" s="5">
        <v>3580</v>
      </c>
    </row>
    <row r="442" spans="11:15">
      <c r="K442" s="12" t="s">
        <v>782</v>
      </c>
      <c r="L442" s="12" t="s">
        <v>45</v>
      </c>
      <c r="M442" s="12" t="s">
        <v>159</v>
      </c>
      <c r="N442" s="12" t="s">
        <v>42</v>
      </c>
      <c r="O442" s="5">
        <v>13167</v>
      </c>
    </row>
    <row r="443" spans="11:15">
      <c r="K443" s="12" t="s">
        <v>783</v>
      </c>
      <c r="L443" s="12" t="s">
        <v>45</v>
      </c>
      <c r="M443" s="12" t="s">
        <v>41</v>
      </c>
      <c r="N443" s="12" t="s">
        <v>42</v>
      </c>
      <c r="O443" s="5">
        <v>26340</v>
      </c>
    </row>
    <row r="444" spans="11:15">
      <c r="K444" s="12" t="s">
        <v>785</v>
      </c>
      <c r="L444" s="12" t="s">
        <v>33</v>
      </c>
      <c r="M444" s="12" t="s">
        <v>109</v>
      </c>
      <c r="N444" s="12" t="s">
        <v>52</v>
      </c>
      <c r="O444" s="5">
        <v>3444</v>
      </c>
    </row>
    <row r="445" spans="11:15">
      <c r="K445" s="12" t="s">
        <v>786</v>
      </c>
      <c r="L445" s="12" t="s">
        <v>24</v>
      </c>
      <c r="M445" s="12" t="s">
        <v>51</v>
      </c>
      <c r="N445" s="12" t="s">
        <v>52</v>
      </c>
      <c r="O445" s="5">
        <v>12636</v>
      </c>
    </row>
    <row r="446" spans="11:15">
      <c r="K446" s="12" t="s">
        <v>787</v>
      </c>
      <c r="L446" s="12" t="s">
        <v>122</v>
      </c>
      <c r="M446" s="12" t="s">
        <v>86</v>
      </c>
      <c r="N446" s="12" t="s">
        <v>17</v>
      </c>
      <c r="O446" s="5">
        <v>6948</v>
      </c>
    </row>
    <row r="447" spans="11:15">
      <c r="K447" s="12" t="s">
        <v>788</v>
      </c>
      <c r="L447" s="12" t="s">
        <v>24</v>
      </c>
      <c r="M447" s="12" t="s">
        <v>159</v>
      </c>
      <c r="N447" s="12" t="s">
        <v>42</v>
      </c>
      <c r="O447" s="5">
        <v>34160</v>
      </c>
    </row>
    <row r="448" spans="11:15">
      <c r="K448" s="12" t="s">
        <v>789</v>
      </c>
      <c r="L448" s="12" t="s">
        <v>103</v>
      </c>
      <c r="M448" s="12" t="s">
        <v>159</v>
      </c>
      <c r="N448" s="12" t="s">
        <v>42</v>
      </c>
      <c r="O448" s="5">
        <v>10452</v>
      </c>
    </row>
    <row r="449" spans="11:15">
      <c r="K449" s="12" t="s">
        <v>791</v>
      </c>
      <c r="L449" s="12" t="s">
        <v>58</v>
      </c>
      <c r="M449" s="12" t="s">
        <v>90</v>
      </c>
      <c r="N449" s="12" t="s">
        <v>42</v>
      </c>
      <c r="O449" s="5">
        <v>11904</v>
      </c>
    </row>
    <row r="450" spans="11:15">
      <c r="K450" s="12" t="s">
        <v>792</v>
      </c>
      <c r="L450" s="12" t="s">
        <v>58</v>
      </c>
      <c r="M450" s="12" t="s">
        <v>90</v>
      </c>
      <c r="N450" s="12" t="s">
        <v>42</v>
      </c>
      <c r="O450" s="5">
        <v>33656</v>
      </c>
    </row>
    <row r="451" spans="11:15">
      <c r="K451" s="12" t="s">
        <v>793</v>
      </c>
      <c r="L451" s="12" t="s">
        <v>146</v>
      </c>
      <c r="M451" s="12" t="s">
        <v>41</v>
      </c>
      <c r="N451" s="12" t="s">
        <v>42</v>
      </c>
      <c r="O451" s="5">
        <v>40400</v>
      </c>
    </row>
    <row r="452" spans="11:15">
      <c r="K452" s="12" t="s">
        <v>794</v>
      </c>
      <c r="L452" s="12" t="s">
        <v>15</v>
      </c>
      <c r="M452" s="12" t="s">
        <v>25</v>
      </c>
      <c r="N452" s="12" t="s">
        <v>26</v>
      </c>
      <c r="O452" s="5">
        <v>33012</v>
      </c>
    </row>
    <row r="453" spans="11:15">
      <c r="K453" s="12" t="s">
        <v>795</v>
      </c>
      <c r="L453" s="12" t="s">
        <v>75</v>
      </c>
      <c r="M453" s="12" t="s">
        <v>41</v>
      </c>
      <c r="N453" s="12" t="s">
        <v>42</v>
      </c>
      <c r="O453" s="5">
        <v>29872</v>
      </c>
    </row>
    <row r="454" spans="11:15">
      <c r="K454" s="12" t="s">
        <v>796</v>
      </c>
      <c r="L454" s="12" t="s">
        <v>33</v>
      </c>
      <c r="M454" s="12" t="s">
        <v>97</v>
      </c>
      <c r="N454" s="12" t="s">
        <v>35</v>
      </c>
      <c r="O454" s="5">
        <v>335296</v>
      </c>
    </row>
    <row r="455" spans="11:15">
      <c r="K455" s="12" t="s">
        <v>798</v>
      </c>
      <c r="L455" s="12" t="s">
        <v>78</v>
      </c>
      <c r="M455" s="12" t="s">
        <v>41</v>
      </c>
      <c r="N455" s="12" t="s">
        <v>42</v>
      </c>
      <c r="O455" s="5">
        <v>14262</v>
      </c>
    </row>
    <row r="456" spans="11:15">
      <c r="K456" s="12" t="s">
        <v>800</v>
      </c>
      <c r="L456" s="12" t="s">
        <v>125</v>
      </c>
      <c r="M456" s="12" t="s">
        <v>109</v>
      </c>
      <c r="N456" s="12" t="s">
        <v>52</v>
      </c>
      <c r="O456" s="5">
        <v>9910</v>
      </c>
    </row>
    <row r="457" spans="11:15">
      <c r="K457" s="12" t="s">
        <v>801</v>
      </c>
      <c r="L457" s="12" t="s">
        <v>40</v>
      </c>
      <c r="M457" s="12" t="s">
        <v>59</v>
      </c>
      <c r="N457" s="12" t="s">
        <v>26</v>
      </c>
      <c r="O457" s="5">
        <v>13380</v>
      </c>
    </row>
    <row r="458" spans="11:15">
      <c r="K458" s="12" t="s">
        <v>803</v>
      </c>
      <c r="L458" s="12" t="s">
        <v>78</v>
      </c>
      <c r="M458" s="12" t="s">
        <v>113</v>
      </c>
      <c r="N458" s="12" t="s">
        <v>35</v>
      </c>
      <c r="O458" s="5">
        <v>87816</v>
      </c>
    </row>
    <row r="459" spans="11:15">
      <c r="K459" s="12" t="s">
        <v>804</v>
      </c>
      <c r="L459" s="12" t="s">
        <v>133</v>
      </c>
      <c r="M459" s="12" t="s">
        <v>90</v>
      </c>
      <c r="N459" s="12" t="s">
        <v>42</v>
      </c>
      <c r="O459" s="5">
        <v>880</v>
      </c>
    </row>
    <row r="460" spans="11:15">
      <c r="K460" s="12" t="s">
        <v>806</v>
      </c>
      <c r="L460" s="12" t="s">
        <v>40</v>
      </c>
      <c r="M460" s="12" t="s">
        <v>90</v>
      </c>
      <c r="N460" s="12" t="s">
        <v>42</v>
      </c>
      <c r="O460" s="5">
        <v>10530</v>
      </c>
    </row>
    <row r="461" spans="11:15">
      <c r="K461" s="12" t="s">
        <v>807</v>
      </c>
      <c r="L461" s="12" t="s">
        <v>24</v>
      </c>
      <c r="M461" s="12" t="s">
        <v>97</v>
      </c>
      <c r="N461" s="12" t="s">
        <v>35</v>
      </c>
      <c r="O461" s="5">
        <v>119661</v>
      </c>
    </row>
    <row r="462" spans="11:15">
      <c r="K462" s="12" t="s">
        <v>808</v>
      </c>
      <c r="L462" s="12" t="s">
        <v>129</v>
      </c>
      <c r="M462" s="12" t="s">
        <v>165</v>
      </c>
      <c r="N462" s="12" t="s">
        <v>35</v>
      </c>
      <c r="O462" s="5">
        <v>213456</v>
      </c>
    </row>
    <row r="463" spans="11:15">
      <c r="K463" s="12" t="s">
        <v>809</v>
      </c>
      <c r="L463" s="12" t="s">
        <v>72</v>
      </c>
      <c r="M463" s="12" t="s">
        <v>79</v>
      </c>
      <c r="N463" s="12" t="s">
        <v>26</v>
      </c>
      <c r="O463" s="5">
        <v>15905</v>
      </c>
    </row>
    <row r="464" spans="11:15">
      <c r="K464" s="12" t="s">
        <v>811</v>
      </c>
      <c r="L464" s="12" t="s">
        <v>78</v>
      </c>
      <c r="M464" s="12" t="s">
        <v>46</v>
      </c>
      <c r="N464" s="12" t="s">
        <v>42</v>
      </c>
      <c r="O464" s="5">
        <v>4860</v>
      </c>
    </row>
    <row r="465" spans="11:15">
      <c r="K465" s="12" t="s">
        <v>812</v>
      </c>
      <c r="L465" s="12" t="s">
        <v>103</v>
      </c>
      <c r="M465" s="12" t="s">
        <v>159</v>
      </c>
      <c r="N465" s="12" t="s">
        <v>42</v>
      </c>
      <c r="O465" s="5">
        <v>34086</v>
      </c>
    </row>
    <row r="466" spans="11:15">
      <c r="K466" s="12" t="s">
        <v>813</v>
      </c>
      <c r="L466" s="12" t="s">
        <v>129</v>
      </c>
      <c r="M466" s="12" t="s">
        <v>69</v>
      </c>
      <c r="N466" s="12" t="s">
        <v>26</v>
      </c>
      <c r="O466" s="5">
        <v>12012</v>
      </c>
    </row>
    <row r="467" spans="11:15">
      <c r="K467" s="12" t="s">
        <v>814</v>
      </c>
      <c r="L467" s="12" t="s">
        <v>179</v>
      </c>
      <c r="M467" s="12" t="s">
        <v>97</v>
      </c>
      <c r="N467" s="12" t="s">
        <v>35</v>
      </c>
      <c r="O467" s="5">
        <v>48552</v>
      </c>
    </row>
    <row r="468" spans="11:15">
      <c r="K468" s="12" t="s">
        <v>815</v>
      </c>
      <c r="L468" s="12" t="s">
        <v>40</v>
      </c>
      <c r="M468" s="12" t="s">
        <v>46</v>
      </c>
      <c r="N468" s="12" t="s">
        <v>42</v>
      </c>
      <c r="O468" s="5">
        <v>38570</v>
      </c>
    </row>
    <row r="469" spans="11:15">
      <c r="K469" s="12" t="s">
        <v>816</v>
      </c>
      <c r="L469" s="12" t="s">
        <v>179</v>
      </c>
      <c r="M469" s="12" t="s">
        <v>69</v>
      </c>
      <c r="N469" s="12" t="s">
        <v>26</v>
      </c>
      <c r="O469" s="5">
        <v>9906</v>
      </c>
    </row>
    <row r="470" spans="11:15">
      <c r="K470" s="12" t="s">
        <v>817</v>
      </c>
      <c r="L470" s="12" t="s">
        <v>72</v>
      </c>
      <c r="M470" s="12" t="s">
        <v>69</v>
      </c>
      <c r="N470" s="12" t="s">
        <v>26</v>
      </c>
      <c r="O470" s="5">
        <v>41965</v>
      </c>
    </row>
    <row r="471" spans="11:15">
      <c r="K471" s="12" t="s">
        <v>818</v>
      </c>
      <c r="L471" s="12" t="s">
        <v>45</v>
      </c>
      <c r="M471" s="12" t="s">
        <v>218</v>
      </c>
      <c r="N471" s="12" t="s">
        <v>17</v>
      </c>
      <c r="O471" s="5">
        <v>3921</v>
      </c>
    </row>
    <row r="472" spans="11:15">
      <c r="K472" s="12" t="s">
        <v>819</v>
      </c>
      <c r="L472" s="12" t="s">
        <v>24</v>
      </c>
      <c r="M472" s="12" t="s">
        <v>69</v>
      </c>
      <c r="N472" s="12" t="s">
        <v>26</v>
      </c>
      <c r="O472" s="5">
        <v>81800</v>
      </c>
    </row>
    <row r="473" spans="11:15">
      <c r="K473" s="12" t="s">
        <v>820</v>
      </c>
      <c r="L473" s="12" t="s">
        <v>33</v>
      </c>
      <c r="M473" s="12" t="s">
        <v>97</v>
      </c>
      <c r="N473" s="12" t="s">
        <v>35</v>
      </c>
      <c r="O473" s="5">
        <v>28296</v>
      </c>
    </row>
    <row r="474" spans="11:15">
      <c r="K474" s="12" t="s">
        <v>821</v>
      </c>
      <c r="L474" s="12" t="s">
        <v>103</v>
      </c>
      <c r="M474" s="12" t="s">
        <v>79</v>
      </c>
      <c r="N474" s="12" t="s">
        <v>26</v>
      </c>
      <c r="O474" s="5">
        <v>17940</v>
      </c>
    </row>
    <row r="475" spans="11:15">
      <c r="K475" s="12" t="s">
        <v>822</v>
      </c>
      <c r="L475" s="12" t="s">
        <v>68</v>
      </c>
      <c r="M475" s="12" t="s">
        <v>59</v>
      </c>
      <c r="N475" s="12" t="s">
        <v>26</v>
      </c>
      <c r="O475" s="5">
        <v>8744</v>
      </c>
    </row>
    <row r="476" spans="11:15">
      <c r="K476" s="12" t="s">
        <v>823</v>
      </c>
      <c r="L476" s="12" t="s">
        <v>72</v>
      </c>
      <c r="M476" s="12" t="s">
        <v>147</v>
      </c>
      <c r="N476" s="12" t="s">
        <v>52</v>
      </c>
      <c r="O476" s="5">
        <v>5816</v>
      </c>
    </row>
    <row r="477" spans="11:15">
      <c r="K477" s="12" t="s">
        <v>824</v>
      </c>
      <c r="L477" s="12" t="s">
        <v>133</v>
      </c>
      <c r="M477" s="12" t="s">
        <v>113</v>
      </c>
      <c r="N477" s="12" t="s">
        <v>35</v>
      </c>
      <c r="O477" s="5">
        <v>128788</v>
      </c>
    </row>
    <row r="478" spans="11:15">
      <c r="K478" s="12" t="s">
        <v>826</v>
      </c>
      <c r="L478" s="12" t="s">
        <v>103</v>
      </c>
      <c r="M478" s="12" t="s">
        <v>116</v>
      </c>
      <c r="N478" s="12" t="s">
        <v>17</v>
      </c>
      <c r="O478" s="5">
        <v>702</v>
      </c>
    </row>
    <row r="479" spans="11:15">
      <c r="K479" s="12" t="s">
        <v>827</v>
      </c>
      <c r="L479" s="12" t="s">
        <v>58</v>
      </c>
      <c r="M479" s="12" t="s">
        <v>16</v>
      </c>
      <c r="N479" s="12" t="s">
        <v>17</v>
      </c>
      <c r="O479" s="5">
        <v>6012</v>
      </c>
    </row>
    <row r="480" spans="11:15">
      <c r="K480" s="12" t="s">
        <v>828</v>
      </c>
      <c r="L480" s="12" t="s">
        <v>78</v>
      </c>
      <c r="M480" s="12" t="s">
        <v>79</v>
      </c>
      <c r="N480" s="12" t="s">
        <v>26</v>
      </c>
      <c r="O480" s="5">
        <v>7876</v>
      </c>
    </row>
    <row r="481" spans="11:15">
      <c r="K481" s="12" t="s">
        <v>830</v>
      </c>
      <c r="L481" s="12" t="s">
        <v>133</v>
      </c>
      <c r="M481" s="12" t="s">
        <v>69</v>
      </c>
      <c r="N481" s="12" t="s">
        <v>26</v>
      </c>
      <c r="O481" s="5">
        <v>21057</v>
      </c>
    </row>
    <row r="482" spans="11:15">
      <c r="K482" s="12" t="s">
        <v>831</v>
      </c>
      <c r="L482" s="12" t="s">
        <v>68</v>
      </c>
      <c r="M482" s="12" t="s">
        <v>41</v>
      </c>
      <c r="N482" s="12" t="s">
        <v>42</v>
      </c>
      <c r="O482" s="5">
        <v>15792</v>
      </c>
    </row>
    <row r="483" spans="11:15">
      <c r="K483" s="12" t="s">
        <v>832</v>
      </c>
      <c r="L483" s="12" t="s">
        <v>129</v>
      </c>
      <c r="M483" s="12" t="s">
        <v>59</v>
      </c>
      <c r="N483" s="12" t="s">
        <v>26</v>
      </c>
      <c r="O483" s="5">
        <v>31144</v>
      </c>
    </row>
    <row r="484" spans="11:15">
      <c r="K484" s="12" t="s">
        <v>834</v>
      </c>
      <c r="L484" s="12" t="s">
        <v>75</v>
      </c>
      <c r="M484" s="12" t="s">
        <v>116</v>
      </c>
      <c r="N484" s="12" t="s">
        <v>17</v>
      </c>
      <c r="O484" s="5">
        <v>1088</v>
      </c>
    </row>
    <row r="485" spans="11:15">
      <c r="K485" s="12" t="s">
        <v>835</v>
      </c>
      <c r="L485" s="12" t="s">
        <v>129</v>
      </c>
      <c r="M485" s="12" t="s">
        <v>51</v>
      </c>
      <c r="N485" s="12" t="s">
        <v>52</v>
      </c>
      <c r="O485" s="5">
        <v>9176</v>
      </c>
    </row>
    <row r="486" spans="11:15">
      <c r="K486" s="12" t="s">
        <v>836</v>
      </c>
      <c r="L486" s="12" t="s">
        <v>15</v>
      </c>
      <c r="M486" s="12" t="s">
        <v>59</v>
      </c>
      <c r="N486" s="12" t="s">
        <v>26</v>
      </c>
      <c r="O486" s="5">
        <v>71576</v>
      </c>
    </row>
    <row r="487" spans="11:15">
      <c r="K487" s="12" t="s">
        <v>838</v>
      </c>
      <c r="L487" s="12" t="s">
        <v>112</v>
      </c>
      <c r="M487" s="12" t="s">
        <v>41</v>
      </c>
      <c r="N487" s="12" t="s">
        <v>42</v>
      </c>
      <c r="O487" s="5">
        <v>22260</v>
      </c>
    </row>
    <row r="488" spans="11:15">
      <c r="K488" s="12" t="s">
        <v>839</v>
      </c>
      <c r="L488" s="12" t="s">
        <v>133</v>
      </c>
      <c r="M488" s="12" t="s">
        <v>97</v>
      </c>
      <c r="N488" s="12" t="s">
        <v>35</v>
      </c>
      <c r="O488" s="5">
        <v>366740</v>
      </c>
    </row>
    <row r="489" spans="11:15">
      <c r="K489" s="12" t="s">
        <v>840</v>
      </c>
      <c r="L489" s="12" t="s">
        <v>24</v>
      </c>
      <c r="M489" s="12" t="s">
        <v>97</v>
      </c>
      <c r="N489" s="12" t="s">
        <v>35</v>
      </c>
      <c r="O489" s="5">
        <v>205456</v>
      </c>
    </row>
    <row r="490" spans="11:15">
      <c r="K490" s="12" t="s">
        <v>842</v>
      </c>
      <c r="L490" s="12" t="s">
        <v>112</v>
      </c>
      <c r="M490" s="12" t="s">
        <v>97</v>
      </c>
      <c r="N490" s="12" t="s">
        <v>35</v>
      </c>
      <c r="O490" s="5">
        <v>150170</v>
      </c>
    </row>
    <row r="491" spans="11:15">
      <c r="K491" s="12" t="s">
        <v>844</v>
      </c>
      <c r="L491" s="12" t="s">
        <v>129</v>
      </c>
      <c r="M491" s="12" t="s">
        <v>90</v>
      </c>
      <c r="N491" s="12" t="s">
        <v>42</v>
      </c>
      <c r="O491" s="5">
        <v>5580</v>
      </c>
    </row>
    <row r="492" spans="11:15">
      <c r="K492" s="12" t="s">
        <v>845</v>
      </c>
      <c r="L492" s="12" t="s">
        <v>40</v>
      </c>
      <c r="M492" s="12" t="s">
        <v>41</v>
      </c>
      <c r="N492" s="12" t="s">
        <v>42</v>
      </c>
      <c r="O492" s="5">
        <v>6972</v>
      </c>
    </row>
    <row r="493" spans="11:15">
      <c r="K493" s="12" t="s">
        <v>847</v>
      </c>
      <c r="L493" s="12" t="s">
        <v>58</v>
      </c>
      <c r="M493" s="12" t="s">
        <v>113</v>
      </c>
      <c r="N493" s="12" t="s">
        <v>35</v>
      </c>
      <c r="O493" s="5">
        <v>135732</v>
      </c>
    </row>
    <row r="494" spans="11:15">
      <c r="K494" s="12" t="s">
        <v>848</v>
      </c>
      <c r="L494" s="12" t="s">
        <v>68</v>
      </c>
      <c r="M494" s="12" t="s">
        <v>116</v>
      </c>
      <c r="N494" s="12" t="s">
        <v>17</v>
      </c>
      <c r="O494" s="5">
        <v>948</v>
      </c>
    </row>
    <row r="495" spans="11:15">
      <c r="K495" s="12" t="s">
        <v>849</v>
      </c>
      <c r="L495" s="12" t="s">
        <v>78</v>
      </c>
      <c r="M495" s="12" t="s">
        <v>46</v>
      </c>
      <c r="N495" s="12" t="s">
        <v>42</v>
      </c>
      <c r="O495" s="5">
        <v>23855</v>
      </c>
    </row>
    <row r="496" spans="11:15">
      <c r="K496" s="12" t="s">
        <v>850</v>
      </c>
      <c r="L496" s="12" t="s">
        <v>58</v>
      </c>
      <c r="M496" s="12" t="s">
        <v>218</v>
      </c>
      <c r="N496" s="12" t="s">
        <v>17</v>
      </c>
      <c r="O496" s="5">
        <v>5334</v>
      </c>
    </row>
    <row r="497" spans="11:15">
      <c r="K497" s="12" t="s">
        <v>851</v>
      </c>
      <c r="L497" s="12" t="s">
        <v>103</v>
      </c>
      <c r="M497" s="12" t="s">
        <v>109</v>
      </c>
      <c r="N497" s="12" t="s">
        <v>52</v>
      </c>
      <c r="O497" s="5">
        <v>7390</v>
      </c>
    </row>
    <row r="498" spans="11:15">
      <c r="K498" s="12" t="s">
        <v>852</v>
      </c>
      <c r="L498" s="12" t="s">
        <v>58</v>
      </c>
      <c r="M498" s="12" t="s">
        <v>86</v>
      </c>
      <c r="N498" s="12" t="s">
        <v>17</v>
      </c>
      <c r="O498" s="5">
        <v>5888</v>
      </c>
    </row>
    <row r="499" spans="11:15">
      <c r="K499" s="12" t="s">
        <v>853</v>
      </c>
      <c r="L499" s="12" t="s">
        <v>179</v>
      </c>
      <c r="M499" s="12" t="s">
        <v>97</v>
      </c>
      <c r="N499" s="12" t="s">
        <v>35</v>
      </c>
      <c r="O499" s="5">
        <v>238268</v>
      </c>
    </row>
    <row r="500" spans="11:15">
      <c r="K500" s="12" t="s">
        <v>854</v>
      </c>
      <c r="L500" s="12" t="s">
        <v>146</v>
      </c>
      <c r="M500" s="12" t="s">
        <v>109</v>
      </c>
      <c r="N500" s="12" t="s">
        <v>52</v>
      </c>
      <c r="O500" s="5">
        <v>4904</v>
      </c>
    </row>
    <row r="501" spans="11:15">
      <c r="K501" s="12" t="s">
        <v>855</v>
      </c>
      <c r="L501" s="12" t="s">
        <v>125</v>
      </c>
      <c r="M501" s="12" t="s">
        <v>86</v>
      </c>
      <c r="N501" s="12" t="s">
        <v>17</v>
      </c>
      <c r="O501" s="5">
        <v>2895</v>
      </c>
    </row>
    <row r="502" spans="11:15">
      <c r="K502" s="12" t="s">
        <v>856</v>
      </c>
      <c r="L502" s="12" t="s">
        <v>112</v>
      </c>
      <c r="M502" s="12" t="s">
        <v>165</v>
      </c>
      <c r="N502" s="12" t="s">
        <v>35</v>
      </c>
      <c r="O502" s="5">
        <v>28672</v>
      </c>
    </row>
    <row r="503" spans="11:15">
      <c r="K503" s="12" t="s">
        <v>857</v>
      </c>
      <c r="L503" s="12" t="s">
        <v>72</v>
      </c>
      <c r="M503" s="12" t="s">
        <v>86</v>
      </c>
      <c r="N503" s="12" t="s">
        <v>17</v>
      </c>
      <c r="O503" s="5">
        <v>1882</v>
      </c>
    </row>
    <row r="504" spans="11:15">
      <c r="K504" s="12" t="s">
        <v>858</v>
      </c>
      <c r="L504" s="12" t="s">
        <v>170</v>
      </c>
      <c r="M504" s="12" t="s">
        <v>97</v>
      </c>
      <c r="N504" s="12" t="s">
        <v>35</v>
      </c>
      <c r="O504" s="5">
        <v>333860</v>
      </c>
    </row>
    <row r="505" spans="11:15">
      <c r="K505" s="12" t="s">
        <v>866</v>
      </c>
      <c r="O505" s="5">
        <v>23006417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455A-AC1C-4430-AA92-E87C7F943FE0}">
  <dimension ref="B4:B6"/>
  <sheetViews>
    <sheetView showGridLines="0" tabSelected="1" workbookViewId="0">
      <selection activeCell="R7" sqref="R7"/>
    </sheetView>
  </sheetViews>
  <sheetFormatPr defaultRowHeight="14.25"/>
  <cols>
    <col min="1" max="16384" width="9" style="21"/>
  </cols>
  <sheetData>
    <row r="4" spans="2:2" s="21" customFormat="1"/>
    <row r="6" spans="2:2" s="21" customFormat="1">
      <c r="B6" s="21" t="e" cm="1">
        <f t="array" ref="B6">PIVOT</f>
        <v>#NAME?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D63B-56DA-4B8D-B367-AEEFF7281DB6}">
  <dimension ref="A1:M501"/>
  <sheetViews>
    <sheetView topLeftCell="A2" workbookViewId="0">
      <selection activeCell="D2" sqref="D2"/>
    </sheetView>
  </sheetViews>
  <sheetFormatPr defaultRowHeight="14.25"/>
  <cols>
    <col min="1" max="1" width="10" customWidth="1"/>
    <col min="2" max="2" width="10.375" bestFit="1" customWidth="1"/>
    <col min="3" max="3" width="16.5" customWidth="1"/>
    <col min="4" max="4" width="15.5" bestFit="1" customWidth="1"/>
    <col min="5" max="5" width="10" bestFit="1" customWidth="1"/>
    <col min="6" max="6" width="11.25" bestFit="1" customWidth="1"/>
    <col min="7" max="7" width="10.375" bestFit="1" customWidth="1"/>
    <col min="8" max="8" width="16.625" customWidth="1"/>
    <col min="9" max="9" width="7.25" customWidth="1"/>
    <col min="10" max="10" width="9.5" customWidth="1"/>
    <col min="11" max="11" width="7.875" customWidth="1"/>
    <col min="12" max="12" width="9.25" customWidth="1"/>
    <col min="13" max="13" width="7.87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v>3028</v>
      </c>
      <c r="J2">
        <v>4</v>
      </c>
      <c r="K2">
        <v>4.3</v>
      </c>
      <c r="L2">
        <v>1</v>
      </c>
      <c r="M2" t="s">
        <v>21</v>
      </c>
    </row>
    <row r="3" spans="1:13">
      <c r="A3" t="s">
        <v>22</v>
      </c>
      <c r="B3" t="s">
        <v>23</v>
      </c>
      <c r="C3" t="s">
        <v>24</v>
      </c>
      <c r="D3" t="s">
        <v>25</v>
      </c>
      <c r="E3" t="s">
        <v>26</v>
      </c>
      <c r="F3" t="s">
        <v>27</v>
      </c>
      <c r="G3" t="s">
        <v>28</v>
      </c>
      <c r="H3" t="s">
        <v>29</v>
      </c>
      <c r="I3">
        <v>32636</v>
      </c>
      <c r="J3">
        <v>4</v>
      </c>
      <c r="K3">
        <v>4.3</v>
      </c>
      <c r="L3">
        <v>1</v>
      </c>
      <c r="M3" t="s">
        <v>30</v>
      </c>
    </row>
    <row r="4" spans="1:13">
      <c r="A4" t="s">
        <v>31</v>
      </c>
      <c r="B4" t="s">
        <v>32</v>
      </c>
      <c r="C4" t="s">
        <v>33</v>
      </c>
      <c r="D4" t="s">
        <v>34</v>
      </c>
      <c r="E4" t="s">
        <v>35</v>
      </c>
      <c r="F4" t="s">
        <v>27</v>
      </c>
      <c r="G4" t="s">
        <v>28</v>
      </c>
      <c r="H4" t="s">
        <v>36</v>
      </c>
      <c r="I4">
        <v>313782</v>
      </c>
      <c r="J4">
        <v>6</v>
      </c>
      <c r="K4">
        <v>4.7</v>
      </c>
      <c r="L4">
        <v>5</v>
      </c>
      <c r="M4" t="s">
        <v>37</v>
      </c>
    </row>
    <row r="5" spans="1:13">
      <c r="A5" t="s">
        <v>38</v>
      </c>
      <c r="B5" t="s">
        <v>39</v>
      </c>
      <c r="C5" t="s">
        <v>40</v>
      </c>
      <c r="D5" t="s">
        <v>41</v>
      </c>
      <c r="E5" t="s">
        <v>42</v>
      </c>
      <c r="F5" t="s">
        <v>18</v>
      </c>
      <c r="G5" t="s">
        <v>19</v>
      </c>
      <c r="H5" t="s">
        <v>36</v>
      </c>
      <c r="I5">
        <v>11375</v>
      </c>
      <c r="J5">
        <v>5</v>
      </c>
      <c r="K5">
        <v>3.3</v>
      </c>
      <c r="L5">
        <v>4</v>
      </c>
      <c r="M5" t="s">
        <v>30</v>
      </c>
    </row>
    <row r="6" spans="1:13">
      <c r="A6" t="s">
        <v>43</v>
      </c>
      <c r="B6" t="s">
        <v>44</v>
      </c>
      <c r="C6" t="s">
        <v>45</v>
      </c>
      <c r="D6" t="s">
        <v>46</v>
      </c>
      <c r="E6" t="s">
        <v>42</v>
      </c>
      <c r="F6" t="s">
        <v>27</v>
      </c>
      <c r="G6" t="s">
        <v>19</v>
      </c>
      <c r="H6" t="s">
        <v>20</v>
      </c>
      <c r="I6">
        <v>14496</v>
      </c>
      <c r="J6">
        <v>6</v>
      </c>
      <c r="K6">
        <v>3.7</v>
      </c>
      <c r="L6">
        <v>2</v>
      </c>
      <c r="M6" t="s">
        <v>47</v>
      </c>
    </row>
    <row r="7" spans="1:13">
      <c r="A7" t="s">
        <v>48</v>
      </c>
      <c r="B7" t="s">
        <v>49</v>
      </c>
      <c r="C7" t="s">
        <v>50</v>
      </c>
      <c r="D7" t="s">
        <v>51</v>
      </c>
      <c r="E7" t="s">
        <v>52</v>
      </c>
      <c r="F7" t="s">
        <v>53</v>
      </c>
      <c r="G7" t="s">
        <v>54</v>
      </c>
      <c r="H7" t="s">
        <v>20</v>
      </c>
      <c r="I7">
        <v>5745</v>
      </c>
      <c r="J7">
        <v>5</v>
      </c>
      <c r="K7">
        <v>4.7</v>
      </c>
      <c r="L7">
        <v>6</v>
      </c>
      <c r="M7" t="s">
        <v>55</v>
      </c>
    </row>
    <row r="8" spans="1:13">
      <c r="A8" t="s">
        <v>56</v>
      </c>
      <c r="B8" t="s">
        <v>57</v>
      </c>
      <c r="C8" t="s">
        <v>58</v>
      </c>
      <c r="D8" t="s">
        <v>59</v>
      </c>
      <c r="E8" t="s">
        <v>26</v>
      </c>
      <c r="F8" t="s">
        <v>60</v>
      </c>
      <c r="G8" t="s">
        <v>28</v>
      </c>
      <c r="H8" t="s">
        <v>29</v>
      </c>
      <c r="I8">
        <v>24696</v>
      </c>
      <c r="J8">
        <v>8</v>
      </c>
      <c r="K8">
        <v>3.6</v>
      </c>
      <c r="L8">
        <v>5</v>
      </c>
      <c r="M8" t="s">
        <v>37</v>
      </c>
    </row>
    <row r="9" spans="1:13">
      <c r="A9" t="s">
        <v>61</v>
      </c>
      <c r="B9" t="s">
        <v>62</v>
      </c>
      <c r="C9" t="s">
        <v>45</v>
      </c>
      <c r="D9" t="s">
        <v>63</v>
      </c>
      <c r="E9" t="s">
        <v>52</v>
      </c>
      <c r="F9" t="s">
        <v>18</v>
      </c>
      <c r="G9" t="s">
        <v>28</v>
      </c>
      <c r="H9" t="s">
        <v>64</v>
      </c>
      <c r="I9">
        <v>3536</v>
      </c>
      <c r="J9">
        <v>8</v>
      </c>
      <c r="K9">
        <v>3.5</v>
      </c>
      <c r="L9">
        <v>7</v>
      </c>
      <c r="M9" t="s">
        <v>65</v>
      </c>
    </row>
    <row r="10" spans="1:13">
      <c r="A10" t="s">
        <v>66</v>
      </c>
      <c r="B10" t="s">
        <v>67</v>
      </c>
      <c r="C10" t="s">
        <v>68</v>
      </c>
      <c r="D10" t="s">
        <v>69</v>
      </c>
      <c r="E10" t="s">
        <v>26</v>
      </c>
      <c r="F10" t="s">
        <v>53</v>
      </c>
      <c r="G10" t="s">
        <v>28</v>
      </c>
      <c r="H10" t="s">
        <v>20</v>
      </c>
      <c r="I10">
        <v>25855</v>
      </c>
      <c r="J10">
        <v>5</v>
      </c>
      <c r="K10">
        <v>4.5999999999999996</v>
      </c>
      <c r="L10">
        <v>6</v>
      </c>
      <c r="M10" t="s">
        <v>65</v>
      </c>
    </row>
    <row r="11" spans="1:13">
      <c r="A11" t="s">
        <v>70</v>
      </c>
      <c r="B11" t="s">
        <v>71</v>
      </c>
      <c r="C11" t="s">
        <v>72</v>
      </c>
      <c r="D11" t="s">
        <v>41</v>
      </c>
      <c r="E11" t="s">
        <v>42</v>
      </c>
      <c r="F11" t="s">
        <v>53</v>
      </c>
      <c r="G11" t="s">
        <v>19</v>
      </c>
      <c r="H11" t="s">
        <v>36</v>
      </c>
      <c r="I11">
        <v>9432</v>
      </c>
      <c r="J11">
        <v>3</v>
      </c>
      <c r="K11">
        <v>4.0999999999999996</v>
      </c>
      <c r="L11">
        <v>4</v>
      </c>
      <c r="M11" t="s">
        <v>21</v>
      </c>
    </row>
    <row r="12" spans="1:13">
      <c r="A12" t="s">
        <v>73</v>
      </c>
      <c r="B12" t="s">
        <v>74</v>
      </c>
      <c r="C12" t="s">
        <v>75</v>
      </c>
      <c r="D12" t="s">
        <v>59</v>
      </c>
      <c r="E12" t="s">
        <v>26</v>
      </c>
      <c r="F12" t="s">
        <v>27</v>
      </c>
      <c r="G12" t="s">
        <v>28</v>
      </c>
      <c r="H12" t="s">
        <v>36</v>
      </c>
      <c r="I12">
        <v>1749</v>
      </c>
      <c r="J12">
        <v>1</v>
      </c>
      <c r="K12">
        <v>3.6</v>
      </c>
      <c r="L12">
        <v>2</v>
      </c>
      <c r="M12" t="s">
        <v>65</v>
      </c>
    </row>
    <row r="13" spans="1:13">
      <c r="A13" t="s">
        <v>76</v>
      </c>
      <c r="B13" t="s">
        <v>77</v>
      </c>
      <c r="C13" t="s">
        <v>78</v>
      </c>
      <c r="D13" t="s">
        <v>79</v>
      </c>
      <c r="E13" t="s">
        <v>26</v>
      </c>
      <c r="F13" t="s">
        <v>27</v>
      </c>
      <c r="G13" t="s">
        <v>19</v>
      </c>
      <c r="H13" t="s">
        <v>29</v>
      </c>
      <c r="I13">
        <v>85904</v>
      </c>
      <c r="J13">
        <v>8</v>
      </c>
      <c r="K13">
        <v>4</v>
      </c>
      <c r="L13">
        <v>4</v>
      </c>
      <c r="M13" t="s">
        <v>80</v>
      </c>
    </row>
    <row r="14" spans="1:13">
      <c r="A14" t="s">
        <v>81</v>
      </c>
      <c r="B14" t="s">
        <v>82</v>
      </c>
      <c r="C14" t="s">
        <v>58</v>
      </c>
      <c r="D14" t="s">
        <v>46</v>
      </c>
      <c r="E14" t="s">
        <v>42</v>
      </c>
      <c r="F14" t="s">
        <v>83</v>
      </c>
      <c r="G14" t="s">
        <v>54</v>
      </c>
      <c r="H14" t="s">
        <v>36</v>
      </c>
      <c r="I14">
        <v>9792</v>
      </c>
      <c r="J14">
        <v>8</v>
      </c>
      <c r="K14">
        <v>3.2</v>
      </c>
      <c r="L14">
        <v>4</v>
      </c>
      <c r="M14" t="s">
        <v>47</v>
      </c>
    </row>
    <row r="15" spans="1:13">
      <c r="A15" t="s">
        <v>84</v>
      </c>
      <c r="B15" t="s">
        <v>85</v>
      </c>
      <c r="C15" t="s">
        <v>78</v>
      </c>
      <c r="D15" t="s">
        <v>86</v>
      </c>
      <c r="E15" t="s">
        <v>17</v>
      </c>
      <c r="F15" t="s">
        <v>83</v>
      </c>
      <c r="G15" t="s">
        <v>28</v>
      </c>
      <c r="H15" t="s">
        <v>20</v>
      </c>
      <c r="I15">
        <v>976</v>
      </c>
      <c r="J15">
        <v>1</v>
      </c>
      <c r="K15">
        <v>4.4000000000000004</v>
      </c>
      <c r="L15">
        <v>4</v>
      </c>
      <c r="M15" t="s">
        <v>87</v>
      </c>
    </row>
    <row r="16" spans="1:13">
      <c r="A16" t="s">
        <v>88</v>
      </c>
      <c r="B16" t="s">
        <v>89</v>
      </c>
      <c r="C16" t="s">
        <v>68</v>
      </c>
      <c r="D16" t="s">
        <v>90</v>
      </c>
      <c r="E16" t="s">
        <v>42</v>
      </c>
      <c r="F16" t="s">
        <v>18</v>
      </c>
      <c r="G16" t="s">
        <v>28</v>
      </c>
      <c r="H16" t="s">
        <v>29</v>
      </c>
      <c r="I16">
        <v>8338</v>
      </c>
      <c r="J16">
        <v>2</v>
      </c>
      <c r="K16">
        <v>4</v>
      </c>
      <c r="L16">
        <v>1</v>
      </c>
      <c r="M16" t="s">
        <v>37</v>
      </c>
    </row>
    <row r="17" spans="1:13">
      <c r="A17" t="s">
        <v>91</v>
      </c>
      <c r="B17" t="s">
        <v>92</v>
      </c>
      <c r="C17" t="s">
        <v>75</v>
      </c>
      <c r="D17" t="s">
        <v>86</v>
      </c>
      <c r="E17" t="s">
        <v>17</v>
      </c>
      <c r="F17" t="s">
        <v>60</v>
      </c>
      <c r="G17" t="s">
        <v>54</v>
      </c>
      <c r="H17" t="s">
        <v>36</v>
      </c>
      <c r="I17">
        <v>5592</v>
      </c>
      <c r="J17">
        <v>4</v>
      </c>
      <c r="K17">
        <v>3.7</v>
      </c>
      <c r="L17">
        <v>4</v>
      </c>
      <c r="M17" t="s">
        <v>37</v>
      </c>
    </row>
    <row r="18" spans="1:13">
      <c r="A18" t="s">
        <v>93</v>
      </c>
      <c r="B18" t="s">
        <v>94</v>
      </c>
      <c r="C18" t="s">
        <v>24</v>
      </c>
      <c r="D18" t="s">
        <v>25</v>
      </c>
      <c r="E18" t="s">
        <v>26</v>
      </c>
      <c r="F18" t="s">
        <v>60</v>
      </c>
      <c r="G18" t="s">
        <v>54</v>
      </c>
      <c r="H18" t="s">
        <v>64</v>
      </c>
      <c r="I18">
        <v>17208</v>
      </c>
      <c r="J18">
        <v>4</v>
      </c>
      <c r="K18">
        <v>4.8</v>
      </c>
      <c r="L18">
        <v>1</v>
      </c>
      <c r="M18" t="s">
        <v>87</v>
      </c>
    </row>
    <row r="19" spans="1:13">
      <c r="A19" t="s">
        <v>95</v>
      </c>
      <c r="B19" t="s">
        <v>96</v>
      </c>
      <c r="C19" t="s">
        <v>58</v>
      </c>
      <c r="D19" t="s">
        <v>97</v>
      </c>
      <c r="E19" t="s">
        <v>35</v>
      </c>
      <c r="F19" t="s">
        <v>27</v>
      </c>
      <c r="G19" t="s">
        <v>54</v>
      </c>
      <c r="H19" t="s">
        <v>29</v>
      </c>
      <c r="I19">
        <v>159523</v>
      </c>
      <c r="J19">
        <v>7</v>
      </c>
      <c r="K19">
        <v>3.6</v>
      </c>
      <c r="L19">
        <v>1</v>
      </c>
      <c r="M19" t="s">
        <v>21</v>
      </c>
    </row>
    <row r="20" spans="1:13">
      <c r="A20" t="s">
        <v>98</v>
      </c>
      <c r="B20" t="s">
        <v>99</v>
      </c>
      <c r="C20" t="s">
        <v>75</v>
      </c>
      <c r="D20" t="s">
        <v>16</v>
      </c>
      <c r="E20" t="s">
        <v>17</v>
      </c>
      <c r="F20" t="s">
        <v>100</v>
      </c>
      <c r="G20" t="s">
        <v>54</v>
      </c>
      <c r="H20" t="s">
        <v>20</v>
      </c>
      <c r="I20">
        <v>10632</v>
      </c>
      <c r="J20">
        <v>8</v>
      </c>
      <c r="K20">
        <v>3.3</v>
      </c>
      <c r="L20">
        <v>3</v>
      </c>
      <c r="M20" t="s">
        <v>30</v>
      </c>
    </row>
    <row r="21" spans="1:13">
      <c r="A21" t="s">
        <v>101</v>
      </c>
      <c r="B21" t="s">
        <v>102</v>
      </c>
      <c r="C21" t="s">
        <v>103</v>
      </c>
      <c r="D21" t="s">
        <v>41</v>
      </c>
      <c r="E21" t="s">
        <v>42</v>
      </c>
      <c r="F21" t="s">
        <v>100</v>
      </c>
      <c r="G21" t="s">
        <v>104</v>
      </c>
      <c r="H21" t="s">
        <v>20</v>
      </c>
      <c r="I21">
        <v>5484</v>
      </c>
      <c r="J21">
        <v>4</v>
      </c>
      <c r="K21">
        <v>4.4000000000000004</v>
      </c>
      <c r="L21">
        <v>6</v>
      </c>
      <c r="M21" t="s">
        <v>30</v>
      </c>
    </row>
    <row r="22" spans="1:13">
      <c r="A22" t="s">
        <v>105</v>
      </c>
      <c r="B22" t="s">
        <v>106</v>
      </c>
      <c r="C22" t="s">
        <v>75</v>
      </c>
      <c r="D22" t="s">
        <v>97</v>
      </c>
      <c r="E22" t="s">
        <v>35</v>
      </c>
      <c r="F22" t="s">
        <v>100</v>
      </c>
      <c r="G22" t="s">
        <v>19</v>
      </c>
      <c r="H22" t="s">
        <v>29</v>
      </c>
      <c r="I22">
        <v>60040</v>
      </c>
      <c r="J22">
        <v>5</v>
      </c>
      <c r="K22">
        <v>4.3</v>
      </c>
      <c r="L22">
        <v>2</v>
      </c>
      <c r="M22" t="s">
        <v>80</v>
      </c>
    </row>
    <row r="23" spans="1:13">
      <c r="A23" t="s">
        <v>107</v>
      </c>
      <c r="B23" t="s">
        <v>108</v>
      </c>
      <c r="C23" t="s">
        <v>78</v>
      </c>
      <c r="D23" t="s">
        <v>109</v>
      </c>
      <c r="E23" t="s">
        <v>52</v>
      </c>
      <c r="F23" t="s">
        <v>53</v>
      </c>
      <c r="G23" t="s">
        <v>54</v>
      </c>
      <c r="H23" t="s">
        <v>20</v>
      </c>
      <c r="I23">
        <v>5668</v>
      </c>
      <c r="J23">
        <v>4</v>
      </c>
      <c r="K23">
        <v>4.5</v>
      </c>
      <c r="L23">
        <v>1</v>
      </c>
      <c r="M23" t="s">
        <v>87</v>
      </c>
    </row>
    <row r="24" spans="1:13">
      <c r="A24" t="s">
        <v>110</v>
      </c>
      <c r="B24" t="s">
        <v>111</v>
      </c>
      <c r="C24" t="s">
        <v>112</v>
      </c>
      <c r="D24" t="s">
        <v>113</v>
      </c>
      <c r="E24" t="s">
        <v>35</v>
      </c>
      <c r="F24" t="s">
        <v>60</v>
      </c>
      <c r="G24" t="s">
        <v>104</v>
      </c>
      <c r="H24" t="s">
        <v>36</v>
      </c>
      <c r="I24">
        <v>245328</v>
      </c>
      <c r="J24">
        <v>3</v>
      </c>
      <c r="K24">
        <v>3.6</v>
      </c>
      <c r="L24">
        <v>5</v>
      </c>
      <c r="M24" t="s">
        <v>87</v>
      </c>
    </row>
    <row r="25" spans="1:13">
      <c r="A25" t="s">
        <v>114</v>
      </c>
      <c r="B25" t="s">
        <v>115</v>
      </c>
      <c r="C25" t="s">
        <v>78</v>
      </c>
      <c r="D25" t="s">
        <v>116</v>
      </c>
      <c r="E25" t="s">
        <v>17</v>
      </c>
      <c r="F25" t="s">
        <v>27</v>
      </c>
      <c r="G25" t="s">
        <v>28</v>
      </c>
      <c r="H25" t="s">
        <v>36</v>
      </c>
      <c r="I25">
        <v>307</v>
      </c>
      <c r="J25">
        <v>1</v>
      </c>
      <c r="K25">
        <v>3.5</v>
      </c>
      <c r="L25">
        <v>8</v>
      </c>
      <c r="M25" t="s">
        <v>21</v>
      </c>
    </row>
    <row r="26" spans="1:13">
      <c r="A26" t="s">
        <v>117</v>
      </c>
      <c r="B26" t="s">
        <v>118</v>
      </c>
      <c r="C26" t="s">
        <v>33</v>
      </c>
      <c r="D26" t="s">
        <v>16</v>
      </c>
      <c r="E26" t="s">
        <v>17</v>
      </c>
      <c r="F26" t="s">
        <v>53</v>
      </c>
      <c r="G26" t="s">
        <v>104</v>
      </c>
      <c r="H26" t="s">
        <v>36</v>
      </c>
      <c r="I26">
        <v>4251</v>
      </c>
      <c r="J26">
        <v>3</v>
      </c>
      <c r="K26">
        <v>3.5</v>
      </c>
      <c r="L26">
        <v>3</v>
      </c>
      <c r="M26" t="s">
        <v>119</v>
      </c>
    </row>
    <row r="27" spans="1:13">
      <c r="A27" t="s">
        <v>120</v>
      </c>
      <c r="B27" t="s">
        <v>121</v>
      </c>
      <c r="C27" t="s">
        <v>122</v>
      </c>
      <c r="D27" t="s">
        <v>34</v>
      </c>
      <c r="E27" t="s">
        <v>35</v>
      </c>
      <c r="F27" t="s">
        <v>83</v>
      </c>
      <c r="G27" t="s">
        <v>19</v>
      </c>
      <c r="H27" t="s">
        <v>64</v>
      </c>
      <c r="I27">
        <v>195428</v>
      </c>
      <c r="J27">
        <v>4</v>
      </c>
      <c r="K27">
        <v>5</v>
      </c>
      <c r="L27">
        <v>3</v>
      </c>
      <c r="M27" t="s">
        <v>119</v>
      </c>
    </row>
    <row r="28" spans="1:13">
      <c r="A28" t="s">
        <v>123</v>
      </c>
      <c r="B28" t="s">
        <v>124</v>
      </c>
      <c r="C28" t="s">
        <v>125</v>
      </c>
      <c r="D28" t="s">
        <v>86</v>
      </c>
      <c r="E28" t="s">
        <v>17</v>
      </c>
      <c r="F28" t="s">
        <v>83</v>
      </c>
      <c r="G28" t="s">
        <v>19</v>
      </c>
      <c r="H28" t="s">
        <v>64</v>
      </c>
      <c r="I28">
        <v>11697</v>
      </c>
      <c r="J28">
        <v>7</v>
      </c>
      <c r="K28">
        <v>3.9</v>
      </c>
      <c r="L28">
        <v>1</v>
      </c>
      <c r="M28" t="s">
        <v>126</v>
      </c>
    </row>
    <row r="29" spans="1:13">
      <c r="A29" t="s">
        <v>127</v>
      </c>
      <c r="B29" t="s">
        <v>128</v>
      </c>
      <c r="C29" t="s">
        <v>129</v>
      </c>
      <c r="D29" t="s">
        <v>130</v>
      </c>
      <c r="E29" t="s">
        <v>35</v>
      </c>
      <c r="F29" t="s">
        <v>27</v>
      </c>
      <c r="G29" t="s">
        <v>28</v>
      </c>
      <c r="H29" t="s">
        <v>29</v>
      </c>
      <c r="I29">
        <v>218908</v>
      </c>
      <c r="J29">
        <v>4</v>
      </c>
      <c r="K29">
        <v>4.8</v>
      </c>
      <c r="L29">
        <v>5</v>
      </c>
      <c r="M29" t="s">
        <v>37</v>
      </c>
    </row>
    <row r="30" spans="1:13">
      <c r="A30" t="s">
        <v>131</v>
      </c>
      <c r="B30" t="s">
        <v>132</v>
      </c>
      <c r="C30" t="s">
        <v>133</v>
      </c>
      <c r="D30" t="s">
        <v>16</v>
      </c>
      <c r="E30" t="s">
        <v>17</v>
      </c>
      <c r="F30" t="s">
        <v>100</v>
      </c>
      <c r="G30" t="s">
        <v>54</v>
      </c>
      <c r="H30" t="s">
        <v>64</v>
      </c>
      <c r="I30">
        <v>4467</v>
      </c>
      <c r="J30">
        <v>3</v>
      </c>
      <c r="K30">
        <v>4</v>
      </c>
      <c r="L30">
        <v>6</v>
      </c>
      <c r="M30" t="s">
        <v>21</v>
      </c>
    </row>
    <row r="31" spans="1:13">
      <c r="A31" t="s">
        <v>134</v>
      </c>
      <c r="B31" t="s">
        <v>135</v>
      </c>
      <c r="C31" t="s">
        <v>129</v>
      </c>
      <c r="D31" t="s">
        <v>79</v>
      </c>
      <c r="E31" t="s">
        <v>26</v>
      </c>
      <c r="F31" t="s">
        <v>60</v>
      </c>
      <c r="G31" t="s">
        <v>54</v>
      </c>
      <c r="H31" t="s">
        <v>29</v>
      </c>
      <c r="I31">
        <v>9621</v>
      </c>
      <c r="J31">
        <v>1</v>
      </c>
      <c r="K31">
        <v>4.4000000000000004</v>
      </c>
      <c r="L31">
        <v>4</v>
      </c>
      <c r="M31" t="s">
        <v>21</v>
      </c>
    </row>
    <row r="32" spans="1:13">
      <c r="A32" t="s">
        <v>136</v>
      </c>
      <c r="B32" t="s">
        <v>137</v>
      </c>
      <c r="C32" t="s">
        <v>40</v>
      </c>
      <c r="D32" t="s">
        <v>59</v>
      </c>
      <c r="E32" t="s">
        <v>26</v>
      </c>
      <c r="F32" t="s">
        <v>100</v>
      </c>
      <c r="G32" t="s">
        <v>19</v>
      </c>
      <c r="H32" t="s">
        <v>20</v>
      </c>
      <c r="I32">
        <v>23452</v>
      </c>
      <c r="J32">
        <v>2</v>
      </c>
      <c r="K32">
        <v>3.9</v>
      </c>
      <c r="L32">
        <v>7</v>
      </c>
      <c r="M32" t="s">
        <v>119</v>
      </c>
    </row>
    <row r="33" spans="1:13">
      <c r="A33" t="s">
        <v>138</v>
      </c>
      <c r="B33" t="s">
        <v>139</v>
      </c>
      <c r="C33" t="s">
        <v>133</v>
      </c>
      <c r="D33" t="s">
        <v>90</v>
      </c>
      <c r="E33" t="s">
        <v>42</v>
      </c>
      <c r="F33" t="s">
        <v>100</v>
      </c>
      <c r="G33" t="s">
        <v>104</v>
      </c>
      <c r="H33" t="s">
        <v>64</v>
      </c>
      <c r="I33">
        <v>15564</v>
      </c>
      <c r="J33">
        <v>3</v>
      </c>
      <c r="K33">
        <v>3.7</v>
      </c>
      <c r="L33">
        <v>4</v>
      </c>
      <c r="M33" t="s">
        <v>119</v>
      </c>
    </row>
    <row r="34" spans="1:13">
      <c r="A34" t="s">
        <v>140</v>
      </c>
      <c r="B34" t="s">
        <v>141</v>
      </c>
      <c r="C34" t="s">
        <v>75</v>
      </c>
      <c r="D34" t="s">
        <v>90</v>
      </c>
      <c r="E34" t="s">
        <v>42</v>
      </c>
      <c r="F34" t="s">
        <v>83</v>
      </c>
      <c r="G34" t="s">
        <v>104</v>
      </c>
      <c r="H34" t="s">
        <v>20</v>
      </c>
      <c r="I34">
        <v>5576</v>
      </c>
      <c r="J34">
        <v>4</v>
      </c>
      <c r="K34">
        <v>4.0999999999999996</v>
      </c>
      <c r="L34">
        <v>6</v>
      </c>
      <c r="M34" t="s">
        <v>119</v>
      </c>
    </row>
    <row r="35" spans="1:13">
      <c r="A35" t="s">
        <v>142</v>
      </c>
      <c r="B35" t="s">
        <v>143</v>
      </c>
      <c r="C35" t="s">
        <v>50</v>
      </c>
      <c r="D35" t="s">
        <v>63</v>
      </c>
      <c r="E35" t="s">
        <v>52</v>
      </c>
      <c r="F35" t="s">
        <v>60</v>
      </c>
      <c r="G35" t="s">
        <v>28</v>
      </c>
      <c r="H35" t="s">
        <v>20</v>
      </c>
      <c r="I35">
        <v>2196</v>
      </c>
      <c r="J35">
        <v>1</v>
      </c>
      <c r="K35">
        <v>3.9</v>
      </c>
      <c r="L35">
        <v>4</v>
      </c>
      <c r="M35" t="s">
        <v>144</v>
      </c>
    </row>
    <row r="36" spans="1:13">
      <c r="A36" t="s">
        <v>145</v>
      </c>
      <c r="B36" t="s">
        <v>111</v>
      </c>
      <c r="C36" t="s">
        <v>146</v>
      </c>
      <c r="D36" t="s">
        <v>147</v>
      </c>
      <c r="E36" t="s">
        <v>52</v>
      </c>
      <c r="F36" t="s">
        <v>83</v>
      </c>
      <c r="G36" t="s">
        <v>28</v>
      </c>
      <c r="H36" t="s">
        <v>29</v>
      </c>
      <c r="I36">
        <v>6790</v>
      </c>
      <c r="J36">
        <v>7</v>
      </c>
      <c r="K36">
        <v>4.2</v>
      </c>
      <c r="L36">
        <v>2</v>
      </c>
      <c r="M36" t="s">
        <v>87</v>
      </c>
    </row>
    <row r="37" spans="1:13">
      <c r="A37" t="s">
        <v>148</v>
      </c>
      <c r="B37" t="s">
        <v>149</v>
      </c>
      <c r="C37" t="s">
        <v>112</v>
      </c>
      <c r="D37" t="s">
        <v>90</v>
      </c>
      <c r="E37" t="s">
        <v>42</v>
      </c>
      <c r="F37" t="s">
        <v>60</v>
      </c>
      <c r="G37" t="s">
        <v>19</v>
      </c>
      <c r="H37" t="s">
        <v>29</v>
      </c>
      <c r="I37">
        <v>22584</v>
      </c>
      <c r="J37">
        <v>8</v>
      </c>
      <c r="K37">
        <v>4.7</v>
      </c>
      <c r="L37">
        <v>5</v>
      </c>
      <c r="M37" t="s">
        <v>30</v>
      </c>
    </row>
    <row r="38" spans="1:13">
      <c r="A38" t="s">
        <v>150</v>
      </c>
      <c r="B38" t="s">
        <v>96</v>
      </c>
      <c r="C38" t="s">
        <v>50</v>
      </c>
      <c r="D38" t="s">
        <v>41</v>
      </c>
      <c r="E38" t="s">
        <v>42</v>
      </c>
      <c r="F38" t="s">
        <v>27</v>
      </c>
      <c r="G38" t="s">
        <v>19</v>
      </c>
      <c r="H38" t="s">
        <v>20</v>
      </c>
      <c r="I38">
        <v>20496</v>
      </c>
      <c r="J38">
        <v>4</v>
      </c>
      <c r="K38">
        <v>3.4</v>
      </c>
      <c r="L38">
        <v>4</v>
      </c>
      <c r="M38" t="s">
        <v>21</v>
      </c>
    </row>
    <row r="39" spans="1:13">
      <c r="A39" t="s">
        <v>151</v>
      </c>
      <c r="B39" t="s">
        <v>152</v>
      </c>
      <c r="C39" t="s">
        <v>58</v>
      </c>
      <c r="D39" t="s">
        <v>116</v>
      </c>
      <c r="E39" t="s">
        <v>17</v>
      </c>
      <c r="F39" t="s">
        <v>27</v>
      </c>
      <c r="G39" t="s">
        <v>54</v>
      </c>
      <c r="H39" t="s">
        <v>64</v>
      </c>
      <c r="I39">
        <v>8466</v>
      </c>
      <c r="J39">
        <v>6</v>
      </c>
      <c r="K39">
        <v>4.7</v>
      </c>
      <c r="L39">
        <v>7</v>
      </c>
      <c r="M39" t="s">
        <v>55</v>
      </c>
    </row>
    <row r="40" spans="1:13">
      <c r="A40" t="s">
        <v>153</v>
      </c>
      <c r="B40" t="s">
        <v>154</v>
      </c>
      <c r="C40" t="s">
        <v>122</v>
      </c>
      <c r="D40" t="s">
        <v>41</v>
      </c>
      <c r="E40" t="s">
        <v>42</v>
      </c>
      <c r="F40" t="s">
        <v>53</v>
      </c>
      <c r="G40" t="s">
        <v>28</v>
      </c>
      <c r="H40" t="s">
        <v>64</v>
      </c>
      <c r="I40">
        <v>25865</v>
      </c>
      <c r="J40">
        <v>5</v>
      </c>
      <c r="K40">
        <v>4.8</v>
      </c>
      <c r="L40">
        <v>8</v>
      </c>
      <c r="M40" t="s">
        <v>126</v>
      </c>
    </row>
    <row r="41" spans="1:13">
      <c r="A41" t="s">
        <v>155</v>
      </c>
      <c r="B41" t="s">
        <v>156</v>
      </c>
      <c r="C41" t="s">
        <v>58</v>
      </c>
      <c r="D41" t="s">
        <v>116</v>
      </c>
      <c r="E41" t="s">
        <v>17</v>
      </c>
      <c r="F41" t="s">
        <v>100</v>
      </c>
      <c r="G41" t="s">
        <v>54</v>
      </c>
      <c r="H41" t="s">
        <v>36</v>
      </c>
      <c r="I41">
        <v>12481</v>
      </c>
      <c r="J41">
        <v>7</v>
      </c>
      <c r="K41">
        <v>4.2</v>
      </c>
      <c r="L41">
        <v>7</v>
      </c>
      <c r="M41" t="s">
        <v>126</v>
      </c>
    </row>
    <row r="42" spans="1:13">
      <c r="A42" t="s">
        <v>157</v>
      </c>
      <c r="B42" t="s">
        <v>158</v>
      </c>
      <c r="C42" t="s">
        <v>50</v>
      </c>
      <c r="D42" t="s">
        <v>159</v>
      </c>
      <c r="E42" t="s">
        <v>42</v>
      </c>
      <c r="F42" t="s">
        <v>53</v>
      </c>
      <c r="G42" t="s">
        <v>28</v>
      </c>
      <c r="H42" t="s">
        <v>29</v>
      </c>
      <c r="I42">
        <v>10143</v>
      </c>
      <c r="J42">
        <v>3</v>
      </c>
      <c r="K42">
        <v>4</v>
      </c>
      <c r="L42">
        <v>6</v>
      </c>
      <c r="M42" t="s">
        <v>47</v>
      </c>
    </row>
    <row r="43" spans="1:13">
      <c r="A43" t="s">
        <v>160</v>
      </c>
      <c r="B43" t="s">
        <v>161</v>
      </c>
      <c r="C43" t="s">
        <v>15</v>
      </c>
      <c r="D43" t="s">
        <v>116</v>
      </c>
      <c r="E43" t="s">
        <v>17</v>
      </c>
      <c r="F43" t="s">
        <v>100</v>
      </c>
      <c r="G43" t="s">
        <v>19</v>
      </c>
      <c r="H43" t="s">
        <v>20</v>
      </c>
      <c r="I43">
        <v>1016</v>
      </c>
      <c r="J43">
        <v>1</v>
      </c>
      <c r="K43">
        <v>4.9000000000000004</v>
      </c>
      <c r="L43">
        <v>4</v>
      </c>
      <c r="M43" t="s">
        <v>144</v>
      </c>
    </row>
    <row r="44" spans="1:13">
      <c r="A44" t="s">
        <v>162</v>
      </c>
      <c r="B44" t="s">
        <v>163</v>
      </c>
      <c r="C44" t="s">
        <v>24</v>
      </c>
      <c r="D44" t="s">
        <v>51</v>
      </c>
      <c r="E44" t="s">
        <v>52</v>
      </c>
      <c r="F44" t="s">
        <v>53</v>
      </c>
      <c r="G44" t="s">
        <v>54</v>
      </c>
      <c r="H44" t="s">
        <v>36</v>
      </c>
      <c r="I44">
        <v>2284</v>
      </c>
      <c r="J44">
        <v>2</v>
      </c>
      <c r="K44">
        <v>3.5</v>
      </c>
      <c r="L44">
        <v>2</v>
      </c>
      <c r="M44" t="s">
        <v>119</v>
      </c>
    </row>
    <row r="45" spans="1:13">
      <c r="A45" t="s">
        <v>164</v>
      </c>
      <c r="B45" t="s">
        <v>139</v>
      </c>
      <c r="C45" t="s">
        <v>45</v>
      </c>
      <c r="D45" t="s">
        <v>165</v>
      </c>
      <c r="E45" t="s">
        <v>35</v>
      </c>
      <c r="F45" t="s">
        <v>18</v>
      </c>
      <c r="G45" t="s">
        <v>54</v>
      </c>
      <c r="H45" t="s">
        <v>29</v>
      </c>
      <c r="I45">
        <v>87227</v>
      </c>
      <c r="J45">
        <v>7</v>
      </c>
      <c r="K45">
        <v>3.6</v>
      </c>
      <c r="L45">
        <v>5</v>
      </c>
      <c r="M45" t="s">
        <v>119</v>
      </c>
    </row>
    <row r="46" spans="1:13">
      <c r="A46" t="s">
        <v>166</v>
      </c>
      <c r="B46" t="s">
        <v>167</v>
      </c>
      <c r="C46" t="s">
        <v>133</v>
      </c>
      <c r="D46" t="s">
        <v>69</v>
      </c>
      <c r="E46" t="s">
        <v>26</v>
      </c>
      <c r="F46" t="s">
        <v>53</v>
      </c>
      <c r="G46" t="s">
        <v>28</v>
      </c>
      <c r="H46" t="s">
        <v>20</v>
      </c>
      <c r="I46">
        <v>46092</v>
      </c>
      <c r="J46">
        <v>6</v>
      </c>
      <c r="K46">
        <v>4.7</v>
      </c>
      <c r="L46">
        <v>2</v>
      </c>
      <c r="M46" t="s">
        <v>119</v>
      </c>
    </row>
    <row r="47" spans="1:13">
      <c r="A47" t="s">
        <v>168</v>
      </c>
      <c r="B47" t="s">
        <v>169</v>
      </c>
      <c r="C47" t="s">
        <v>170</v>
      </c>
      <c r="D47" t="s">
        <v>159</v>
      </c>
      <c r="E47" t="s">
        <v>42</v>
      </c>
      <c r="F47" t="s">
        <v>83</v>
      </c>
      <c r="G47" t="s">
        <v>54</v>
      </c>
      <c r="H47" t="s">
        <v>29</v>
      </c>
      <c r="I47">
        <v>22540</v>
      </c>
      <c r="J47">
        <v>5</v>
      </c>
      <c r="K47">
        <v>4.7</v>
      </c>
      <c r="L47">
        <v>5</v>
      </c>
      <c r="M47" t="s">
        <v>65</v>
      </c>
    </row>
    <row r="48" spans="1:13">
      <c r="A48" t="s">
        <v>171</v>
      </c>
      <c r="B48" t="s">
        <v>172</v>
      </c>
      <c r="C48" t="s">
        <v>103</v>
      </c>
      <c r="D48" t="s">
        <v>159</v>
      </c>
      <c r="E48" t="s">
        <v>42</v>
      </c>
      <c r="F48" t="s">
        <v>53</v>
      </c>
      <c r="G48" t="s">
        <v>104</v>
      </c>
      <c r="H48" t="s">
        <v>29</v>
      </c>
      <c r="I48">
        <v>23534</v>
      </c>
      <c r="J48">
        <v>7</v>
      </c>
      <c r="K48">
        <v>4.0999999999999996</v>
      </c>
      <c r="L48">
        <v>6</v>
      </c>
      <c r="M48" t="s">
        <v>47</v>
      </c>
    </row>
    <row r="49" spans="1:13">
      <c r="A49" t="s">
        <v>173</v>
      </c>
      <c r="B49" t="s">
        <v>174</v>
      </c>
      <c r="C49" t="s">
        <v>125</v>
      </c>
      <c r="D49" t="s">
        <v>25</v>
      </c>
      <c r="E49" t="s">
        <v>26</v>
      </c>
      <c r="F49" t="s">
        <v>60</v>
      </c>
      <c r="G49" t="s">
        <v>54</v>
      </c>
      <c r="H49" t="s">
        <v>36</v>
      </c>
      <c r="I49">
        <v>39584</v>
      </c>
      <c r="J49">
        <v>4</v>
      </c>
      <c r="K49">
        <v>4.5999999999999996</v>
      </c>
      <c r="L49">
        <v>8</v>
      </c>
      <c r="M49" t="s">
        <v>65</v>
      </c>
    </row>
    <row r="50" spans="1:13">
      <c r="A50" t="s">
        <v>175</v>
      </c>
      <c r="B50" t="s">
        <v>176</v>
      </c>
      <c r="C50" t="s">
        <v>129</v>
      </c>
      <c r="D50" t="s">
        <v>34</v>
      </c>
      <c r="E50" t="s">
        <v>35</v>
      </c>
      <c r="F50" t="s">
        <v>27</v>
      </c>
      <c r="G50" t="s">
        <v>28</v>
      </c>
      <c r="H50" t="s">
        <v>29</v>
      </c>
      <c r="I50">
        <v>258124</v>
      </c>
      <c r="J50">
        <v>4</v>
      </c>
      <c r="K50">
        <v>3.8</v>
      </c>
      <c r="L50">
        <v>6</v>
      </c>
      <c r="M50" t="s">
        <v>55</v>
      </c>
    </row>
    <row r="51" spans="1:13">
      <c r="A51" t="s">
        <v>177</v>
      </c>
      <c r="B51" t="s">
        <v>178</v>
      </c>
      <c r="C51" t="s">
        <v>179</v>
      </c>
      <c r="D51" t="s">
        <v>130</v>
      </c>
      <c r="E51" t="s">
        <v>35</v>
      </c>
      <c r="F51" t="s">
        <v>83</v>
      </c>
      <c r="G51" t="s">
        <v>28</v>
      </c>
      <c r="H51" t="s">
        <v>29</v>
      </c>
      <c r="I51">
        <v>87718</v>
      </c>
      <c r="J51">
        <v>2</v>
      </c>
      <c r="K51">
        <v>4.9000000000000004</v>
      </c>
      <c r="L51">
        <v>3</v>
      </c>
      <c r="M51" t="s">
        <v>37</v>
      </c>
    </row>
    <row r="52" spans="1:13">
      <c r="A52" t="s">
        <v>180</v>
      </c>
      <c r="B52" t="s">
        <v>181</v>
      </c>
      <c r="C52" t="s">
        <v>103</v>
      </c>
      <c r="D52" t="s">
        <v>59</v>
      </c>
      <c r="E52" t="s">
        <v>26</v>
      </c>
      <c r="F52" t="s">
        <v>18</v>
      </c>
      <c r="G52" t="s">
        <v>54</v>
      </c>
      <c r="H52" t="s">
        <v>29</v>
      </c>
      <c r="I52">
        <v>23008</v>
      </c>
      <c r="J52">
        <v>4</v>
      </c>
      <c r="K52">
        <v>3.2</v>
      </c>
      <c r="L52">
        <v>3</v>
      </c>
      <c r="M52" t="s">
        <v>87</v>
      </c>
    </row>
    <row r="53" spans="1:13">
      <c r="A53" t="s">
        <v>182</v>
      </c>
      <c r="B53" t="s">
        <v>183</v>
      </c>
      <c r="C53" t="s">
        <v>103</v>
      </c>
      <c r="D53" t="s">
        <v>51</v>
      </c>
      <c r="E53" t="s">
        <v>52</v>
      </c>
      <c r="F53" t="s">
        <v>60</v>
      </c>
      <c r="G53" t="s">
        <v>54</v>
      </c>
      <c r="H53" t="s">
        <v>36</v>
      </c>
      <c r="I53">
        <v>1414</v>
      </c>
      <c r="J53">
        <v>1</v>
      </c>
      <c r="K53">
        <v>3.8</v>
      </c>
      <c r="L53">
        <v>1</v>
      </c>
      <c r="M53" t="s">
        <v>87</v>
      </c>
    </row>
    <row r="54" spans="1:13">
      <c r="A54" t="s">
        <v>184</v>
      </c>
      <c r="B54" t="s">
        <v>185</v>
      </c>
      <c r="C54" t="s">
        <v>78</v>
      </c>
      <c r="D54" t="s">
        <v>90</v>
      </c>
      <c r="E54" t="s">
        <v>42</v>
      </c>
      <c r="F54" t="s">
        <v>60</v>
      </c>
      <c r="G54" t="s">
        <v>19</v>
      </c>
      <c r="H54" t="s">
        <v>64</v>
      </c>
      <c r="I54">
        <v>3189</v>
      </c>
      <c r="J54">
        <v>1</v>
      </c>
      <c r="K54">
        <v>5</v>
      </c>
      <c r="L54">
        <v>2</v>
      </c>
      <c r="M54" t="s">
        <v>87</v>
      </c>
    </row>
    <row r="55" spans="1:13">
      <c r="A55" t="s">
        <v>186</v>
      </c>
      <c r="B55" t="s">
        <v>187</v>
      </c>
      <c r="C55" t="s">
        <v>75</v>
      </c>
      <c r="D55" t="s">
        <v>90</v>
      </c>
      <c r="E55" t="s">
        <v>42</v>
      </c>
      <c r="F55" t="s">
        <v>83</v>
      </c>
      <c r="G55" t="s">
        <v>19</v>
      </c>
      <c r="H55" t="s">
        <v>20</v>
      </c>
      <c r="I55">
        <v>10584</v>
      </c>
      <c r="J55">
        <v>7</v>
      </c>
      <c r="K55">
        <v>4.3</v>
      </c>
      <c r="L55">
        <v>5</v>
      </c>
      <c r="M55" t="s">
        <v>126</v>
      </c>
    </row>
    <row r="56" spans="1:13">
      <c r="A56" t="s">
        <v>188</v>
      </c>
      <c r="B56" t="s">
        <v>189</v>
      </c>
      <c r="C56" t="s">
        <v>40</v>
      </c>
      <c r="D56" t="s">
        <v>25</v>
      </c>
      <c r="E56" t="s">
        <v>26</v>
      </c>
      <c r="F56" t="s">
        <v>27</v>
      </c>
      <c r="G56" t="s">
        <v>28</v>
      </c>
      <c r="H56" t="s">
        <v>36</v>
      </c>
      <c r="I56">
        <v>5571</v>
      </c>
      <c r="J56">
        <v>1</v>
      </c>
      <c r="K56">
        <v>3.3</v>
      </c>
      <c r="L56">
        <v>5</v>
      </c>
      <c r="M56" t="s">
        <v>80</v>
      </c>
    </row>
    <row r="57" spans="1:13">
      <c r="A57" t="s">
        <v>190</v>
      </c>
      <c r="B57" t="s">
        <v>191</v>
      </c>
      <c r="C57" t="s">
        <v>72</v>
      </c>
      <c r="D57" t="s">
        <v>109</v>
      </c>
      <c r="E57" t="s">
        <v>52</v>
      </c>
      <c r="F57" t="s">
        <v>18</v>
      </c>
      <c r="G57" t="s">
        <v>54</v>
      </c>
      <c r="H57" t="s">
        <v>20</v>
      </c>
      <c r="I57">
        <v>2880</v>
      </c>
      <c r="J57">
        <v>4</v>
      </c>
      <c r="K57">
        <v>3.5</v>
      </c>
      <c r="L57">
        <v>5</v>
      </c>
      <c r="M57" t="s">
        <v>192</v>
      </c>
    </row>
    <row r="58" spans="1:13">
      <c r="A58" t="s">
        <v>193</v>
      </c>
      <c r="B58" t="s">
        <v>102</v>
      </c>
      <c r="C58" t="s">
        <v>146</v>
      </c>
      <c r="D58" t="s">
        <v>165</v>
      </c>
      <c r="E58" t="s">
        <v>35</v>
      </c>
      <c r="F58" t="s">
        <v>18</v>
      </c>
      <c r="G58" t="s">
        <v>54</v>
      </c>
      <c r="H58" t="s">
        <v>64</v>
      </c>
      <c r="I58">
        <v>319665</v>
      </c>
      <c r="J58">
        <v>5</v>
      </c>
      <c r="K58">
        <v>4.9000000000000004</v>
      </c>
      <c r="L58">
        <v>8</v>
      </c>
      <c r="M58" t="s">
        <v>30</v>
      </c>
    </row>
    <row r="59" spans="1:13">
      <c r="A59" t="s">
        <v>194</v>
      </c>
      <c r="B59" t="s">
        <v>195</v>
      </c>
      <c r="C59" t="s">
        <v>58</v>
      </c>
      <c r="D59" t="s">
        <v>165</v>
      </c>
      <c r="E59" t="s">
        <v>35</v>
      </c>
      <c r="F59" t="s">
        <v>18</v>
      </c>
      <c r="G59" t="s">
        <v>19</v>
      </c>
      <c r="H59" t="s">
        <v>64</v>
      </c>
      <c r="I59">
        <v>77892</v>
      </c>
      <c r="J59">
        <v>1</v>
      </c>
      <c r="K59">
        <v>5</v>
      </c>
      <c r="L59">
        <v>5</v>
      </c>
      <c r="M59" t="s">
        <v>21</v>
      </c>
    </row>
    <row r="60" spans="1:13">
      <c r="A60" t="s">
        <v>196</v>
      </c>
      <c r="B60" t="s">
        <v>197</v>
      </c>
      <c r="C60" t="s">
        <v>170</v>
      </c>
      <c r="D60" t="s">
        <v>69</v>
      </c>
      <c r="E60" t="s">
        <v>26</v>
      </c>
      <c r="F60" t="s">
        <v>27</v>
      </c>
      <c r="G60" t="s">
        <v>54</v>
      </c>
      <c r="H60" t="s">
        <v>20</v>
      </c>
      <c r="I60">
        <v>25500</v>
      </c>
      <c r="J60">
        <v>3</v>
      </c>
      <c r="K60">
        <v>3.8</v>
      </c>
      <c r="L60">
        <v>6</v>
      </c>
      <c r="M60" t="s">
        <v>21</v>
      </c>
    </row>
    <row r="61" spans="1:13">
      <c r="A61" t="s">
        <v>198</v>
      </c>
      <c r="B61" t="s">
        <v>199</v>
      </c>
      <c r="C61" t="s">
        <v>170</v>
      </c>
      <c r="D61" t="s">
        <v>97</v>
      </c>
      <c r="E61" t="s">
        <v>35</v>
      </c>
      <c r="F61" t="s">
        <v>18</v>
      </c>
      <c r="G61" t="s">
        <v>28</v>
      </c>
      <c r="H61" t="s">
        <v>36</v>
      </c>
      <c r="I61">
        <v>596816</v>
      </c>
      <c r="J61">
        <v>8</v>
      </c>
      <c r="K61">
        <v>3.4</v>
      </c>
      <c r="L61">
        <v>5</v>
      </c>
      <c r="M61" t="s">
        <v>119</v>
      </c>
    </row>
    <row r="62" spans="1:13">
      <c r="A62" t="s">
        <v>200</v>
      </c>
      <c r="B62" t="s">
        <v>201</v>
      </c>
      <c r="C62" t="s">
        <v>179</v>
      </c>
      <c r="D62" t="s">
        <v>69</v>
      </c>
      <c r="E62" t="s">
        <v>26</v>
      </c>
      <c r="F62" t="s">
        <v>53</v>
      </c>
      <c r="G62" t="s">
        <v>19</v>
      </c>
      <c r="H62" t="s">
        <v>29</v>
      </c>
      <c r="I62">
        <v>8967</v>
      </c>
      <c r="J62">
        <v>1</v>
      </c>
      <c r="K62">
        <v>4.3</v>
      </c>
      <c r="L62">
        <v>1</v>
      </c>
      <c r="M62" t="s">
        <v>55</v>
      </c>
    </row>
    <row r="63" spans="1:13">
      <c r="A63" t="s">
        <v>202</v>
      </c>
      <c r="B63" t="s">
        <v>203</v>
      </c>
      <c r="C63" t="s">
        <v>75</v>
      </c>
      <c r="D63" t="s">
        <v>90</v>
      </c>
      <c r="E63" t="s">
        <v>42</v>
      </c>
      <c r="F63" t="s">
        <v>83</v>
      </c>
      <c r="G63" t="s">
        <v>54</v>
      </c>
      <c r="H63" t="s">
        <v>64</v>
      </c>
      <c r="I63">
        <v>3245</v>
      </c>
      <c r="J63">
        <v>1</v>
      </c>
      <c r="K63">
        <v>3.2</v>
      </c>
      <c r="L63">
        <v>7</v>
      </c>
      <c r="M63" t="s">
        <v>80</v>
      </c>
    </row>
    <row r="64" spans="1:13">
      <c r="A64" t="s">
        <v>204</v>
      </c>
      <c r="B64" t="s">
        <v>205</v>
      </c>
      <c r="C64" t="s">
        <v>50</v>
      </c>
      <c r="D64" t="s">
        <v>86</v>
      </c>
      <c r="E64" t="s">
        <v>17</v>
      </c>
      <c r="F64" t="s">
        <v>83</v>
      </c>
      <c r="G64" t="s">
        <v>19</v>
      </c>
      <c r="H64" t="s">
        <v>36</v>
      </c>
      <c r="I64">
        <v>6710</v>
      </c>
      <c r="J64">
        <v>5</v>
      </c>
      <c r="K64">
        <v>3.6</v>
      </c>
      <c r="L64">
        <v>3</v>
      </c>
      <c r="M64" t="s">
        <v>65</v>
      </c>
    </row>
    <row r="65" spans="1:13">
      <c r="A65" t="s">
        <v>206</v>
      </c>
      <c r="B65" t="s">
        <v>207</v>
      </c>
      <c r="C65" t="s">
        <v>72</v>
      </c>
      <c r="D65" t="s">
        <v>97</v>
      </c>
      <c r="E65" t="s">
        <v>35</v>
      </c>
      <c r="F65" t="s">
        <v>60</v>
      </c>
      <c r="G65" t="s">
        <v>28</v>
      </c>
      <c r="H65" t="s">
        <v>29</v>
      </c>
      <c r="I65">
        <v>208160</v>
      </c>
      <c r="J65">
        <v>5</v>
      </c>
      <c r="K65">
        <v>5</v>
      </c>
      <c r="L65">
        <v>8</v>
      </c>
      <c r="M65" t="s">
        <v>126</v>
      </c>
    </row>
    <row r="66" spans="1:13">
      <c r="A66" t="s">
        <v>208</v>
      </c>
      <c r="B66" t="s">
        <v>209</v>
      </c>
      <c r="C66" t="s">
        <v>33</v>
      </c>
      <c r="D66" t="s">
        <v>165</v>
      </c>
      <c r="E66" t="s">
        <v>35</v>
      </c>
      <c r="F66" t="s">
        <v>53</v>
      </c>
      <c r="G66" t="s">
        <v>28</v>
      </c>
      <c r="H66" t="s">
        <v>64</v>
      </c>
      <c r="I66">
        <v>190589</v>
      </c>
      <c r="J66">
        <v>7</v>
      </c>
      <c r="K66">
        <v>3.9</v>
      </c>
      <c r="L66">
        <v>7</v>
      </c>
      <c r="M66" t="s">
        <v>30</v>
      </c>
    </row>
    <row r="67" spans="1:13">
      <c r="A67" t="s">
        <v>210</v>
      </c>
      <c r="B67" t="s">
        <v>211</v>
      </c>
      <c r="C67" t="s">
        <v>68</v>
      </c>
      <c r="D67" t="s">
        <v>159</v>
      </c>
      <c r="E67" t="s">
        <v>42</v>
      </c>
      <c r="F67" t="s">
        <v>100</v>
      </c>
      <c r="G67" t="s">
        <v>28</v>
      </c>
      <c r="H67" t="s">
        <v>36</v>
      </c>
      <c r="I67">
        <v>3419</v>
      </c>
      <c r="J67">
        <v>1</v>
      </c>
      <c r="K67">
        <v>4.8</v>
      </c>
      <c r="L67">
        <v>8</v>
      </c>
      <c r="M67" t="s">
        <v>65</v>
      </c>
    </row>
    <row r="68" spans="1:13">
      <c r="A68" t="s">
        <v>212</v>
      </c>
      <c r="B68" t="s">
        <v>213</v>
      </c>
      <c r="C68" t="s">
        <v>170</v>
      </c>
      <c r="D68" t="s">
        <v>51</v>
      </c>
      <c r="E68" t="s">
        <v>52</v>
      </c>
      <c r="F68" t="s">
        <v>27</v>
      </c>
      <c r="G68" t="s">
        <v>28</v>
      </c>
      <c r="H68" t="s">
        <v>29</v>
      </c>
      <c r="I68">
        <v>6519</v>
      </c>
      <c r="J68">
        <v>3</v>
      </c>
      <c r="K68">
        <v>4.4000000000000004</v>
      </c>
      <c r="L68">
        <v>2</v>
      </c>
      <c r="M68" t="s">
        <v>119</v>
      </c>
    </row>
    <row r="69" spans="1:13">
      <c r="A69" t="s">
        <v>214</v>
      </c>
      <c r="B69" t="s">
        <v>215</v>
      </c>
      <c r="C69" t="s">
        <v>146</v>
      </c>
      <c r="D69" t="s">
        <v>41</v>
      </c>
      <c r="E69" t="s">
        <v>42</v>
      </c>
      <c r="F69" t="s">
        <v>83</v>
      </c>
      <c r="G69" t="s">
        <v>104</v>
      </c>
      <c r="H69" t="s">
        <v>36</v>
      </c>
      <c r="I69">
        <v>2880</v>
      </c>
      <c r="J69">
        <v>2</v>
      </c>
      <c r="K69">
        <v>5</v>
      </c>
      <c r="L69">
        <v>2</v>
      </c>
      <c r="M69" t="s">
        <v>192</v>
      </c>
    </row>
    <row r="70" spans="1:13">
      <c r="A70" t="s">
        <v>216</v>
      </c>
      <c r="B70" t="s">
        <v>217</v>
      </c>
      <c r="C70" t="s">
        <v>24</v>
      </c>
      <c r="D70" t="s">
        <v>218</v>
      </c>
      <c r="E70" t="s">
        <v>17</v>
      </c>
      <c r="F70" t="s">
        <v>83</v>
      </c>
      <c r="G70" t="s">
        <v>54</v>
      </c>
      <c r="H70" t="s">
        <v>64</v>
      </c>
      <c r="I70">
        <v>5170</v>
      </c>
      <c r="J70">
        <v>5</v>
      </c>
      <c r="K70">
        <v>4.2</v>
      </c>
      <c r="L70">
        <v>3</v>
      </c>
      <c r="M70" t="s">
        <v>144</v>
      </c>
    </row>
    <row r="71" spans="1:13">
      <c r="A71" t="s">
        <v>219</v>
      </c>
      <c r="B71" t="s">
        <v>220</v>
      </c>
      <c r="C71" t="s">
        <v>40</v>
      </c>
      <c r="D71" t="s">
        <v>79</v>
      </c>
      <c r="E71" t="s">
        <v>26</v>
      </c>
      <c r="F71" t="s">
        <v>27</v>
      </c>
      <c r="G71" t="s">
        <v>19</v>
      </c>
      <c r="H71" t="s">
        <v>36</v>
      </c>
      <c r="I71">
        <v>14949</v>
      </c>
      <c r="J71">
        <v>3</v>
      </c>
      <c r="K71">
        <v>4.4000000000000004</v>
      </c>
      <c r="L71">
        <v>8</v>
      </c>
      <c r="M71" t="s">
        <v>65</v>
      </c>
    </row>
    <row r="72" spans="1:13">
      <c r="A72" t="s">
        <v>221</v>
      </c>
      <c r="B72" t="s">
        <v>222</v>
      </c>
      <c r="C72" t="s">
        <v>125</v>
      </c>
      <c r="D72" t="s">
        <v>46</v>
      </c>
      <c r="E72" t="s">
        <v>42</v>
      </c>
      <c r="F72" t="s">
        <v>18</v>
      </c>
      <c r="G72" t="s">
        <v>19</v>
      </c>
      <c r="H72" t="s">
        <v>64</v>
      </c>
      <c r="I72">
        <v>22210</v>
      </c>
      <c r="J72">
        <v>5</v>
      </c>
      <c r="K72">
        <v>3.6</v>
      </c>
      <c r="L72">
        <v>7</v>
      </c>
      <c r="M72" t="s">
        <v>30</v>
      </c>
    </row>
    <row r="73" spans="1:13">
      <c r="A73" t="s">
        <v>223</v>
      </c>
      <c r="B73" t="s">
        <v>224</v>
      </c>
      <c r="C73" t="s">
        <v>45</v>
      </c>
      <c r="D73" t="s">
        <v>59</v>
      </c>
      <c r="E73" t="s">
        <v>26</v>
      </c>
      <c r="F73" t="s">
        <v>27</v>
      </c>
      <c r="G73" t="s">
        <v>28</v>
      </c>
      <c r="H73" t="s">
        <v>29</v>
      </c>
      <c r="I73">
        <v>26485</v>
      </c>
      <c r="J73">
        <v>5</v>
      </c>
      <c r="K73">
        <v>3.2</v>
      </c>
      <c r="L73">
        <v>1</v>
      </c>
      <c r="M73" t="s">
        <v>30</v>
      </c>
    </row>
    <row r="74" spans="1:13">
      <c r="A74" t="s">
        <v>225</v>
      </c>
      <c r="B74" t="s">
        <v>226</v>
      </c>
      <c r="C74" t="s">
        <v>40</v>
      </c>
      <c r="D74" t="s">
        <v>109</v>
      </c>
      <c r="E74" t="s">
        <v>52</v>
      </c>
      <c r="F74" t="s">
        <v>60</v>
      </c>
      <c r="G74" t="s">
        <v>54</v>
      </c>
      <c r="H74" t="s">
        <v>29</v>
      </c>
      <c r="I74">
        <v>5104</v>
      </c>
      <c r="J74">
        <v>4</v>
      </c>
      <c r="K74">
        <v>4.8</v>
      </c>
      <c r="L74">
        <v>1</v>
      </c>
      <c r="M74" t="s">
        <v>37</v>
      </c>
    </row>
    <row r="75" spans="1:13">
      <c r="A75" t="s">
        <v>227</v>
      </c>
      <c r="B75" t="s">
        <v>228</v>
      </c>
      <c r="C75" t="s">
        <v>112</v>
      </c>
      <c r="D75" t="s">
        <v>147</v>
      </c>
      <c r="E75" t="s">
        <v>52</v>
      </c>
      <c r="F75" t="s">
        <v>100</v>
      </c>
      <c r="G75" t="s">
        <v>104</v>
      </c>
      <c r="H75" t="s">
        <v>20</v>
      </c>
      <c r="I75">
        <v>5814</v>
      </c>
      <c r="J75">
        <v>6</v>
      </c>
      <c r="K75">
        <v>4.8</v>
      </c>
      <c r="L75">
        <v>6</v>
      </c>
      <c r="M75" t="s">
        <v>126</v>
      </c>
    </row>
    <row r="76" spans="1:13">
      <c r="A76" t="s">
        <v>229</v>
      </c>
      <c r="B76" t="s">
        <v>228</v>
      </c>
      <c r="C76" t="s">
        <v>78</v>
      </c>
      <c r="D76" t="s">
        <v>97</v>
      </c>
      <c r="E76" t="s">
        <v>35</v>
      </c>
      <c r="F76" t="s">
        <v>53</v>
      </c>
      <c r="G76" t="s">
        <v>54</v>
      </c>
      <c r="H76" t="s">
        <v>64</v>
      </c>
      <c r="I76">
        <v>74214</v>
      </c>
      <c r="J76">
        <v>6</v>
      </c>
      <c r="K76">
        <v>4.7</v>
      </c>
      <c r="L76">
        <v>7</v>
      </c>
      <c r="M76" t="s">
        <v>126</v>
      </c>
    </row>
    <row r="77" spans="1:13">
      <c r="A77" t="s">
        <v>230</v>
      </c>
      <c r="B77" t="s">
        <v>231</v>
      </c>
      <c r="C77" t="s">
        <v>68</v>
      </c>
      <c r="D77" t="s">
        <v>218</v>
      </c>
      <c r="E77" t="s">
        <v>17</v>
      </c>
      <c r="F77" t="s">
        <v>27</v>
      </c>
      <c r="G77" t="s">
        <v>19</v>
      </c>
      <c r="H77" t="s">
        <v>64</v>
      </c>
      <c r="I77">
        <v>2462</v>
      </c>
      <c r="J77">
        <v>2</v>
      </c>
      <c r="K77">
        <v>4.7</v>
      </c>
      <c r="L77">
        <v>6</v>
      </c>
      <c r="M77" t="s">
        <v>30</v>
      </c>
    </row>
    <row r="78" spans="1:13">
      <c r="A78" t="s">
        <v>232</v>
      </c>
      <c r="B78" t="s">
        <v>233</v>
      </c>
      <c r="C78" t="s">
        <v>33</v>
      </c>
      <c r="D78" t="s">
        <v>218</v>
      </c>
      <c r="E78" t="s">
        <v>17</v>
      </c>
      <c r="F78" t="s">
        <v>18</v>
      </c>
      <c r="G78" t="s">
        <v>104</v>
      </c>
      <c r="H78" t="s">
        <v>64</v>
      </c>
      <c r="I78">
        <v>6504</v>
      </c>
      <c r="J78">
        <v>4</v>
      </c>
      <c r="K78">
        <v>3.9</v>
      </c>
      <c r="L78">
        <v>3</v>
      </c>
      <c r="M78" t="s">
        <v>192</v>
      </c>
    </row>
    <row r="79" spans="1:13">
      <c r="A79" t="s">
        <v>234</v>
      </c>
      <c r="B79" t="s">
        <v>235</v>
      </c>
      <c r="C79" t="s">
        <v>133</v>
      </c>
      <c r="D79" t="s">
        <v>16</v>
      </c>
      <c r="E79" t="s">
        <v>17</v>
      </c>
      <c r="F79" t="s">
        <v>27</v>
      </c>
      <c r="G79" t="s">
        <v>54</v>
      </c>
      <c r="H79" t="s">
        <v>64</v>
      </c>
      <c r="I79">
        <v>3285</v>
      </c>
      <c r="J79">
        <v>3</v>
      </c>
      <c r="K79">
        <v>4.3</v>
      </c>
      <c r="L79">
        <v>3</v>
      </c>
      <c r="M79" t="s">
        <v>21</v>
      </c>
    </row>
    <row r="80" spans="1:13">
      <c r="A80" t="s">
        <v>236</v>
      </c>
      <c r="B80" t="s">
        <v>237</v>
      </c>
      <c r="C80" t="s">
        <v>68</v>
      </c>
      <c r="D80" t="s">
        <v>69</v>
      </c>
      <c r="E80" t="s">
        <v>26</v>
      </c>
      <c r="F80" t="s">
        <v>27</v>
      </c>
      <c r="G80" t="s">
        <v>104</v>
      </c>
      <c r="H80" t="s">
        <v>29</v>
      </c>
      <c r="I80">
        <v>8085</v>
      </c>
      <c r="J80">
        <v>1</v>
      </c>
      <c r="K80">
        <v>4.9000000000000004</v>
      </c>
      <c r="L80">
        <v>6</v>
      </c>
      <c r="M80" t="s">
        <v>21</v>
      </c>
    </row>
    <row r="81" spans="1:13">
      <c r="A81" t="s">
        <v>238</v>
      </c>
      <c r="B81" t="s">
        <v>115</v>
      </c>
      <c r="C81" t="s">
        <v>33</v>
      </c>
      <c r="D81" t="s">
        <v>116</v>
      </c>
      <c r="E81" t="s">
        <v>17</v>
      </c>
      <c r="F81" t="s">
        <v>53</v>
      </c>
      <c r="G81" t="s">
        <v>19</v>
      </c>
      <c r="H81" t="s">
        <v>20</v>
      </c>
      <c r="I81">
        <v>2200</v>
      </c>
      <c r="J81">
        <v>4</v>
      </c>
      <c r="K81">
        <v>4.4000000000000004</v>
      </c>
      <c r="L81">
        <v>1</v>
      </c>
      <c r="M81" t="s">
        <v>21</v>
      </c>
    </row>
    <row r="82" spans="1:13">
      <c r="A82" t="s">
        <v>239</v>
      </c>
      <c r="B82" t="s">
        <v>108</v>
      </c>
      <c r="C82" t="s">
        <v>103</v>
      </c>
      <c r="D82" t="s">
        <v>79</v>
      </c>
      <c r="E82" t="s">
        <v>26</v>
      </c>
      <c r="F82" t="s">
        <v>83</v>
      </c>
      <c r="G82" t="s">
        <v>19</v>
      </c>
      <c r="H82" t="s">
        <v>29</v>
      </c>
      <c r="I82">
        <v>12868</v>
      </c>
      <c r="J82">
        <v>4</v>
      </c>
      <c r="K82">
        <v>4.5999999999999996</v>
      </c>
      <c r="L82">
        <v>1</v>
      </c>
      <c r="M82" t="s">
        <v>87</v>
      </c>
    </row>
    <row r="83" spans="1:13">
      <c r="A83" t="s">
        <v>240</v>
      </c>
      <c r="B83" t="s">
        <v>167</v>
      </c>
      <c r="C83" t="s">
        <v>103</v>
      </c>
      <c r="D83" t="s">
        <v>147</v>
      </c>
      <c r="E83" t="s">
        <v>52</v>
      </c>
      <c r="F83" t="s">
        <v>18</v>
      </c>
      <c r="G83" t="s">
        <v>19</v>
      </c>
      <c r="H83" t="s">
        <v>64</v>
      </c>
      <c r="I83">
        <v>310</v>
      </c>
      <c r="J83">
        <v>1</v>
      </c>
      <c r="K83">
        <v>3.8</v>
      </c>
      <c r="L83">
        <v>3</v>
      </c>
      <c r="M83" t="s">
        <v>119</v>
      </c>
    </row>
    <row r="84" spans="1:13">
      <c r="A84" t="s">
        <v>241</v>
      </c>
      <c r="B84" t="s">
        <v>242</v>
      </c>
      <c r="C84" t="s">
        <v>45</v>
      </c>
      <c r="D84" t="s">
        <v>25</v>
      </c>
      <c r="E84" t="s">
        <v>26</v>
      </c>
      <c r="F84" t="s">
        <v>18</v>
      </c>
      <c r="G84" t="s">
        <v>104</v>
      </c>
      <c r="H84" t="s">
        <v>64</v>
      </c>
      <c r="I84">
        <v>20688</v>
      </c>
      <c r="J84">
        <v>8</v>
      </c>
      <c r="K84">
        <v>4</v>
      </c>
      <c r="L84">
        <v>4</v>
      </c>
      <c r="M84" t="s">
        <v>87</v>
      </c>
    </row>
    <row r="85" spans="1:13">
      <c r="A85" t="s">
        <v>243</v>
      </c>
      <c r="B85" t="s">
        <v>244</v>
      </c>
      <c r="C85" t="s">
        <v>45</v>
      </c>
      <c r="D85" t="s">
        <v>16</v>
      </c>
      <c r="E85" t="s">
        <v>17</v>
      </c>
      <c r="F85" t="s">
        <v>83</v>
      </c>
      <c r="G85" t="s">
        <v>54</v>
      </c>
      <c r="H85" t="s">
        <v>20</v>
      </c>
      <c r="I85">
        <v>8211</v>
      </c>
      <c r="J85">
        <v>7</v>
      </c>
      <c r="K85">
        <v>4.8</v>
      </c>
      <c r="L85">
        <v>6</v>
      </c>
      <c r="M85" t="s">
        <v>65</v>
      </c>
    </row>
    <row r="86" spans="1:13">
      <c r="A86" t="s">
        <v>245</v>
      </c>
      <c r="B86" t="s">
        <v>246</v>
      </c>
      <c r="C86" t="s">
        <v>68</v>
      </c>
      <c r="D86" t="s">
        <v>165</v>
      </c>
      <c r="E86" t="s">
        <v>35</v>
      </c>
      <c r="F86" t="s">
        <v>27</v>
      </c>
      <c r="G86" t="s">
        <v>19</v>
      </c>
      <c r="H86" t="s">
        <v>64</v>
      </c>
      <c r="I86">
        <v>246912</v>
      </c>
      <c r="J86">
        <v>6</v>
      </c>
      <c r="K86">
        <v>4.3</v>
      </c>
      <c r="L86">
        <v>2</v>
      </c>
      <c r="M86" t="s">
        <v>192</v>
      </c>
    </row>
    <row r="87" spans="1:13">
      <c r="A87" t="s">
        <v>247</v>
      </c>
      <c r="B87" t="s">
        <v>201</v>
      </c>
      <c r="C87" t="s">
        <v>129</v>
      </c>
      <c r="D87" t="s">
        <v>159</v>
      </c>
      <c r="E87" t="s">
        <v>42</v>
      </c>
      <c r="F87" t="s">
        <v>83</v>
      </c>
      <c r="G87" t="s">
        <v>28</v>
      </c>
      <c r="H87" t="s">
        <v>36</v>
      </c>
      <c r="I87">
        <v>8868</v>
      </c>
      <c r="J87">
        <v>6</v>
      </c>
      <c r="K87">
        <v>4</v>
      </c>
      <c r="L87">
        <v>5</v>
      </c>
      <c r="M87" t="s">
        <v>55</v>
      </c>
    </row>
    <row r="88" spans="1:13">
      <c r="A88" t="s">
        <v>248</v>
      </c>
      <c r="B88" t="s">
        <v>94</v>
      </c>
      <c r="C88" t="s">
        <v>68</v>
      </c>
      <c r="D88" t="s">
        <v>16</v>
      </c>
      <c r="E88" t="s">
        <v>17</v>
      </c>
      <c r="F88" t="s">
        <v>60</v>
      </c>
      <c r="G88" t="s">
        <v>104</v>
      </c>
      <c r="H88" t="s">
        <v>64</v>
      </c>
      <c r="I88">
        <v>3479</v>
      </c>
      <c r="J88">
        <v>7</v>
      </c>
      <c r="K88">
        <v>4.3</v>
      </c>
      <c r="L88">
        <v>6</v>
      </c>
      <c r="M88" t="s">
        <v>87</v>
      </c>
    </row>
    <row r="89" spans="1:13">
      <c r="A89" t="s">
        <v>249</v>
      </c>
      <c r="B89" t="s">
        <v>250</v>
      </c>
      <c r="C89" t="s">
        <v>122</v>
      </c>
      <c r="D89" t="s">
        <v>218</v>
      </c>
      <c r="E89" t="s">
        <v>17</v>
      </c>
      <c r="F89" t="s">
        <v>18</v>
      </c>
      <c r="G89" t="s">
        <v>104</v>
      </c>
      <c r="H89" t="s">
        <v>29</v>
      </c>
      <c r="I89">
        <v>5100</v>
      </c>
      <c r="J89">
        <v>5</v>
      </c>
      <c r="K89">
        <v>3.5</v>
      </c>
      <c r="L89">
        <v>8</v>
      </c>
      <c r="M89" t="s">
        <v>192</v>
      </c>
    </row>
    <row r="90" spans="1:13">
      <c r="A90" t="s">
        <v>251</v>
      </c>
      <c r="B90" t="s">
        <v>252</v>
      </c>
      <c r="C90" t="s">
        <v>170</v>
      </c>
      <c r="D90" t="s">
        <v>218</v>
      </c>
      <c r="E90" t="s">
        <v>17</v>
      </c>
      <c r="F90" t="s">
        <v>53</v>
      </c>
      <c r="G90" t="s">
        <v>54</v>
      </c>
      <c r="H90" t="s">
        <v>20</v>
      </c>
      <c r="I90">
        <v>4712</v>
      </c>
      <c r="J90">
        <v>4</v>
      </c>
      <c r="K90">
        <v>3.5</v>
      </c>
      <c r="L90">
        <v>5</v>
      </c>
      <c r="M90" t="s">
        <v>30</v>
      </c>
    </row>
    <row r="91" spans="1:13">
      <c r="A91" t="s">
        <v>253</v>
      </c>
      <c r="B91" t="s">
        <v>108</v>
      </c>
      <c r="C91" t="s">
        <v>170</v>
      </c>
      <c r="D91" t="s">
        <v>51</v>
      </c>
      <c r="E91" t="s">
        <v>52</v>
      </c>
      <c r="F91" t="s">
        <v>83</v>
      </c>
      <c r="G91" t="s">
        <v>104</v>
      </c>
      <c r="H91" t="s">
        <v>29</v>
      </c>
      <c r="I91">
        <v>1125</v>
      </c>
      <c r="J91">
        <v>3</v>
      </c>
      <c r="K91">
        <v>3.9</v>
      </c>
      <c r="L91">
        <v>8</v>
      </c>
      <c r="M91" t="s">
        <v>87</v>
      </c>
    </row>
    <row r="92" spans="1:13">
      <c r="A92" t="s">
        <v>254</v>
      </c>
      <c r="B92" t="s">
        <v>255</v>
      </c>
      <c r="C92" t="s">
        <v>146</v>
      </c>
      <c r="D92" t="s">
        <v>165</v>
      </c>
      <c r="E92" t="s">
        <v>35</v>
      </c>
      <c r="F92" t="s">
        <v>27</v>
      </c>
      <c r="G92" t="s">
        <v>28</v>
      </c>
      <c r="H92" t="s">
        <v>64</v>
      </c>
      <c r="I92">
        <v>46264</v>
      </c>
      <c r="J92">
        <v>2</v>
      </c>
      <c r="K92">
        <v>4.4000000000000004</v>
      </c>
      <c r="L92">
        <v>5</v>
      </c>
      <c r="M92" t="s">
        <v>192</v>
      </c>
    </row>
    <row r="93" spans="1:13">
      <c r="A93" t="s">
        <v>256</v>
      </c>
      <c r="B93" t="s">
        <v>257</v>
      </c>
      <c r="C93" t="s">
        <v>112</v>
      </c>
      <c r="D93" t="s">
        <v>69</v>
      </c>
      <c r="E93" t="s">
        <v>26</v>
      </c>
      <c r="F93" t="s">
        <v>27</v>
      </c>
      <c r="G93" t="s">
        <v>104</v>
      </c>
      <c r="H93" t="s">
        <v>36</v>
      </c>
      <c r="I93">
        <v>39215</v>
      </c>
      <c r="J93">
        <v>5</v>
      </c>
      <c r="K93">
        <v>3.4</v>
      </c>
      <c r="L93">
        <v>8</v>
      </c>
      <c r="M93" t="s">
        <v>47</v>
      </c>
    </row>
    <row r="94" spans="1:13">
      <c r="A94" t="s">
        <v>258</v>
      </c>
      <c r="B94" t="s">
        <v>259</v>
      </c>
      <c r="C94" t="s">
        <v>170</v>
      </c>
      <c r="D94" t="s">
        <v>51</v>
      </c>
      <c r="E94" t="s">
        <v>52</v>
      </c>
      <c r="F94" t="s">
        <v>18</v>
      </c>
      <c r="G94" t="s">
        <v>54</v>
      </c>
      <c r="H94" t="s">
        <v>64</v>
      </c>
      <c r="I94">
        <v>1087</v>
      </c>
      <c r="J94">
        <v>1</v>
      </c>
      <c r="K94">
        <v>4.5999999999999996</v>
      </c>
      <c r="L94">
        <v>5</v>
      </c>
      <c r="M94" t="s">
        <v>192</v>
      </c>
    </row>
    <row r="95" spans="1:13">
      <c r="A95" t="s">
        <v>260</v>
      </c>
      <c r="B95" t="s">
        <v>261</v>
      </c>
      <c r="C95" t="s">
        <v>50</v>
      </c>
      <c r="D95" t="s">
        <v>159</v>
      </c>
      <c r="E95" t="s">
        <v>42</v>
      </c>
      <c r="F95" t="s">
        <v>27</v>
      </c>
      <c r="G95" t="s">
        <v>54</v>
      </c>
      <c r="H95" t="s">
        <v>64</v>
      </c>
      <c r="I95">
        <v>36939</v>
      </c>
      <c r="J95">
        <v>7</v>
      </c>
      <c r="K95">
        <v>4.7</v>
      </c>
      <c r="L95">
        <v>2</v>
      </c>
      <c r="M95" t="s">
        <v>80</v>
      </c>
    </row>
    <row r="96" spans="1:13">
      <c r="A96" t="s">
        <v>262</v>
      </c>
      <c r="B96" t="s">
        <v>263</v>
      </c>
      <c r="C96" t="s">
        <v>50</v>
      </c>
      <c r="D96" t="s">
        <v>116</v>
      </c>
      <c r="E96" t="s">
        <v>17</v>
      </c>
      <c r="F96" t="s">
        <v>18</v>
      </c>
      <c r="G96" t="s">
        <v>104</v>
      </c>
      <c r="H96" t="s">
        <v>20</v>
      </c>
      <c r="I96">
        <v>8874</v>
      </c>
      <c r="J96">
        <v>6</v>
      </c>
      <c r="K96">
        <v>4</v>
      </c>
      <c r="L96">
        <v>2</v>
      </c>
      <c r="M96" t="s">
        <v>87</v>
      </c>
    </row>
    <row r="97" spans="1:13">
      <c r="A97" t="s">
        <v>264</v>
      </c>
      <c r="B97" t="s">
        <v>118</v>
      </c>
      <c r="C97" t="s">
        <v>50</v>
      </c>
      <c r="D97" t="s">
        <v>69</v>
      </c>
      <c r="E97" t="s">
        <v>26</v>
      </c>
      <c r="F97" t="s">
        <v>53</v>
      </c>
      <c r="G97" t="s">
        <v>104</v>
      </c>
      <c r="H97" t="s">
        <v>20</v>
      </c>
      <c r="I97">
        <v>47628</v>
      </c>
      <c r="J97">
        <v>6</v>
      </c>
      <c r="K97">
        <v>4.3</v>
      </c>
      <c r="L97">
        <v>2</v>
      </c>
      <c r="M97" t="s">
        <v>119</v>
      </c>
    </row>
    <row r="98" spans="1:13">
      <c r="A98" t="s">
        <v>265</v>
      </c>
      <c r="B98" t="s">
        <v>263</v>
      </c>
      <c r="C98" t="s">
        <v>122</v>
      </c>
      <c r="D98" t="s">
        <v>34</v>
      </c>
      <c r="E98" t="s">
        <v>35</v>
      </c>
      <c r="F98" t="s">
        <v>18</v>
      </c>
      <c r="G98" t="s">
        <v>19</v>
      </c>
      <c r="H98" t="s">
        <v>29</v>
      </c>
      <c r="I98">
        <v>55830</v>
      </c>
      <c r="J98">
        <v>2</v>
      </c>
      <c r="K98">
        <v>4.5</v>
      </c>
      <c r="L98">
        <v>3</v>
      </c>
      <c r="M98" t="s">
        <v>87</v>
      </c>
    </row>
    <row r="99" spans="1:13">
      <c r="A99" t="s">
        <v>266</v>
      </c>
      <c r="B99" t="s">
        <v>267</v>
      </c>
      <c r="C99" t="s">
        <v>58</v>
      </c>
      <c r="D99" t="s">
        <v>63</v>
      </c>
      <c r="E99" t="s">
        <v>52</v>
      </c>
      <c r="F99" t="s">
        <v>27</v>
      </c>
      <c r="G99" t="s">
        <v>104</v>
      </c>
      <c r="H99" t="s">
        <v>29</v>
      </c>
      <c r="I99">
        <v>1674</v>
      </c>
      <c r="J99">
        <v>3</v>
      </c>
      <c r="K99">
        <v>4</v>
      </c>
      <c r="L99">
        <v>8</v>
      </c>
      <c r="M99" t="s">
        <v>192</v>
      </c>
    </row>
    <row r="100" spans="1:13">
      <c r="A100" t="s">
        <v>268</v>
      </c>
      <c r="B100" t="s">
        <v>85</v>
      </c>
      <c r="C100" t="s">
        <v>40</v>
      </c>
      <c r="D100" t="s">
        <v>51</v>
      </c>
      <c r="E100" t="s">
        <v>52</v>
      </c>
      <c r="F100" t="s">
        <v>60</v>
      </c>
      <c r="G100" t="s">
        <v>28</v>
      </c>
      <c r="H100" t="s">
        <v>36</v>
      </c>
      <c r="I100">
        <v>11920</v>
      </c>
      <c r="J100">
        <v>8</v>
      </c>
      <c r="K100">
        <v>3.8</v>
      </c>
      <c r="L100">
        <v>2</v>
      </c>
      <c r="M100" t="s">
        <v>87</v>
      </c>
    </row>
    <row r="101" spans="1:13">
      <c r="A101" t="s">
        <v>269</v>
      </c>
      <c r="B101" t="s">
        <v>96</v>
      </c>
      <c r="C101" t="s">
        <v>146</v>
      </c>
      <c r="D101" t="s">
        <v>218</v>
      </c>
      <c r="E101" t="s">
        <v>17</v>
      </c>
      <c r="F101" t="s">
        <v>100</v>
      </c>
      <c r="G101" t="s">
        <v>19</v>
      </c>
      <c r="H101" t="s">
        <v>29</v>
      </c>
      <c r="I101">
        <v>3240</v>
      </c>
      <c r="J101">
        <v>2</v>
      </c>
      <c r="K101">
        <v>3.9</v>
      </c>
      <c r="L101">
        <v>1</v>
      </c>
      <c r="M101" t="s">
        <v>21</v>
      </c>
    </row>
    <row r="102" spans="1:13">
      <c r="A102" t="s">
        <v>270</v>
      </c>
      <c r="B102" t="s">
        <v>271</v>
      </c>
      <c r="C102" t="s">
        <v>33</v>
      </c>
      <c r="D102" t="s">
        <v>69</v>
      </c>
      <c r="E102" t="s">
        <v>26</v>
      </c>
      <c r="F102" t="s">
        <v>83</v>
      </c>
      <c r="G102" t="s">
        <v>28</v>
      </c>
      <c r="H102" t="s">
        <v>64</v>
      </c>
      <c r="I102">
        <v>6543</v>
      </c>
      <c r="J102">
        <v>3</v>
      </c>
      <c r="K102">
        <v>4.0999999999999996</v>
      </c>
      <c r="L102">
        <v>3</v>
      </c>
      <c r="M102" t="s">
        <v>65</v>
      </c>
    </row>
    <row r="103" spans="1:13">
      <c r="A103" t="s">
        <v>272</v>
      </c>
      <c r="B103" t="s">
        <v>273</v>
      </c>
      <c r="C103" t="s">
        <v>75</v>
      </c>
      <c r="D103" t="s">
        <v>79</v>
      </c>
      <c r="E103" t="s">
        <v>26</v>
      </c>
      <c r="F103" t="s">
        <v>53</v>
      </c>
      <c r="G103" t="s">
        <v>54</v>
      </c>
      <c r="H103" t="s">
        <v>64</v>
      </c>
      <c r="I103">
        <v>71538</v>
      </c>
      <c r="J103">
        <v>6</v>
      </c>
      <c r="K103">
        <v>4.3</v>
      </c>
      <c r="L103">
        <v>6</v>
      </c>
      <c r="M103" t="s">
        <v>55</v>
      </c>
    </row>
    <row r="104" spans="1:13">
      <c r="A104" t="s">
        <v>274</v>
      </c>
      <c r="B104" t="s">
        <v>275</v>
      </c>
      <c r="C104" t="s">
        <v>72</v>
      </c>
      <c r="D104" t="s">
        <v>130</v>
      </c>
      <c r="E104" t="s">
        <v>35</v>
      </c>
      <c r="F104" t="s">
        <v>100</v>
      </c>
      <c r="G104" t="s">
        <v>54</v>
      </c>
      <c r="H104" t="s">
        <v>29</v>
      </c>
      <c r="I104">
        <v>236640</v>
      </c>
      <c r="J104">
        <v>3</v>
      </c>
      <c r="K104">
        <v>3.8</v>
      </c>
      <c r="L104">
        <v>7</v>
      </c>
      <c r="M104" t="s">
        <v>119</v>
      </c>
    </row>
    <row r="105" spans="1:13">
      <c r="A105" t="s">
        <v>276</v>
      </c>
      <c r="B105" t="s">
        <v>277</v>
      </c>
      <c r="C105" t="s">
        <v>15</v>
      </c>
      <c r="D105" t="s">
        <v>69</v>
      </c>
      <c r="E105" t="s">
        <v>26</v>
      </c>
      <c r="F105" t="s">
        <v>53</v>
      </c>
      <c r="G105" t="s">
        <v>104</v>
      </c>
      <c r="H105" t="s">
        <v>20</v>
      </c>
      <c r="I105">
        <v>70704</v>
      </c>
      <c r="J105">
        <v>6</v>
      </c>
      <c r="K105">
        <v>4</v>
      </c>
      <c r="L105">
        <v>6</v>
      </c>
      <c r="M105" t="s">
        <v>192</v>
      </c>
    </row>
    <row r="106" spans="1:13">
      <c r="A106" t="s">
        <v>278</v>
      </c>
      <c r="B106" t="s">
        <v>279</v>
      </c>
      <c r="C106" t="s">
        <v>112</v>
      </c>
      <c r="D106" t="s">
        <v>109</v>
      </c>
      <c r="E106" t="s">
        <v>52</v>
      </c>
      <c r="F106" t="s">
        <v>100</v>
      </c>
      <c r="G106" t="s">
        <v>54</v>
      </c>
      <c r="H106" t="s">
        <v>29</v>
      </c>
      <c r="I106">
        <v>3252</v>
      </c>
      <c r="J106">
        <v>4</v>
      </c>
      <c r="K106">
        <v>4.7</v>
      </c>
      <c r="L106">
        <v>2</v>
      </c>
      <c r="M106" t="s">
        <v>65</v>
      </c>
    </row>
    <row r="107" spans="1:13">
      <c r="A107" t="s">
        <v>280</v>
      </c>
      <c r="B107" t="s">
        <v>255</v>
      </c>
      <c r="C107" t="s">
        <v>133</v>
      </c>
      <c r="D107" t="s">
        <v>79</v>
      </c>
      <c r="E107" t="s">
        <v>26</v>
      </c>
      <c r="F107" t="s">
        <v>53</v>
      </c>
      <c r="G107" t="s">
        <v>19</v>
      </c>
      <c r="H107" t="s">
        <v>64</v>
      </c>
      <c r="I107">
        <v>24584</v>
      </c>
      <c r="J107">
        <v>7</v>
      </c>
      <c r="K107">
        <v>4.5</v>
      </c>
      <c r="L107">
        <v>1</v>
      </c>
      <c r="M107" t="s">
        <v>192</v>
      </c>
    </row>
    <row r="108" spans="1:13">
      <c r="A108" t="s">
        <v>281</v>
      </c>
      <c r="B108" t="s">
        <v>282</v>
      </c>
      <c r="C108" t="s">
        <v>146</v>
      </c>
      <c r="D108" t="s">
        <v>59</v>
      </c>
      <c r="E108" t="s">
        <v>26</v>
      </c>
      <c r="F108" t="s">
        <v>53</v>
      </c>
      <c r="G108" t="s">
        <v>28</v>
      </c>
      <c r="H108" t="s">
        <v>64</v>
      </c>
      <c r="I108">
        <v>15912</v>
      </c>
      <c r="J108">
        <v>4</v>
      </c>
      <c r="K108">
        <v>3.9</v>
      </c>
      <c r="L108">
        <v>8</v>
      </c>
      <c r="M108" t="s">
        <v>47</v>
      </c>
    </row>
    <row r="109" spans="1:13">
      <c r="A109" t="s">
        <v>283</v>
      </c>
      <c r="B109" t="s">
        <v>284</v>
      </c>
      <c r="C109" t="s">
        <v>40</v>
      </c>
      <c r="D109" t="s">
        <v>63</v>
      </c>
      <c r="E109" t="s">
        <v>52</v>
      </c>
      <c r="F109" t="s">
        <v>18</v>
      </c>
      <c r="G109" t="s">
        <v>19</v>
      </c>
      <c r="H109" t="s">
        <v>29</v>
      </c>
      <c r="I109">
        <v>1389</v>
      </c>
      <c r="J109">
        <v>3</v>
      </c>
      <c r="K109">
        <v>4.9000000000000004</v>
      </c>
      <c r="L109">
        <v>2</v>
      </c>
      <c r="M109" t="s">
        <v>192</v>
      </c>
    </row>
    <row r="110" spans="1:13">
      <c r="A110" t="s">
        <v>285</v>
      </c>
      <c r="B110" t="s">
        <v>286</v>
      </c>
      <c r="C110" t="s">
        <v>122</v>
      </c>
      <c r="D110" t="s">
        <v>159</v>
      </c>
      <c r="E110" t="s">
        <v>42</v>
      </c>
      <c r="F110" t="s">
        <v>60</v>
      </c>
      <c r="G110" t="s">
        <v>54</v>
      </c>
      <c r="H110" t="s">
        <v>29</v>
      </c>
      <c r="I110">
        <v>1836</v>
      </c>
      <c r="J110">
        <v>2</v>
      </c>
      <c r="K110">
        <v>3.3</v>
      </c>
      <c r="L110">
        <v>6</v>
      </c>
      <c r="M110" t="s">
        <v>47</v>
      </c>
    </row>
    <row r="111" spans="1:13">
      <c r="A111" t="s">
        <v>287</v>
      </c>
      <c r="B111" t="s">
        <v>288</v>
      </c>
      <c r="C111" t="s">
        <v>72</v>
      </c>
      <c r="D111" t="s">
        <v>147</v>
      </c>
      <c r="E111" t="s">
        <v>52</v>
      </c>
      <c r="F111" t="s">
        <v>27</v>
      </c>
      <c r="G111" t="s">
        <v>28</v>
      </c>
      <c r="H111" t="s">
        <v>64</v>
      </c>
      <c r="I111">
        <v>3246</v>
      </c>
      <c r="J111">
        <v>2</v>
      </c>
      <c r="K111">
        <v>3.7</v>
      </c>
      <c r="L111">
        <v>8</v>
      </c>
      <c r="M111" t="s">
        <v>126</v>
      </c>
    </row>
    <row r="112" spans="1:13">
      <c r="A112" t="s">
        <v>289</v>
      </c>
      <c r="B112" t="s">
        <v>290</v>
      </c>
      <c r="C112" t="s">
        <v>40</v>
      </c>
      <c r="D112" t="s">
        <v>25</v>
      </c>
      <c r="E112" t="s">
        <v>26</v>
      </c>
      <c r="F112" t="s">
        <v>83</v>
      </c>
      <c r="G112" t="s">
        <v>104</v>
      </c>
      <c r="H112" t="s">
        <v>36</v>
      </c>
      <c r="I112">
        <v>10775</v>
      </c>
      <c r="J112">
        <v>1</v>
      </c>
      <c r="K112">
        <v>4.0999999999999996</v>
      </c>
      <c r="L112">
        <v>2</v>
      </c>
      <c r="M112" t="s">
        <v>87</v>
      </c>
    </row>
    <row r="113" spans="1:13">
      <c r="A113" t="s">
        <v>291</v>
      </c>
      <c r="B113" t="s">
        <v>292</v>
      </c>
      <c r="C113" t="s">
        <v>72</v>
      </c>
      <c r="D113" t="s">
        <v>86</v>
      </c>
      <c r="E113" t="s">
        <v>17</v>
      </c>
      <c r="F113" t="s">
        <v>53</v>
      </c>
      <c r="G113" t="s">
        <v>28</v>
      </c>
      <c r="H113" t="s">
        <v>36</v>
      </c>
      <c r="I113">
        <v>3424</v>
      </c>
      <c r="J113">
        <v>8</v>
      </c>
      <c r="K113">
        <v>3.2</v>
      </c>
      <c r="L113">
        <v>4</v>
      </c>
      <c r="M113" t="s">
        <v>47</v>
      </c>
    </row>
    <row r="114" spans="1:13">
      <c r="A114" t="s">
        <v>293</v>
      </c>
      <c r="B114" t="s">
        <v>294</v>
      </c>
      <c r="C114" t="s">
        <v>50</v>
      </c>
      <c r="D114" t="s">
        <v>59</v>
      </c>
      <c r="E114" t="s">
        <v>26</v>
      </c>
      <c r="F114" t="s">
        <v>60</v>
      </c>
      <c r="G114" t="s">
        <v>54</v>
      </c>
      <c r="H114" t="s">
        <v>64</v>
      </c>
      <c r="I114">
        <v>13356</v>
      </c>
      <c r="J114">
        <v>7</v>
      </c>
      <c r="K114">
        <v>4.9000000000000004</v>
      </c>
      <c r="L114">
        <v>1</v>
      </c>
      <c r="M114" t="s">
        <v>21</v>
      </c>
    </row>
    <row r="115" spans="1:13">
      <c r="A115" t="s">
        <v>295</v>
      </c>
      <c r="B115" t="s">
        <v>296</v>
      </c>
      <c r="C115" t="s">
        <v>72</v>
      </c>
      <c r="D115" t="s">
        <v>130</v>
      </c>
      <c r="E115" t="s">
        <v>35</v>
      </c>
      <c r="F115" t="s">
        <v>18</v>
      </c>
      <c r="G115" t="s">
        <v>104</v>
      </c>
      <c r="H115" t="s">
        <v>29</v>
      </c>
      <c r="I115">
        <v>204624</v>
      </c>
      <c r="J115">
        <v>6</v>
      </c>
      <c r="K115">
        <v>4.5999999999999996</v>
      </c>
      <c r="L115">
        <v>6</v>
      </c>
      <c r="M115" t="s">
        <v>144</v>
      </c>
    </row>
    <row r="116" spans="1:13">
      <c r="A116" t="s">
        <v>297</v>
      </c>
      <c r="B116" t="s">
        <v>298</v>
      </c>
      <c r="C116" t="s">
        <v>33</v>
      </c>
      <c r="D116" t="s">
        <v>51</v>
      </c>
      <c r="E116" t="s">
        <v>52</v>
      </c>
      <c r="F116" t="s">
        <v>83</v>
      </c>
      <c r="G116" t="s">
        <v>54</v>
      </c>
      <c r="H116" t="s">
        <v>29</v>
      </c>
      <c r="I116">
        <v>7968</v>
      </c>
      <c r="J116">
        <v>8</v>
      </c>
      <c r="K116">
        <v>3.3</v>
      </c>
      <c r="L116">
        <v>4</v>
      </c>
      <c r="M116" t="s">
        <v>119</v>
      </c>
    </row>
    <row r="117" spans="1:13">
      <c r="A117" t="s">
        <v>299</v>
      </c>
      <c r="B117" t="s">
        <v>300</v>
      </c>
      <c r="C117" t="s">
        <v>170</v>
      </c>
      <c r="D117" t="s">
        <v>165</v>
      </c>
      <c r="E117" t="s">
        <v>35</v>
      </c>
      <c r="F117" t="s">
        <v>53</v>
      </c>
      <c r="G117" t="s">
        <v>54</v>
      </c>
      <c r="H117" t="s">
        <v>29</v>
      </c>
      <c r="I117">
        <v>220384</v>
      </c>
      <c r="J117">
        <v>8</v>
      </c>
      <c r="K117">
        <v>4.8</v>
      </c>
      <c r="L117">
        <v>1</v>
      </c>
      <c r="M117" t="s">
        <v>55</v>
      </c>
    </row>
    <row r="118" spans="1:13">
      <c r="A118" t="s">
        <v>301</v>
      </c>
      <c r="B118" t="s">
        <v>302</v>
      </c>
      <c r="C118" t="s">
        <v>75</v>
      </c>
      <c r="D118" t="s">
        <v>90</v>
      </c>
      <c r="E118" t="s">
        <v>42</v>
      </c>
      <c r="F118" t="s">
        <v>27</v>
      </c>
      <c r="G118" t="s">
        <v>28</v>
      </c>
      <c r="H118" t="s">
        <v>36</v>
      </c>
      <c r="I118">
        <v>33425</v>
      </c>
      <c r="J118">
        <v>7</v>
      </c>
      <c r="K118">
        <v>4.9000000000000004</v>
      </c>
      <c r="L118">
        <v>5</v>
      </c>
      <c r="M118" t="s">
        <v>47</v>
      </c>
    </row>
    <row r="119" spans="1:13">
      <c r="A119" t="s">
        <v>303</v>
      </c>
      <c r="B119" t="s">
        <v>304</v>
      </c>
      <c r="C119" t="s">
        <v>45</v>
      </c>
      <c r="D119" t="s">
        <v>159</v>
      </c>
      <c r="E119" t="s">
        <v>42</v>
      </c>
      <c r="F119" t="s">
        <v>27</v>
      </c>
      <c r="G119" t="s">
        <v>28</v>
      </c>
      <c r="H119" t="s">
        <v>20</v>
      </c>
      <c r="I119">
        <v>16930</v>
      </c>
      <c r="J119">
        <v>5</v>
      </c>
      <c r="K119">
        <v>3.7</v>
      </c>
      <c r="L119">
        <v>8</v>
      </c>
      <c r="M119" t="s">
        <v>30</v>
      </c>
    </row>
    <row r="120" spans="1:13">
      <c r="A120" t="s">
        <v>305</v>
      </c>
      <c r="B120" t="s">
        <v>306</v>
      </c>
      <c r="C120" t="s">
        <v>75</v>
      </c>
      <c r="D120" t="s">
        <v>46</v>
      </c>
      <c r="E120" t="s">
        <v>42</v>
      </c>
      <c r="F120" t="s">
        <v>27</v>
      </c>
      <c r="G120" t="s">
        <v>28</v>
      </c>
      <c r="H120" t="s">
        <v>29</v>
      </c>
      <c r="I120">
        <v>4263</v>
      </c>
      <c r="J120">
        <v>1</v>
      </c>
      <c r="K120">
        <v>4.4000000000000004</v>
      </c>
      <c r="L120">
        <v>1</v>
      </c>
      <c r="M120" t="s">
        <v>47</v>
      </c>
    </row>
    <row r="121" spans="1:13">
      <c r="A121" t="s">
        <v>307</v>
      </c>
      <c r="B121" t="s">
        <v>308</v>
      </c>
      <c r="C121" t="s">
        <v>129</v>
      </c>
      <c r="D121" t="s">
        <v>79</v>
      </c>
      <c r="E121" t="s">
        <v>26</v>
      </c>
      <c r="F121" t="s">
        <v>60</v>
      </c>
      <c r="G121" t="s">
        <v>54</v>
      </c>
      <c r="H121" t="s">
        <v>20</v>
      </c>
      <c r="I121">
        <v>5703</v>
      </c>
      <c r="J121">
        <v>3</v>
      </c>
      <c r="K121">
        <v>3.6</v>
      </c>
      <c r="L121">
        <v>6</v>
      </c>
      <c r="M121" t="s">
        <v>144</v>
      </c>
    </row>
    <row r="122" spans="1:13">
      <c r="A122" t="s">
        <v>309</v>
      </c>
      <c r="B122" t="s">
        <v>310</v>
      </c>
      <c r="C122" t="s">
        <v>122</v>
      </c>
      <c r="D122" t="s">
        <v>46</v>
      </c>
      <c r="E122" t="s">
        <v>42</v>
      </c>
      <c r="F122" t="s">
        <v>18</v>
      </c>
      <c r="G122" t="s">
        <v>54</v>
      </c>
      <c r="H122" t="s">
        <v>20</v>
      </c>
      <c r="I122">
        <v>29648</v>
      </c>
      <c r="J122">
        <v>8</v>
      </c>
      <c r="K122">
        <v>3.8</v>
      </c>
      <c r="L122">
        <v>5</v>
      </c>
      <c r="M122" t="s">
        <v>55</v>
      </c>
    </row>
    <row r="123" spans="1:13">
      <c r="A123" t="s">
        <v>311</v>
      </c>
      <c r="B123" t="s">
        <v>23</v>
      </c>
      <c r="C123" t="s">
        <v>179</v>
      </c>
      <c r="D123" t="s">
        <v>90</v>
      </c>
      <c r="E123" t="s">
        <v>42</v>
      </c>
      <c r="F123" t="s">
        <v>18</v>
      </c>
      <c r="G123" t="s">
        <v>19</v>
      </c>
      <c r="H123" t="s">
        <v>36</v>
      </c>
      <c r="I123">
        <v>4914</v>
      </c>
      <c r="J123">
        <v>2</v>
      </c>
      <c r="K123">
        <v>3.7</v>
      </c>
      <c r="L123">
        <v>8</v>
      </c>
      <c r="M123" t="s">
        <v>30</v>
      </c>
    </row>
    <row r="124" spans="1:13">
      <c r="A124" t="s">
        <v>312</v>
      </c>
      <c r="B124" t="s">
        <v>313</v>
      </c>
      <c r="C124" t="s">
        <v>24</v>
      </c>
      <c r="D124" t="s">
        <v>159</v>
      </c>
      <c r="E124" t="s">
        <v>42</v>
      </c>
      <c r="F124" t="s">
        <v>27</v>
      </c>
      <c r="G124" t="s">
        <v>19</v>
      </c>
      <c r="H124" t="s">
        <v>29</v>
      </c>
      <c r="I124">
        <v>2462</v>
      </c>
      <c r="J124">
        <v>2</v>
      </c>
      <c r="K124">
        <v>4.2</v>
      </c>
      <c r="L124">
        <v>5</v>
      </c>
      <c r="M124" t="s">
        <v>47</v>
      </c>
    </row>
    <row r="125" spans="1:13">
      <c r="A125" t="s">
        <v>314</v>
      </c>
      <c r="B125" t="s">
        <v>203</v>
      </c>
      <c r="C125" t="s">
        <v>146</v>
      </c>
      <c r="D125" t="s">
        <v>79</v>
      </c>
      <c r="E125" t="s">
        <v>26</v>
      </c>
      <c r="F125" t="s">
        <v>100</v>
      </c>
      <c r="G125" t="s">
        <v>19</v>
      </c>
      <c r="H125" t="s">
        <v>36</v>
      </c>
      <c r="I125">
        <v>26848</v>
      </c>
      <c r="J125">
        <v>4</v>
      </c>
      <c r="K125">
        <v>4.2</v>
      </c>
      <c r="L125">
        <v>6</v>
      </c>
      <c r="M125" t="s">
        <v>80</v>
      </c>
    </row>
    <row r="126" spans="1:13">
      <c r="A126" t="s">
        <v>315</v>
      </c>
      <c r="B126" t="s">
        <v>300</v>
      </c>
      <c r="C126" t="s">
        <v>75</v>
      </c>
      <c r="D126" t="s">
        <v>218</v>
      </c>
      <c r="E126" t="s">
        <v>17</v>
      </c>
      <c r="F126" t="s">
        <v>60</v>
      </c>
      <c r="G126" t="s">
        <v>28</v>
      </c>
      <c r="H126" t="s">
        <v>29</v>
      </c>
      <c r="I126">
        <v>11008</v>
      </c>
      <c r="J126">
        <v>8</v>
      </c>
      <c r="K126">
        <v>3.4</v>
      </c>
      <c r="L126">
        <v>6</v>
      </c>
      <c r="M126" t="s">
        <v>55</v>
      </c>
    </row>
    <row r="127" spans="1:13">
      <c r="A127" t="s">
        <v>316</v>
      </c>
      <c r="B127" t="s">
        <v>261</v>
      </c>
      <c r="C127" t="s">
        <v>170</v>
      </c>
      <c r="D127" t="s">
        <v>63</v>
      </c>
      <c r="E127" t="s">
        <v>52</v>
      </c>
      <c r="F127" t="s">
        <v>27</v>
      </c>
      <c r="G127" t="s">
        <v>19</v>
      </c>
      <c r="H127" t="s">
        <v>29</v>
      </c>
      <c r="I127">
        <v>3332</v>
      </c>
      <c r="J127">
        <v>7</v>
      </c>
      <c r="K127">
        <v>3.7</v>
      </c>
      <c r="L127">
        <v>3</v>
      </c>
      <c r="M127" t="s">
        <v>80</v>
      </c>
    </row>
    <row r="128" spans="1:13">
      <c r="A128" t="s">
        <v>317</v>
      </c>
      <c r="B128" t="s">
        <v>290</v>
      </c>
      <c r="C128" t="s">
        <v>112</v>
      </c>
      <c r="D128" t="s">
        <v>59</v>
      </c>
      <c r="E128" t="s">
        <v>26</v>
      </c>
      <c r="F128" t="s">
        <v>27</v>
      </c>
      <c r="G128" t="s">
        <v>19</v>
      </c>
      <c r="H128" t="s">
        <v>20</v>
      </c>
      <c r="I128">
        <v>28805</v>
      </c>
      <c r="J128">
        <v>5</v>
      </c>
      <c r="K128">
        <v>4.3</v>
      </c>
      <c r="L128">
        <v>2</v>
      </c>
      <c r="M128" t="s">
        <v>87</v>
      </c>
    </row>
    <row r="129" spans="1:13">
      <c r="A129" t="s">
        <v>318</v>
      </c>
      <c r="B129" t="s">
        <v>319</v>
      </c>
      <c r="C129" t="s">
        <v>58</v>
      </c>
      <c r="D129" t="s">
        <v>109</v>
      </c>
      <c r="E129" t="s">
        <v>52</v>
      </c>
      <c r="F129" t="s">
        <v>60</v>
      </c>
      <c r="G129" t="s">
        <v>54</v>
      </c>
      <c r="H129" t="s">
        <v>64</v>
      </c>
      <c r="I129">
        <v>582</v>
      </c>
      <c r="J129">
        <v>1</v>
      </c>
      <c r="K129">
        <v>3.7</v>
      </c>
      <c r="L129">
        <v>4</v>
      </c>
      <c r="M129" t="s">
        <v>30</v>
      </c>
    </row>
    <row r="130" spans="1:13">
      <c r="A130" t="s">
        <v>320</v>
      </c>
      <c r="B130" t="s">
        <v>321</v>
      </c>
      <c r="C130" t="s">
        <v>24</v>
      </c>
      <c r="D130" t="s">
        <v>59</v>
      </c>
      <c r="E130" t="s">
        <v>26</v>
      </c>
      <c r="F130" t="s">
        <v>60</v>
      </c>
      <c r="G130" t="s">
        <v>28</v>
      </c>
      <c r="H130" t="s">
        <v>64</v>
      </c>
      <c r="I130">
        <v>41150</v>
      </c>
      <c r="J130">
        <v>5</v>
      </c>
      <c r="K130">
        <v>3.3</v>
      </c>
      <c r="L130">
        <v>1</v>
      </c>
      <c r="M130" t="s">
        <v>192</v>
      </c>
    </row>
    <row r="131" spans="1:13">
      <c r="A131" t="s">
        <v>322</v>
      </c>
      <c r="B131" t="s">
        <v>207</v>
      </c>
      <c r="C131" t="s">
        <v>170</v>
      </c>
      <c r="D131" t="s">
        <v>159</v>
      </c>
      <c r="E131" t="s">
        <v>42</v>
      </c>
      <c r="F131" t="s">
        <v>83</v>
      </c>
      <c r="G131" t="s">
        <v>28</v>
      </c>
      <c r="H131" t="s">
        <v>36</v>
      </c>
      <c r="I131">
        <v>11898</v>
      </c>
      <c r="J131">
        <v>3</v>
      </c>
      <c r="K131">
        <v>4.5999999999999996</v>
      </c>
      <c r="L131">
        <v>2</v>
      </c>
      <c r="M131" t="s">
        <v>126</v>
      </c>
    </row>
    <row r="132" spans="1:13">
      <c r="A132" t="s">
        <v>323</v>
      </c>
      <c r="B132" t="s">
        <v>324</v>
      </c>
      <c r="C132" t="s">
        <v>170</v>
      </c>
      <c r="D132" t="s">
        <v>97</v>
      </c>
      <c r="E132" t="s">
        <v>35</v>
      </c>
      <c r="F132" t="s">
        <v>100</v>
      </c>
      <c r="G132" t="s">
        <v>104</v>
      </c>
      <c r="H132" t="s">
        <v>20</v>
      </c>
      <c r="I132">
        <v>121614</v>
      </c>
      <c r="J132">
        <v>3</v>
      </c>
      <c r="K132">
        <v>4</v>
      </c>
      <c r="L132">
        <v>3</v>
      </c>
      <c r="M132" t="s">
        <v>21</v>
      </c>
    </row>
    <row r="133" spans="1:13">
      <c r="A133" t="s">
        <v>325</v>
      </c>
      <c r="B133" t="s">
        <v>326</v>
      </c>
      <c r="C133" t="s">
        <v>122</v>
      </c>
      <c r="D133" t="s">
        <v>51</v>
      </c>
      <c r="E133" t="s">
        <v>52</v>
      </c>
      <c r="F133" t="s">
        <v>83</v>
      </c>
      <c r="G133" t="s">
        <v>104</v>
      </c>
      <c r="H133" t="s">
        <v>36</v>
      </c>
      <c r="I133">
        <v>12104</v>
      </c>
      <c r="J133">
        <v>8</v>
      </c>
      <c r="K133">
        <v>4.9000000000000004</v>
      </c>
      <c r="L133">
        <v>8</v>
      </c>
      <c r="M133" t="s">
        <v>65</v>
      </c>
    </row>
    <row r="134" spans="1:13">
      <c r="A134" t="s">
        <v>327</v>
      </c>
      <c r="B134" t="s">
        <v>211</v>
      </c>
      <c r="C134" t="s">
        <v>129</v>
      </c>
      <c r="D134" t="s">
        <v>218</v>
      </c>
      <c r="E134" t="s">
        <v>17</v>
      </c>
      <c r="F134" t="s">
        <v>60</v>
      </c>
      <c r="G134" t="s">
        <v>104</v>
      </c>
      <c r="H134" t="s">
        <v>36</v>
      </c>
      <c r="I134">
        <v>7080</v>
      </c>
      <c r="J134">
        <v>8</v>
      </c>
      <c r="K134">
        <v>3.4</v>
      </c>
      <c r="L134">
        <v>5</v>
      </c>
      <c r="M134" t="s">
        <v>65</v>
      </c>
    </row>
    <row r="135" spans="1:13">
      <c r="A135" t="s">
        <v>328</v>
      </c>
      <c r="B135" t="s">
        <v>102</v>
      </c>
      <c r="C135" t="s">
        <v>45</v>
      </c>
      <c r="D135" t="s">
        <v>41</v>
      </c>
      <c r="E135" t="s">
        <v>42</v>
      </c>
      <c r="F135" t="s">
        <v>27</v>
      </c>
      <c r="G135" t="s">
        <v>54</v>
      </c>
      <c r="H135" t="s">
        <v>20</v>
      </c>
      <c r="I135">
        <v>15456</v>
      </c>
      <c r="J135">
        <v>4</v>
      </c>
      <c r="K135">
        <v>4</v>
      </c>
      <c r="L135">
        <v>5</v>
      </c>
      <c r="M135" t="s">
        <v>30</v>
      </c>
    </row>
    <row r="136" spans="1:13">
      <c r="A136" t="s">
        <v>329</v>
      </c>
      <c r="B136" t="s">
        <v>330</v>
      </c>
      <c r="C136" t="s">
        <v>33</v>
      </c>
      <c r="D136" t="s">
        <v>116</v>
      </c>
      <c r="E136" t="s">
        <v>17</v>
      </c>
      <c r="F136" t="s">
        <v>18</v>
      </c>
      <c r="G136" t="s">
        <v>19</v>
      </c>
      <c r="H136" t="s">
        <v>29</v>
      </c>
      <c r="I136">
        <v>8652</v>
      </c>
      <c r="J136">
        <v>6</v>
      </c>
      <c r="K136">
        <v>4.0999999999999996</v>
      </c>
      <c r="L136">
        <v>1</v>
      </c>
      <c r="M136" t="s">
        <v>55</v>
      </c>
    </row>
    <row r="137" spans="1:13">
      <c r="A137" t="s">
        <v>331</v>
      </c>
      <c r="B137" t="s">
        <v>332</v>
      </c>
      <c r="C137" t="s">
        <v>58</v>
      </c>
      <c r="D137" t="s">
        <v>90</v>
      </c>
      <c r="E137" t="s">
        <v>42</v>
      </c>
      <c r="F137" t="s">
        <v>53</v>
      </c>
      <c r="G137" t="s">
        <v>28</v>
      </c>
      <c r="H137" t="s">
        <v>29</v>
      </c>
      <c r="I137">
        <v>11757</v>
      </c>
      <c r="J137">
        <v>3</v>
      </c>
      <c r="K137">
        <v>4.5</v>
      </c>
      <c r="L137">
        <v>5</v>
      </c>
      <c r="M137" t="s">
        <v>80</v>
      </c>
    </row>
    <row r="138" spans="1:13">
      <c r="A138" t="s">
        <v>333</v>
      </c>
      <c r="B138" t="s">
        <v>334</v>
      </c>
      <c r="C138" t="s">
        <v>45</v>
      </c>
      <c r="D138" t="s">
        <v>41</v>
      </c>
      <c r="E138" t="s">
        <v>42</v>
      </c>
      <c r="F138" t="s">
        <v>60</v>
      </c>
      <c r="G138" t="s">
        <v>104</v>
      </c>
      <c r="H138" t="s">
        <v>20</v>
      </c>
      <c r="I138">
        <v>32886</v>
      </c>
      <c r="J138">
        <v>6</v>
      </c>
      <c r="K138">
        <v>4.5999999999999996</v>
      </c>
      <c r="L138">
        <v>1</v>
      </c>
      <c r="M138" t="s">
        <v>55</v>
      </c>
    </row>
    <row r="139" spans="1:13">
      <c r="A139" t="s">
        <v>335</v>
      </c>
      <c r="B139" t="s">
        <v>336</v>
      </c>
      <c r="C139" t="s">
        <v>170</v>
      </c>
      <c r="D139" t="s">
        <v>116</v>
      </c>
      <c r="E139" t="s">
        <v>17</v>
      </c>
      <c r="F139" t="s">
        <v>60</v>
      </c>
      <c r="G139" t="s">
        <v>19</v>
      </c>
      <c r="H139" t="s">
        <v>64</v>
      </c>
      <c r="I139">
        <v>4214</v>
      </c>
      <c r="J139">
        <v>7</v>
      </c>
      <c r="K139">
        <v>3.5</v>
      </c>
      <c r="L139">
        <v>8</v>
      </c>
      <c r="M139" t="s">
        <v>80</v>
      </c>
    </row>
    <row r="140" spans="1:13">
      <c r="A140" t="s">
        <v>337</v>
      </c>
      <c r="B140" t="s">
        <v>271</v>
      </c>
      <c r="C140" t="s">
        <v>112</v>
      </c>
      <c r="D140" t="s">
        <v>51</v>
      </c>
      <c r="E140" t="s">
        <v>52</v>
      </c>
      <c r="F140" t="s">
        <v>60</v>
      </c>
      <c r="G140" t="s">
        <v>104</v>
      </c>
      <c r="H140" t="s">
        <v>20</v>
      </c>
      <c r="I140">
        <v>4040</v>
      </c>
      <c r="J140">
        <v>8</v>
      </c>
      <c r="K140">
        <v>4.2</v>
      </c>
      <c r="L140">
        <v>8</v>
      </c>
      <c r="M140" t="s">
        <v>65</v>
      </c>
    </row>
    <row r="141" spans="1:13">
      <c r="A141" t="s">
        <v>338</v>
      </c>
      <c r="B141" t="s">
        <v>304</v>
      </c>
      <c r="C141" t="s">
        <v>78</v>
      </c>
      <c r="D141" t="s">
        <v>46</v>
      </c>
      <c r="E141" t="s">
        <v>42</v>
      </c>
      <c r="F141" t="s">
        <v>53</v>
      </c>
      <c r="G141" t="s">
        <v>19</v>
      </c>
      <c r="H141" t="s">
        <v>29</v>
      </c>
      <c r="I141">
        <v>27996</v>
      </c>
      <c r="J141">
        <v>6</v>
      </c>
      <c r="K141">
        <v>4.9000000000000004</v>
      </c>
      <c r="L141">
        <v>5</v>
      </c>
      <c r="M141" t="s">
        <v>30</v>
      </c>
    </row>
    <row r="142" spans="1:13">
      <c r="A142" t="s">
        <v>339</v>
      </c>
      <c r="B142" t="s">
        <v>118</v>
      </c>
      <c r="C142" t="s">
        <v>50</v>
      </c>
      <c r="D142" t="s">
        <v>34</v>
      </c>
      <c r="E142" t="s">
        <v>35</v>
      </c>
      <c r="F142" t="s">
        <v>53</v>
      </c>
      <c r="G142" t="s">
        <v>19</v>
      </c>
      <c r="H142" t="s">
        <v>29</v>
      </c>
      <c r="I142">
        <v>385744</v>
      </c>
      <c r="J142">
        <v>8</v>
      </c>
      <c r="K142">
        <v>3.7</v>
      </c>
      <c r="L142">
        <v>7</v>
      </c>
      <c r="M142" t="s">
        <v>119</v>
      </c>
    </row>
    <row r="143" spans="1:13">
      <c r="A143" t="s">
        <v>340</v>
      </c>
      <c r="B143" t="s">
        <v>290</v>
      </c>
      <c r="C143" t="s">
        <v>78</v>
      </c>
      <c r="D143" t="s">
        <v>218</v>
      </c>
      <c r="E143" t="s">
        <v>17</v>
      </c>
      <c r="F143" t="s">
        <v>27</v>
      </c>
      <c r="G143" t="s">
        <v>104</v>
      </c>
      <c r="H143" t="s">
        <v>20</v>
      </c>
      <c r="I143">
        <v>7230</v>
      </c>
      <c r="J143">
        <v>6</v>
      </c>
      <c r="K143">
        <v>4.7</v>
      </c>
      <c r="L143">
        <v>5</v>
      </c>
      <c r="M143" t="s">
        <v>87</v>
      </c>
    </row>
    <row r="144" spans="1:13">
      <c r="A144" t="s">
        <v>341</v>
      </c>
      <c r="B144" t="s">
        <v>342</v>
      </c>
      <c r="C144" t="s">
        <v>170</v>
      </c>
      <c r="D144" t="s">
        <v>86</v>
      </c>
      <c r="E144" t="s">
        <v>17</v>
      </c>
      <c r="F144" t="s">
        <v>27</v>
      </c>
      <c r="G144" t="s">
        <v>28</v>
      </c>
      <c r="H144" t="s">
        <v>36</v>
      </c>
      <c r="I144">
        <v>1671</v>
      </c>
      <c r="J144">
        <v>1</v>
      </c>
      <c r="K144">
        <v>3.3</v>
      </c>
      <c r="L144">
        <v>7</v>
      </c>
      <c r="M144" t="s">
        <v>21</v>
      </c>
    </row>
    <row r="145" spans="1:13">
      <c r="A145" t="s">
        <v>343</v>
      </c>
      <c r="B145" t="s">
        <v>344</v>
      </c>
      <c r="C145" t="s">
        <v>75</v>
      </c>
      <c r="D145" t="s">
        <v>147</v>
      </c>
      <c r="E145" t="s">
        <v>52</v>
      </c>
      <c r="F145" t="s">
        <v>27</v>
      </c>
      <c r="G145" t="s">
        <v>19</v>
      </c>
      <c r="H145" t="s">
        <v>36</v>
      </c>
      <c r="I145">
        <v>6594</v>
      </c>
      <c r="J145">
        <v>3</v>
      </c>
      <c r="K145">
        <v>3.8</v>
      </c>
      <c r="L145">
        <v>1</v>
      </c>
      <c r="M145" t="s">
        <v>30</v>
      </c>
    </row>
    <row r="146" spans="1:13">
      <c r="A146" t="s">
        <v>345</v>
      </c>
      <c r="B146" t="s">
        <v>346</v>
      </c>
      <c r="C146" t="s">
        <v>170</v>
      </c>
      <c r="D146" t="s">
        <v>51</v>
      </c>
      <c r="E146" t="s">
        <v>52</v>
      </c>
      <c r="F146" t="s">
        <v>53</v>
      </c>
      <c r="G146" t="s">
        <v>28</v>
      </c>
      <c r="H146" t="s">
        <v>64</v>
      </c>
      <c r="I146">
        <v>2279</v>
      </c>
      <c r="J146">
        <v>1</v>
      </c>
      <c r="K146">
        <v>3.2</v>
      </c>
      <c r="L146">
        <v>2</v>
      </c>
      <c r="M146" t="s">
        <v>37</v>
      </c>
    </row>
    <row r="147" spans="1:13">
      <c r="A147" t="s">
        <v>347</v>
      </c>
      <c r="B147" t="s">
        <v>348</v>
      </c>
      <c r="C147" t="s">
        <v>15</v>
      </c>
      <c r="D147" t="s">
        <v>51</v>
      </c>
      <c r="E147" t="s">
        <v>52</v>
      </c>
      <c r="F147" t="s">
        <v>27</v>
      </c>
      <c r="G147" t="s">
        <v>104</v>
      </c>
      <c r="H147" t="s">
        <v>29</v>
      </c>
      <c r="I147">
        <v>6416</v>
      </c>
      <c r="J147">
        <v>4</v>
      </c>
      <c r="K147">
        <v>3.7</v>
      </c>
      <c r="L147">
        <v>3</v>
      </c>
      <c r="M147" t="s">
        <v>21</v>
      </c>
    </row>
    <row r="148" spans="1:13">
      <c r="A148" t="s">
        <v>349</v>
      </c>
      <c r="B148" t="s">
        <v>350</v>
      </c>
      <c r="C148" t="s">
        <v>72</v>
      </c>
      <c r="D148" t="s">
        <v>79</v>
      </c>
      <c r="E148" t="s">
        <v>26</v>
      </c>
      <c r="F148" t="s">
        <v>60</v>
      </c>
      <c r="G148" t="s">
        <v>104</v>
      </c>
      <c r="H148" t="s">
        <v>20</v>
      </c>
      <c r="I148">
        <v>51569</v>
      </c>
      <c r="J148">
        <v>7</v>
      </c>
      <c r="K148">
        <v>4.4000000000000004</v>
      </c>
      <c r="L148">
        <v>3</v>
      </c>
      <c r="M148" t="s">
        <v>80</v>
      </c>
    </row>
    <row r="149" spans="1:13">
      <c r="A149" t="s">
        <v>351</v>
      </c>
      <c r="B149" t="s">
        <v>352</v>
      </c>
      <c r="C149" t="s">
        <v>103</v>
      </c>
      <c r="D149" t="s">
        <v>218</v>
      </c>
      <c r="E149" t="s">
        <v>17</v>
      </c>
      <c r="F149" t="s">
        <v>27</v>
      </c>
      <c r="G149" t="s">
        <v>104</v>
      </c>
      <c r="H149" t="s">
        <v>20</v>
      </c>
      <c r="I149">
        <v>4856</v>
      </c>
      <c r="J149">
        <v>4</v>
      </c>
      <c r="K149">
        <v>4.5</v>
      </c>
      <c r="L149">
        <v>1</v>
      </c>
      <c r="M149" t="s">
        <v>55</v>
      </c>
    </row>
    <row r="150" spans="1:13">
      <c r="A150" t="s">
        <v>353</v>
      </c>
      <c r="B150" t="s">
        <v>354</v>
      </c>
      <c r="C150" t="s">
        <v>129</v>
      </c>
      <c r="D150" t="s">
        <v>16</v>
      </c>
      <c r="E150" t="s">
        <v>17</v>
      </c>
      <c r="F150" t="s">
        <v>100</v>
      </c>
      <c r="G150" t="s">
        <v>19</v>
      </c>
      <c r="H150" t="s">
        <v>20</v>
      </c>
      <c r="I150">
        <v>3135</v>
      </c>
      <c r="J150">
        <v>5</v>
      </c>
      <c r="K150">
        <v>4.3</v>
      </c>
      <c r="L150">
        <v>5</v>
      </c>
      <c r="M150" t="s">
        <v>47</v>
      </c>
    </row>
    <row r="151" spans="1:13">
      <c r="A151" t="s">
        <v>355</v>
      </c>
      <c r="B151" t="s">
        <v>356</v>
      </c>
      <c r="C151" t="s">
        <v>122</v>
      </c>
      <c r="D151" t="s">
        <v>51</v>
      </c>
      <c r="E151" t="s">
        <v>52</v>
      </c>
      <c r="F151" t="s">
        <v>27</v>
      </c>
      <c r="G151" t="s">
        <v>54</v>
      </c>
      <c r="H151" t="s">
        <v>64</v>
      </c>
      <c r="I151">
        <v>14240</v>
      </c>
      <c r="J151">
        <v>8</v>
      </c>
      <c r="K151">
        <v>4.5999999999999996</v>
      </c>
      <c r="L151">
        <v>4</v>
      </c>
      <c r="M151" t="s">
        <v>80</v>
      </c>
    </row>
    <row r="152" spans="1:13">
      <c r="A152" t="s">
        <v>357</v>
      </c>
      <c r="B152" t="s">
        <v>263</v>
      </c>
      <c r="C152" t="s">
        <v>170</v>
      </c>
      <c r="D152" t="s">
        <v>59</v>
      </c>
      <c r="E152" t="s">
        <v>26</v>
      </c>
      <c r="F152" t="s">
        <v>100</v>
      </c>
      <c r="G152" t="s">
        <v>28</v>
      </c>
      <c r="H152" t="s">
        <v>36</v>
      </c>
      <c r="I152">
        <v>20366</v>
      </c>
      <c r="J152">
        <v>2</v>
      </c>
      <c r="K152">
        <v>4.2</v>
      </c>
      <c r="L152">
        <v>3</v>
      </c>
      <c r="M152" t="s">
        <v>87</v>
      </c>
    </row>
    <row r="153" spans="1:13">
      <c r="A153" t="s">
        <v>358</v>
      </c>
      <c r="B153" t="s">
        <v>359</v>
      </c>
      <c r="C153" t="s">
        <v>78</v>
      </c>
      <c r="D153" t="s">
        <v>51</v>
      </c>
      <c r="E153" t="s">
        <v>52</v>
      </c>
      <c r="F153" t="s">
        <v>60</v>
      </c>
      <c r="G153" t="s">
        <v>104</v>
      </c>
      <c r="H153" t="s">
        <v>36</v>
      </c>
      <c r="I153">
        <v>16856</v>
      </c>
      <c r="J153">
        <v>8</v>
      </c>
      <c r="K153">
        <v>4</v>
      </c>
      <c r="L153">
        <v>1</v>
      </c>
      <c r="M153" t="s">
        <v>87</v>
      </c>
    </row>
    <row r="154" spans="1:13">
      <c r="A154" t="s">
        <v>360</v>
      </c>
      <c r="B154" t="s">
        <v>361</v>
      </c>
      <c r="C154" t="s">
        <v>75</v>
      </c>
      <c r="D154" t="s">
        <v>46</v>
      </c>
      <c r="E154" t="s">
        <v>42</v>
      </c>
      <c r="F154" t="s">
        <v>60</v>
      </c>
      <c r="G154" t="s">
        <v>54</v>
      </c>
      <c r="H154" t="s">
        <v>29</v>
      </c>
      <c r="I154">
        <v>16680</v>
      </c>
      <c r="J154">
        <v>4</v>
      </c>
      <c r="K154">
        <v>4.5</v>
      </c>
      <c r="L154">
        <v>1</v>
      </c>
      <c r="M154" t="s">
        <v>144</v>
      </c>
    </row>
    <row r="155" spans="1:13">
      <c r="A155" t="s">
        <v>362</v>
      </c>
      <c r="B155" t="s">
        <v>363</v>
      </c>
      <c r="C155" t="s">
        <v>129</v>
      </c>
      <c r="D155" t="s">
        <v>159</v>
      </c>
      <c r="E155" t="s">
        <v>42</v>
      </c>
      <c r="F155" t="s">
        <v>18</v>
      </c>
      <c r="G155" t="s">
        <v>19</v>
      </c>
      <c r="H155" t="s">
        <v>64</v>
      </c>
      <c r="I155">
        <v>26544</v>
      </c>
      <c r="J155">
        <v>7</v>
      </c>
      <c r="K155">
        <v>3.3</v>
      </c>
      <c r="L155">
        <v>3</v>
      </c>
      <c r="M155" t="s">
        <v>80</v>
      </c>
    </row>
    <row r="156" spans="1:13">
      <c r="A156" t="s">
        <v>364</v>
      </c>
      <c r="B156" t="s">
        <v>365</v>
      </c>
      <c r="C156" t="s">
        <v>122</v>
      </c>
      <c r="D156" t="s">
        <v>79</v>
      </c>
      <c r="E156" t="s">
        <v>26</v>
      </c>
      <c r="F156" t="s">
        <v>60</v>
      </c>
      <c r="G156" t="s">
        <v>104</v>
      </c>
      <c r="H156" t="s">
        <v>20</v>
      </c>
      <c r="I156">
        <v>7748</v>
      </c>
      <c r="J156">
        <v>1</v>
      </c>
      <c r="K156">
        <v>4.2</v>
      </c>
      <c r="L156">
        <v>4</v>
      </c>
      <c r="M156" t="s">
        <v>37</v>
      </c>
    </row>
    <row r="157" spans="1:13">
      <c r="A157" t="s">
        <v>366</v>
      </c>
      <c r="B157" t="s">
        <v>367</v>
      </c>
      <c r="C157" t="s">
        <v>45</v>
      </c>
      <c r="D157" t="s">
        <v>34</v>
      </c>
      <c r="E157" t="s">
        <v>35</v>
      </c>
      <c r="F157" t="s">
        <v>18</v>
      </c>
      <c r="G157" t="s">
        <v>28</v>
      </c>
      <c r="H157" t="s">
        <v>36</v>
      </c>
      <c r="I157">
        <v>83099</v>
      </c>
      <c r="J157">
        <v>1</v>
      </c>
      <c r="K157">
        <v>3.6</v>
      </c>
      <c r="L157">
        <v>2</v>
      </c>
      <c r="M157" t="s">
        <v>87</v>
      </c>
    </row>
    <row r="158" spans="1:13">
      <c r="A158" t="s">
        <v>368</v>
      </c>
      <c r="B158" t="s">
        <v>369</v>
      </c>
      <c r="C158" t="s">
        <v>122</v>
      </c>
      <c r="D158" t="s">
        <v>147</v>
      </c>
      <c r="E158" t="s">
        <v>52</v>
      </c>
      <c r="F158" t="s">
        <v>27</v>
      </c>
      <c r="G158" t="s">
        <v>104</v>
      </c>
      <c r="H158" t="s">
        <v>29</v>
      </c>
      <c r="I158">
        <v>19680</v>
      </c>
      <c r="J158">
        <v>8</v>
      </c>
      <c r="K158">
        <v>4.0999999999999996</v>
      </c>
      <c r="L158">
        <v>5</v>
      </c>
      <c r="M158" t="s">
        <v>55</v>
      </c>
    </row>
    <row r="159" spans="1:13">
      <c r="A159" t="s">
        <v>370</v>
      </c>
      <c r="B159" t="s">
        <v>371</v>
      </c>
      <c r="C159" t="s">
        <v>133</v>
      </c>
      <c r="D159" t="s">
        <v>109</v>
      </c>
      <c r="E159" t="s">
        <v>52</v>
      </c>
      <c r="F159" t="s">
        <v>100</v>
      </c>
      <c r="G159" t="s">
        <v>28</v>
      </c>
      <c r="H159" t="s">
        <v>36</v>
      </c>
      <c r="I159">
        <v>5920</v>
      </c>
      <c r="J159">
        <v>4</v>
      </c>
      <c r="K159">
        <v>4.9000000000000004</v>
      </c>
      <c r="L159">
        <v>3</v>
      </c>
      <c r="M159" t="s">
        <v>80</v>
      </c>
    </row>
    <row r="160" spans="1:13">
      <c r="A160" t="s">
        <v>372</v>
      </c>
      <c r="B160" t="s">
        <v>373</v>
      </c>
      <c r="C160" t="s">
        <v>122</v>
      </c>
      <c r="D160" t="s">
        <v>97</v>
      </c>
      <c r="E160" t="s">
        <v>35</v>
      </c>
      <c r="F160" t="s">
        <v>83</v>
      </c>
      <c r="G160" t="s">
        <v>104</v>
      </c>
      <c r="H160" t="s">
        <v>20</v>
      </c>
      <c r="I160">
        <v>336066</v>
      </c>
      <c r="J160">
        <v>6</v>
      </c>
      <c r="K160">
        <v>3.9</v>
      </c>
      <c r="L160">
        <v>8</v>
      </c>
      <c r="M160" t="s">
        <v>65</v>
      </c>
    </row>
    <row r="161" spans="1:13">
      <c r="A161" t="s">
        <v>374</v>
      </c>
      <c r="B161" t="s">
        <v>23</v>
      </c>
      <c r="C161" t="s">
        <v>75</v>
      </c>
      <c r="D161" t="s">
        <v>41</v>
      </c>
      <c r="E161" t="s">
        <v>42</v>
      </c>
      <c r="F161" t="s">
        <v>60</v>
      </c>
      <c r="G161" t="s">
        <v>104</v>
      </c>
      <c r="H161" t="s">
        <v>36</v>
      </c>
      <c r="I161">
        <v>27167</v>
      </c>
      <c r="J161">
        <v>7</v>
      </c>
      <c r="K161">
        <v>3.7</v>
      </c>
      <c r="L161">
        <v>6</v>
      </c>
      <c r="M161" t="s">
        <v>30</v>
      </c>
    </row>
    <row r="162" spans="1:13">
      <c r="A162" t="s">
        <v>375</v>
      </c>
      <c r="B162" t="s">
        <v>376</v>
      </c>
      <c r="C162" t="s">
        <v>125</v>
      </c>
      <c r="D162" t="s">
        <v>79</v>
      </c>
      <c r="E162" t="s">
        <v>26</v>
      </c>
      <c r="F162" t="s">
        <v>83</v>
      </c>
      <c r="G162" t="s">
        <v>104</v>
      </c>
      <c r="H162" t="s">
        <v>29</v>
      </c>
      <c r="I162">
        <v>52130</v>
      </c>
      <c r="J162">
        <v>5</v>
      </c>
      <c r="K162">
        <v>4.5</v>
      </c>
      <c r="L162">
        <v>4</v>
      </c>
      <c r="M162" t="s">
        <v>144</v>
      </c>
    </row>
    <row r="163" spans="1:13">
      <c r="A163" t="s">
        <v>377</v>
      </c>
      <c r="B163" t="s">
        <v>89</v>
      </c>
      <c r="C163" t="s">
        <v>40</v>
      </c>
      <c r="D163" t="s">
        <v>86</v>
      </c>
      <c r="E163" t="s">
        <v>17</v>
      </c>
      <c r="F163" t="s">
        <v>60</v>
      </c>
      <c r="G163" t="s">
        <v>28</v>
      </c>
      <c r="H163" t="s">
        <v>29</v>
      </c>
      <c r="I163">
        <v>2560</v>
      </c>
      <c r="J163">
        <v>2</v>
      </c>
      <c r="K163">
        <v>4.8</v>
      </c>
      <c r="L163">
        <v>6</v>
      </c>
      <c r="M163" t="s">
        <v>37</v>
      </c>
    </row>
    <row r="164" spans="1:13">
      <c r="A164" t="s">
        <v>378</v>
      </c>
      <c r="B164" t="s">
        <v>379</v>
      </c>
      <c r="C164" t="s">
        <v>33</v>
      </c>
      <c r="D164" t="s">
        <v>130</v>
      </c>
      <c r="E164" t="s">
        <v>35</v>
      </c>
      <c r="F164" t="s">
        <v>100</v>
      </c>
      <c r="G164" t="s">
        <v>19</v>
      </c>
      <c r="H164" t="s">
        <v>20</v>
      </c>
      <c r="I164">
        <v>512296</v>
      </c>
      <c r="J164">
        <v>8</v>
      </c>
      <c r="K164">
        <v>3.9</v>
      </c>
      <c r="L164">
        <v>7</v>
      </c>
      <c r="M164" t="s">
        <v>55</v>
      </c>
    </row>
    <row r="165" spans="1:13">
      <c r="A165" t="s">
        <v>380</v>
      </c>
      <c r="B165" t="s">
        <v>381</v>
      </c>
      <c r="C165" t="s">
        <v>125</v>
      </c>
      <c r="D165" t="s">
        <v>218</v>
      </c>
      <c r="E165" t="s">
        <v>17</v>
      </c>
      <c r="F165" t="s">
        <v>100</v>
      </c>
      <c r="G165" t="s">
        <v>104</v>
      </c>
      <c r="H165" t="s">
        <v>29</v>
      </c>
      <c r="I165">
        <v>6328</v>
      </c>
      <c r="J165">
        <v>7</v>
      </c>
      <c r="K165">
        <v>3.9</v>
      </c>
      <c r="L165">
        <v>4</v>
      </c>
      <c r="M165" t="s">
        <v>30</v>
      </c>
    </row>
    <row r="166" spans="1:13">
      <c r="A166" t="s">
        <v>382</v>
      </c>
      <c r="B166" t="s">
        <v>383</v>
      </c>
      <c r="C166" t="s">
        <v>112</v>
      </c>
      <c r="D166" t="s">
        <v>90</v>
      </c>
      <c r="E166" t="s">
        <v>42</v>
      </c>
      <c r="F166" t="s">
        <v>18</v>
      </c>
      <c r="G166" t="s">
        <v>54</v>
      </c>
      <c r="H166" t="s">
        <v>36</v>
      </c>
      <c r="I166">
        <v>5538</v>
      </c>
      <c r="J166">
        <v>3</v>
      </c>
      <c r="K166">
        <v>4.0999999999999996</v>
      </c>
      <c r="L166">
        <v>1</v>
      </c>
      <c r="M166" t="s">
        <v>47</v>
      </c>
    </row>
    <row r="167" spans="1:13">
      <c r="A167" t="s">
        <v>384</v>
      </c>
      <c r="B167" t="s">
        <v>385</v>
      </c>
      <c r="C167" t="s">
        <v>45</v>
      </c>
      <c r="D167" t="s">
        <v>116</v>
      </c>
      <c r="E167" t="s">
        <v>17</v>
      </c>
      <c r="F167" t="s">
        <v>27</v>
      </c>
      <c r="G167" t="s">
        <v>28</v>
      </c>
      <c r="H167" t="s">
        <v>64</v>
      </c>
      <c r="I167">
        <v>1756</v>
      </c>
      <c r="J167">
        <v>4</v>
      </c>
      <c r="K167">
        <v>4</v>
      </c>
      <c r="L167">
        <v>1</v>
      </c>
      <c r="M167" t="s">
        <v>80</v>
      </c>
    </row>
    <row r="168" spans="1:13">
      <c r="A168" t="s">
        <v>386</v>
      </c>
      <c r="B168" t="s">
        <v>387</v>
      </c>
      <c r="C168" t="s">
        <v>112</v>
      </c>
      <c r="D168" t="s">
        <v>16</v>
      </c>
      <c r="E168" t="s">
        <v>17</v>
      </c>
      <c r="F168" t="s">
        <v>27</v>
      </c>
      <c r="G168" t="s">
        <v>28</v>
      </c>
      <c r="H168" t="s">
        <v>20</v>
      </c>
      <c r="I168">
        <v>2268</v>
      </c>
      <c r="J168">
        <v>7</v>
      </c>
      <c r="K168">
        <v>5</v>
      </c>
      <c r="L168">
        <v>1</v>
      </c>
      <c r="M168" t="s">
        <v>65</v>
      </c>
    </row>
    <row r="169" spans="1:13">
      <c r="A169" t="s">
        <v>388</v>
      </c>
      <c r="B169" t="s">
        <v>373</v>
      </c>
      <c r="C169" t="s">
        <v>50</v>
      </c>
      <c r="D169" t="s">
        <v>16</v>
      </c>
      <c r="E169" t="s">
        <v>17</v>
      </c>
      <c r="F169" t="s">
        <v>18</v>
      </c>
      <c r="G169" t="s">
        <v>104</v>
      </c>
      <c r="H169" t="s">
        <v>64</v>
      </c>
      <c r="I169">
        <v>2379</v>
      </c>
      <c r="J169">
        <v>3</v>
      </c>
      <c r="K169">
        <v>4.7</v>
      </c>
      <c r="L169">
        <v>5</v>
      </c>
      <c r="M169" t="s">
        <v>65</v>
      </c>
    </row>
    <row r="170" spans="1:13">
      <c r="A170" t="s">
        <v>389</v>
      </c>
      <c r="B170" t="s">
        <v>298</v>
      </c>
      <c r="C170" t="s">
        <v>33</v>
      </c>
      <c r="D170" t="s">
        <v>159</v>
      </c>
      <c r="E170" t="s">
        <v>42</v>
      </c>
      <c r="F170" t="s">
        <v>27</v>
      </c>
      <c r="G170" t="s">
        <v>54</v>
      </c>
      <c r="H170" t="s">
        <v>20</v>
      </c>
      <c r="I170">
        <v>5860</v>
      </c>
      <c r="J170">
        <v>4</v>
      </c>
      <c r="K170">
        <v>3.9</v>
      </c>
      <c r="L170">
        <v>8</v>
      </c>
      <c r="M170" t="s">
        <v>119</v>
      </c>
    </row>
    <row r="171" spans="1:13">
      <c r="A171" t="s">
        <v>390</v>
      </c>
      <c r="B171" t="s">
        <v>391</v>
      </c>
      <c r="C171" t="s">
        <v>103</v>
      </c>
      <c r="D171" t="s">
        <v>116</v>
      </c>
      <c r="E171" t="s">
        <v>17</v>
      </c>
      <c r="F171" t="s">
        <v>18</v>
      </c>
      <c r="G171" t="s">
        <v>54</v>
      </c>
      <c r="H171" t="s">
        <v>29</v>
      </c>
      <c r="I171">
        <v>8748</v>
      </c>
      <c r="J171">
        <v>6</v>
      </c>
      <c r="K171">
        <v>3.6</v>
      </c>
      <c r="L171">
        <v>8</v>
      </c>
      <c r="M171" t="s">
        <v>47</v>
      </c>
    </row>
    <row r="172" spans="1:13">
      <c r="A172" t="s">
        <v>392</v>
      </c>
      <c r="B172" t="s">
        <v>393</v>
      </c>
      <c r="C172" t="s">
        <v>24</v>
      </c>
      <c r="D172" t="s">
        <v>25</v>
      </c>
      <c r="E172" t="s">
        <v>26</v>
      </c>
      <c r="F172" t="s">
        <v>100</v>
      </c>
      <c r="G172" t="s">
        <v>19</v>
      </c>
      <c r="H172" t="s">
        <v>64</v>
      </c>
      <c r="I172">
        <v>43950</v>
      </c>
      <c r="J172">
        <v>6</v>
      </c>
      <c r="K172">
        <v>4.9000000000000004</v>
      </c>
      <c r="L172">
        <v>5</v>
      </c>
      <c r="M172" t="s">
        <v>37</v>
      </c>
    </row>
    <row r="173" spans="1:13">
      <c r="A173" t="s">
        <v>394</v>
      </c>
      <c r="B173" t="s">
        <v>352</v>
      </c>
      <c r="C173" t="s">
        <v>75</v>
      </c>
      <c r="D173" t="s">
        <v>59</v>
      </c>
      <c r="E173" t="s">
        <v>26</v>
      </c>
      <c r="F173" t="s">
        <v>53</v>
      </c>
      <c r="G173" t="s">
        <v>28</v>
      </c>
      <c r="H173" t="s">
        <v>29</v>
      </c>
      <c r="I173">
        <v>5037</v>
      </c>
      <c r="J173">
        <v>3</v>
      </c>
      <c r="K173">
        <v>3.4</v>
      </c>
      <c r="L173">
        <v>4</v>
      </c>
      <c r="M173" t="s">
        <v>55</v>
      </c>
    </row>
    <row r="174" spans="1:13">
      <c r="A174" t="s">
        <v>395</v>
      </c>
      <c r="B174" t="s">
        <v>396</v>
      </c>
      <c r="C174" t="s">
        <v>75</v>
      </c>
      <c r="D174" t="s">
        <v>218</v>
      </c>
      <c r="E174" t="s">
        <v>17</v>
      </c>
      <c r="F174" t="s">
        <v>100</v>
      </c>
      <c r="G174" t="s">
        <v>104</v>
      </c>
      <c r="H174" t="s">
        <v>20</v>
      </c>
      <c r="I174">
        <v>6136</v>
      </c>
      <c r="J174">
        <v>8</v>
      </c>
      <c r="K174">
        <v>3.5</v>
      </c>
      <c r="L174">
        <v>7</v>
      </c>
      <c r="M174" t="s">
        <v>47</v>
      </c>
    </row>
    <row r="175" spans="1:13">
      <c r="A175" t="s">
        <v>397</v>
      </c>
      <c r="B175" t="s">
        <v>398</v>
      </c>
      <c r="C175" t="s">
        <v>40</v>
      </c>
      <c r="D175" t="s">
        <v>16</v>
      </c>
      <c r="E175" t="s">
        <v>17</v>
      </c>
      <c r="F175" t="s">
        <v>60</v>
      </c>
      <c r="G175" t="s">
        <v>104</v>
      </c>
      <c r="H175" t="s">
        <v>29</v>
      </c>
      <c r="I175">
        <v>3234</v>
      </c>
      <c r="J175">
        <v>3</v>
      </c>
      <c r="K175">
        <v>3.4</v>
      </c>
      <c r="L175">
        <v>1</v>
      </c>
      <c r="M175" t="s">
        <v>21</v>
      </c>
    </row>
    <row r="176" spans="1:13">
      <c r="A176" t="s">
        <v>399</v>
      </c>
      <c r="B176" t="s">
        <v>400</v>
      </c>
      <c r="C176" t="s">
        <v>75</v>
      </c>
      <c r="D176" t="s">
        <v>86</v>
      </c>
      <c r="E176" t="s">
        <v>17</v>
      </c>
      <c r="F176" t="s">
        <v>53</v>
      </c>
      <c r="G176" t="s">
        <v>54</v>
      </c>
      <c r="H176" t="s">
        <v>29</v>
      </c>
      <c r="I176">
        <v>3546</v>
      </c>
      <c r="J176">
        <v>3</v>
      </c>
      <c r="K176">
        <v>3.9</v>
      </c>
      <c r="L176">
        <v>1</v>
      </c>
      <c r="M176" t="s">
        <v>87</v>
      </c>
    </row>
    <row r="177" spans="1:13">
      <c r="A177" t="s">
        <v>401</v>
      </c>
      <c r="B177" t="s">
        <v>402</v>
      </c>
      <c r="C177" t="s">
        <v>24</v>
      </c>
      <c r="D177" t="s">
        <v>41</v>
      </c>
      <c r="E177" t="s">
        <v>42</v>
      </c>
      <c r="F177" t="s">
        <v>83</v>
      </c>
      <c r="G177" t="s">
        <v>104</v>
      </c>
      <c r="H177" t="s">
        <v>29</v>
      </c>
      <c r="I177">
        <v>18816</v>
      </c>
      <c r="J177">
        <v>7</v>
      </c>
      <c r="K177">
        <v>4.0999999999999996</v>
      </c>
      <c r="L177">
        <v>7</v>
      </c>
      <c r="M177" t="s">
        <v>21</v>
      </c>
    </row>
    <row r="178" spans="1:13">
      <c r="A178" t="s">
        <v>403</v>
      </c>
      <c r="B178" t="s">
        <v>404</v>
      </c>
      <c r="C178" t="s">
        <v>129</v>
      </c>
      <c r="D178" t="s">
        <v>97</v>
      </c>
      <c r="E178" t="s">
        <v>35</v>
      </c>
      <c r="F178" t="s">
        <v>53</v>
      </c>
      <c r="G178" t="s">
        <v>19</v>
      </c>
      <c r="H178" t="s">
        <v>64</v>
      </c>
      <c r="I178">
        <v>77340</v>
      </c>
      <c r="J178">
        <v>2</v>
      </c>
      <c r="K178">
        <v>4.0999999999999996</v>
      </c>
      <c r="L178">
        <v>2</v>
      </c>
      <c r="M178" t="s">
        <v>80</v>
      </c>
    </row>
    <row r="179" spans="1:13">
      <c r="A179" t="s">
        <v>405</v>
      </c>
      <c r="B179" t="s">
        <v>406</v>
      </c>
      <c r="C179" t="s">
        <v>170</v>
      </c>
      <c r="D179" t="s">
        <v>79</v>
      </c>
      <c r="E179" t="s">
        <v>26</v>
      </c>
      <c r="F179" t="s">
        <v>60</v>
      </c>
      <c r="G179" t="s">
        <v>104</v>
      </c>
      <c r="H179" t="s">
        <v>64</v>
      </c>
      <c r="I179">
        <v>12486</v>
      </c>
      <c r="J179">
        <v>2</v>
      </c>
      <c r="K179">
        <v>4.7</v>
      </c>
      <c r="L179">
        <v>7</v>
      </c>
      <c r="M179" t="s">
        <v>47</v>
      </c>
    </row>
    <row r="180" spans="1:13">
      <c r="A180" t="s">
        <v>407</v>
      </c>
      <c r="B180" t="s">
        <v>408</v>
      </c>
      <c r="C180" t="s">
        <v>40</v>
      </c>
      <c r="D180" t="s">
        <v>79</v>
      </c>
      <c r="E180" t="s">
        <v>26</v>
      </c>
      <c r="F180" t="s">
        <v>27</v>
      </c>
      <c r="G180" t="s">
        <v>28</v>
      </c>
      <c r="H180" t="s">
        <v>20</v>
      </c>
      <c r="I180">
        <v>22260</v>
      </c>
      <c r="J180">
        <v>6</v>
      </c>
      <c r="K180">
        <v>4.9000000000000004</v>
      </c>
      <c r="L180">
        <v>6</v>
      </c>
      <c r="M180" t="s">
        <v>126</v>
      </c>
    </row>
    <row r="181" spans="1:13">
      <c r="A181" t="s">
        <v>409</v>
      </c>
      <c r="B181" t="s">
        <v>237</v>
      </c>
      <c r="C181" t="s">
        <v>78</v>
      </c>
      <c r="D181" t="s">
        <v>97</v>
      </c>
      <c r="E181" t="s">
        <v>35</v>
      </c>
      <c r="F181" t="s">
        <v>18</v>
      </c>
      <c r="G181" t="s">
        <v>28</v>
      </c>
      <c r="H181" t="s">
        <v>20</v>
      </c>
      <c r="I181">
        <v>534835</v>
      </c>
      <c r="J181">
        <v>7</v>
      </c>
      <c r="K181">
        <v>5</v>
      </c>
      <c r="L181">
        <v>3</v>
      </c>
      <c r="M181" t="s">
        <v>21</v>
      </c>
    </row>
    <row r="182" spans="1:13">
      <c r="A182" t="s">
        <v>410</v>
      </c>
      <c r="B182" t="s">
        <v>411</v>
      </c>
      <c r="C182" t="s">
        <v>133</v>
      </c>
      <c r="D182" t="s">
        <v>46</v>
      </c>
      <c r="E182" t="s">
        <v>42</v>
      </c>
      <c r="F182" t="s">
        <v>60</v>
      </c>
      <c r="G182" t="s">
        <v>54</v>
      </c>
      <c r="H182" t="s">
        <v>64</v>
      </c>
      <c r="I182">
        <v>11776</v>
      </c>
      <c r="J182">
        <v>2</v>
      </c>
      <c r="K182">
        <v>3.6</v>
      </c>
      <c r="L182">
        <v>3</v>
      </c>
      <c r="M182" t="s">
        <v>119</v>
      </c>
    </row>
    <row r="183" spans="1:13">
      <c r="A183" t="s">
        <v>412</v>
      </c>
      <c r="B183" t="s">
        <v>413</v>
      </c>
      <c r="C183" t="s">
        <v>78</v>
      </c>
      <c r="D183" t="s">
        <v>69</v>
      </c>
      <c r="E183" t="s">
        <v>26</v>
      </c>
      <c r="F183" t="s">
        <v>100</v>
      </c>
      <c r="G183" t="s">
        <v>54</v>
      </c>
      <c r="H183" t="s">
        <v>36</v>
      </c>
      <c r="I183">
        <v>9814</v>
      </c>
      <c r="J183">
        <v>7</v>
      </c>
      <c r="K183">
        <v>4.5999999999999996</v>
      </c>
      <c r="L183">
        <v>6</v>
      </c>
      <c r="M183" t="s">
        <v>30</v>
      </c>
    </row>
    <row r="184" spans="1:13">
      <c r="A184" t="s">
        <v>414</v>
      </c>
      <c r="B184" t="s">
        <v>415</v>
      </c>
      <c r="C184" t="s">
        <v>122</v>
      </c>
      <c r="D184" t="s">
        <v>109</v>
      </c>
      <c r="E184" t="s">
        <v>52</v>
      </c>
      <c r="F184" t="s">
        <v>100</v>
      </c>
      <c r="G184" t="s">
        <v>19</v>
      </c>
      <c r="H184" t="s">
        <v>64</v>
      </c>
      <c r="I184">
        <v>1886</v>
      </c>
      <c r="J184">
        <v>1</v>
      </c>
      <c r="K184">
        <v>3.2</v>
      </c>
      <c r="L184">
        <v>5</v>
      </c>
      <c r="M184" t="s">
        <v>80</v>
      </c>
    </row>
    <row r="185" spans="1:13">
      <c r="A185" t="s">
        <v>416</v>
      </c>
      <c r="B185" t="s">
        <v>172</v>
      </c>
      <c r="C185" t="s">
        <v>68</v>
      </c>
      <c r="D185" t="s">
        <v>97</v>
      </c>
      <c r="E185" t="s">
        <v>35</v>
      </c>
      <c r="F185" t="s">
        <v>27</v>
      </c>
      <c r="G185" t="s">
        <v>19</v>
      </c>
      <c r="H185" t="s">
        <v>29</v>
      </c>
      <c r="I185">
        <v>197331</v>
      </c>
      <c r="J185">
        <v>3</v>
      </c>
      <c r="K185">
        <v>3.9</v>
      </c>
      <c r="L185">
        <v>2</v>
      </c>
      <c r="M185" t="s">
        <v>47</v>
      </c>
    </row>
    <row r="186" spans="1:13">
      <c r="A186" t="s">
        <v>417</v>
      </c>
      <c r="B186" t="s">
        <v>418</v>
      </c>
      <c r="C186" t="s">
        <v>170</v>
      </c>
      <c r="D186" t="s">
        <v>130</v>
      </c>
      <c r="E186" t="s">
        <v>35</v>
      </c>
      <c r="F186" t="s">
        <v>18</v>
      </c>
      <c r="G186" t="s">
        <v>104</v>
      </c>
      <c r="H186" t="s">
        <v>36</v>
      </c>
      <c r="I186">
        <v>192608</v>
      </c>
      <c r="J186">
        <v>4</v>
      </c>
      <c r="K186">
        <v>4</v>
      </c>
      <c r="L186">
        <v>8</v>
      </c>
      <c r="M186" t="s">
        <v>47</v>
      </c>
    </row>
    <row r="187" spans="1:13">
      <c r="A187" t="s">
        <v>419</v>
      </c>
      <c r="B187" t="s">
        <v>420</v>
      </c>
      <c r="C187" t="s">
        <v>78</v>
      </c>
      <c r="D187" t="s">
        <v>16</v>
      </c>
      <c r="E187" t="s">
        <v>17</v>
      </c>
      <c r="F187" t="s">
        <v>60</v>
      </c>
      <c r="G187" t="s">
        <v>28</v>
      </c>
      <c r="H187" t="s">
        <v>20</v>
      </c>
      <c r="I187">
        <v>3372</v>
      </c>
      <c r="J187">
        <v>2</v>
      </c>
      <c r="K187">
        <v>4.2</v>
      </c>
      <c r="L187">
        <v>6</v>
      </c>
      <c r="M187" t="s">
        <v>126</v>
      </c>
    </row>
    <row r="188" spans="1:13">
      <c r="A188" t="s">
        <v>421</v>
      </c>
      <c r="B188" t="s">
        <v>422</v>
      </c>
      <c r="C188" t="s">
        <v>15</v>
      </c>
      <c r="D188" t="s">
        <v>159</v>
      </c>
      <c r="E188" t="s">
        <v>42</v>
      </c>
      <c r="F188" t="s">
        <v>27</v>
      </c>
      <c r="G188" t="s">
        <v>19</v>
      </c>
      <c r="H188" t="s">
        <v>20</v>
      </c>
      <c r="I188">
        <v>16212</v>
      </c>
      <c r="J188">
        <v>7</v>
      </c>
      <c r="K188">
        <v>4.3</v>
      </c>
      <c r="L188">
        <v>7</v>
      </c>
      <c r="M188" t="s">
        <v>37</v>
      </c>
    </row>
    <row r="189" spans="1:13">
      <c r="A189" t="s">
        <v>423</v>
      </c>
      <c r="B189" t="s">
        <v>424</v>
      </c>
      <c r="C189" t="s">
        <v>125</v>
      </c>
      <c r="D189" t="s">
        <v>113</v>
      </c>
      <c r="E189" t="s">
        <v>35</v>
      </c>
      <c r="F189" t="s">
        <v>100</v>
      </c>
      <c r="G189" t="s">
        <v>104</v>
      </c>
      <c r="H189" t="s">
        <v>64</v>
      </c>
      <c r="I189">
        <v>100890</v>
      </c>
      <c r="J189">
        <v>2</v>
      </c>
      <c r="K189">
        <v>4</v>
      </c>
      <c r="L189">
        <v>5</v>
      </c>
      <c r="M189" t="s">
        <v>30</v>
      </c>
    </row>
    <row r="190" spans="1:13">
      <c r="A190" t="s">
        <v>425</v>
      </c>
      <c r="B190" t="s">
        <v>222</v>
      </c>
      <c r="C190" t="s">
        <v>45</v>
      </c>
      <c r="D190" t="s">
        <v>69</v>
      </c>
      <c r="E190" t="s">
        <v>26</v>
      </c>
      <c r="F190" t="s">
        <v>100</v>
      </c>
      <c r="G190" t="s">
        <v>54</v>
      </c>
      <c r="H190" t="s">
        <v>20</v>
      </c>
      <c r="I190">
        <v>7252</v>
      </c>
      <c r="J190">
        <v>2</v>
      </c>
      <c r="K190">
        <v>4.7</v>
      </c>
      <c r="L190">
        <v>5</v>
      </c>
      <c r="M190" t="s">
        <v>30</v>
      </c>
    </row>
    <row r="191" spans="1:13">
      <c r="A191" t="s">
        <v>426</v>
      </c>
      <c r="B191" t="s">
        <v>427</v>
      </c>
      <c r="C191" t="s">
        <v>58</v>
      </c>
      <c r="D191" t="s">
        <v>113</v>
      </c>
      <c r="E191" t="s">
        <v>35</v>
      </c>
      <c r="F191" t="s">
        <v>60</v>
      </c>
      <c r="G191" t="s">
        <v>28</v>
      </c>
      <c r="H191" t="s">
        <v>20</v>
      </c>
      <c r="I191">
        <v>257145</v>
      </c>
      <c r="J191">
        <v>5</v>
      </c>
      <c r="K191">
        <v>3.9</v>
      </c>
      <c r="L191">
        <v>3</v>
      </c>
      <c r="M191" t="s">
        <v>21</v>
      </c>
    </row>
    <row r="192" spans="1:13">
      <c r="A192" t="s">
        <v>428</v>
      </c>
      <c r="B192" t="s">
        <v>429</v>
      </c>
      <c r="C192" t="s">
        <v>129</v>
      </c>
      <c r="D192" t="s">
        <v>159</v>
      </c>
      <c r="E192" t="s">
        <v>42</v>
      </c>
      <c r="F192" t="s">
        <v>18</v>
      </c>
      <c r="G192" t="s">
        <v>28</v>
      </c>
      <c r="H192" t="s">
        <v>20</v>
      </c>
      <c r="I192">
        <v>6696</v>
      </c>
      <c r="J192">
        <v>3</v>
      </c>
      <c r="K192">
        <v>4.7</v>
      </c>
      <c r="L192">
        <v>1</v>
      </c>
      <c r="M192" t="s">
        <v>30</v>
      </c>
    </row>
    <row r="193" spans="1:13">
      <c r="A193" t="s">
        <v>430</v>
      </c>
      <c r="B193" t="s">
        <v>23</v>
      </c>
      <c r="C193" t="s">
        <v>122</v>
      </c>
      <c r="D193" t="s">
        <v>51</v>
      </c>
      <c r="E193" t="s">
        <v>52</v>
      </c>
      <c r="F193" t="s">
        <v>53</v>
      </c>
      <c r="G193" t="s">
        <v>54</v>
      </c>
      <c r="H193" t="s">
        <v>29</v>
      </c>
      <c r="I193">
        <v>18112</v>
      </c>
      <c r="J193">
        <v>8</v>
      </c>
      <c r="K193">
        <v>3.5</v>
      </c>
      <c r="L193">
        <v>1</v>
      </c>
      <c r="M193" t="s">
        <v>30</v>
      </c>
    </row>
    <row r="194" spans="1:13">
      <c r="A194" t="s">
        <v>431</v>
      </c>
      <c r="B194" t="s">
        <v>432</v>
      </c>
      <c r="C194" t="s">
        <v>78</v>
      </c>
      <c r="D194" t="s">
        <v>109</v>
      </c>
      <c r="E194" t="s">
        <v>52</v>
      </c>
      <c r="F194" t="s">
        <v>53</v>
      </c>
      <c r="G194" t="s">
        <v>54</v>
      </c>
      <c r="H194" t="s">
        <v>64</v>
      </c>
      <c r="I194">
        <v>18224</v>
      </c>
      <c r="J194">
        <v>8</v>
      </c>
      <c r="K194">
        <v>4.2</v>
      </c>
      <c r="L194">
        <v>5</v>
      </c>
      <c r="M194" t="s">
        <v>80</v>
      </c>
    </row>
    <row r="195" spans="1:13">
      <c r="A195" t="s">
        <v>433</v>
      </c>
      <c r="B195" t="s">
        <v>434</v>
      </c>
      <c r="C195" t="s">
        <v>146</v>
      </c>
      <c r="D195" t="s">
        <v>79</v>
      </c>
      <c r="E195" t="s">
        <v>26</v>
      </c>
      <c r="F195" t="s">
        <v>18</v>
      </c>
      <c r="G195" t="s">
        <v>19</v>
      </c>
      <c r="H195" t="s">
        <v>20</v>
      </c>
      <c r="I195">
        <v>16336</v>
      </c>
      <c r="J195">
        <v>2</v>
      </c>
      <c r="K195">
        <v>3.7</v>
      </c>
      <c r="L195">
        <v>2</v>
      </c>
      <c r="M195" t="s">
        <v>47</v>
      </c>
    </row>
    <row r="196" spans="1:13">
      <c r="A196" t="s">
        <v>435</v>
      </c>
      <c r="B196" t="s">
        <v>436</v>
      </c>
      <c r="C196" t="s">
        <v>45</v>
      </c>
      <c r="D196" t="s">
        <v>59</v>
      </c>
      <c r="E196" t="s">
        <v>26</v>
      </c>
      <c r="F196" t="s">
        <v>100</v>
      </c>
      <c r="G196" t="s">
        <v>19</v>
      </c>
      <c r="H196" t="s">
        <v>29</v>
      </c>
      <c r="I196">
        <v>12404</v>
      </c>
      <c r="J196">
        <v>7</v>
      </c>
      <c r="K196">
        <v>4.2</v>
      </c>
      <c r="L196">
        <v>5</v>
      </c>
      <c r="M196" t="s">
        <v>119</v>
      </c>
    </row>
    <row r="197" spans="1:13">
      <c r="A197" t="s">
        <v>437</v>
      </c>
      <c r="B197" t="s">
        <v>252</v>
      </c>
      <c r="C197" t="s">
        <v>72</v>
      </c>
      <c r="D197" t="s">
        <v>130</v>
      </c>
      <c r="E197" t="s">
        <v>35</v>
      </c>
      <c r="F197" t="s">
        <v>83</v>
      </c>
      <c r="G197" t="s">
        <v>19</v>
      </c>
      <c r="H197" t="s">
        <v>29</v>
      </c>
      <c r="I197">
        <v>101355</v>
      </c>
      <c r="J197">
        <v>5</v>
      </c>
      <c r="K197">
        <v>5</v>
      </c>
      <c r="L197">
        <v>3</v>
      </c>
      <c r="M197" t="s">
        <v>30</v>
      </c>
    </row>
    <row r="198" spans="1:13">
      <c r="A198" t="s">
        <v>438</v>
      </c>
      <c r="B198" t="s">
        <v>74</v>
      </c>
      <c r="C198" t="s">
        <v>50</v>
      </c>
      <c r="D198" t="s">
        <v>51</v>
      </c>
      <c r="E198" t="s">
        <v>52</v>
      </c>
      <c r="F198" t="s">
        <v>100</v>
      </c>
      <c r="G198" t="s">
        <v>104</v>
      </c>
      <c r="H198" t="s">
        <v>29</v>
      </c>
      <c r="I198">
        <v>4050</v>
      </c>
      <c r="J198">
        <v>3</v>
      </c>
      <c r="K198">
        <v>4</v>
      </c>
      <c r="L198">
        <v>2</v>
      </c>
      <c r="M198" t="s">
        <v>65</v>
      </c>
    </row>
    <row r="199" spans="1:13">
      <c r="A199" t="s">
        <v>439</v>
      </c>
      <c r="B199" t="s">
        <v>440</v>
      </c>
      <c r="C199" t="s">
        <v>78</v>
      </c>
      <c r="D199" t="s">
        <v>90</v>
      </c>
      <c r="E199" t="s">
        <v>42</v>
      </c>
      <c r="F199" t="s">
        <v>60</v>
      </c>
      <c r="G199" t="s">
        <v>19</v>
      </c>
      <c r="H199" t="s">
        <v>64</v>
      </c>
      <c r="I199">
        <v>5900</v>
      </c>
      <c r="J199">
        <v>1</v>
      </c>
      <c r="K199">
        <v>4.5</v>
      </c>
      <c r="L199">
        <v>2</v>
      </c>
      <c r="M199" t="s">
        <v>126</v>
      </c>
    </row>
    <row r="200" spans="1:13">
      <c r="A200" t="s">
        <v>441</v>
      </c>
      <c r="B200" t="s">
        <v>398</v>
      </c>
      <c r="C200" t="s">
        <v>170</v>
      </c>
      <c r="D200" t="s">
        <v>51</v>
      </c>
      <c r="E200" t="s">
        <v>52</v>
      </c>
      <c r="F200" t="s">
        <v>27</v>
      </c>
      <c r="G200" t="s">
        <v>54</v>
      </c>
      <c r="H200" t="s">
        <v>36</v>
      </c>
      <c r="I200">
        <v>9798</v>
      </c>
      <c r="J200">
        <v>6</v>
      </c>
      <c r="K200">
        <v>4.2</v>
      </c>
      <c r="L200">
        <v>8</v>
      </c>
      <c r="M200" t="s">
        <v>21</v>
      </c>
    </row>
    <row r="201" spans="1:13">
      <c r="A201" t="s">
        <v>442</v>
      </c>
      <c r="B201" t="s">
        <v>296</v>
      </c>
      <c r="C201" t="s">
        <v>40</v>
      </c>
      <c r="D201" t="s">
        <v>116</v>
      </c>
      <c r="E201" t="s">
        <v>17</v>
      </c>
      <c r="F201" t="s">
        <v>83</v>
      </c>
      <c r="G201" t="s">
        <v>104</v>
      </c>
      <c r="H201" t="s">
        <v>36</v>
      </c>
      <c r="I201">
        <v>1246</v>
      </c>
      <c r="J201">
        <v>2</v>
      </c>
      <c r="K201">
        <v>3.6</v>
      </c>
      <c r="L201">
        <v>3</v>
      </c>
      <c r="M201" t="s">
        <v>144</v>
      </c>
    </row>
    <row r="202" spans="1:13">
      <c r="A202" t="s">
        <v>443</v>
      </c>
      <c r="B202" t="s">
        <v>444</v>
      </c>
      <c r="C202" t="s">
        <v>133</v>
      </c>
      <c r="D202" t="s">
        <v>130</v>
      </c>
      <c r="E202" t="s">
        <v>35</v>
      </c>
      <c r="F202" t="s">
        <v>27</v>
      </c>
      <c r="G202" t="s">
        <v>54</v>
      </c>
      <c r="H202" t="s">
        <v>36</v>
      </c>
      <c r="I202">
        <v>55722</v>
      </c>
      <c r="J202">
        <v>6</v>
      </c>
      <c r="K202">
        <v>3.7</v>
      </c>
      <c r="L202">
        <v>4</v>
      </c>
      <c r="M202" t="s">
        <v>87</v>
      </c>
    </row>
    <row r="203" spans="1:13">
      <c r="A203" t="s">
        <v>445</v>
      </c>
      <c r="B203" t="s">
        <v>446</v>
      </c>
      <c r="C203" t="s">
        <v>68</v>
      </c>
      <c r="D203" t="s">
        <v>86</v>
      </c>
      <c r="E203" t="s">
        <v>17</v>
      </c>
      <c r="F203" t="s">
        <v>60</v>
      </c>
      <c r="G203" t="s">
        <v>19</v>
      </c>
      <c r="H203" t="s">
        <v>64</v>
      </c>
      <c r="I203">
        <v>1142</v>
      </c>
      <c r="J203">
        <v>2</v>
      </c>
      <c r="K203">
        <v>3.2</v>
      </c>
      <c r="L203">
        <v>6</v>
      </c>
      <c r="M203" t="s">
        <v>65</v>
      </c>
    </row>
    <row r="204" spans="1:13">
      <c r="A204" t="s">
        <v>447</v>
      </c>
      <c r="B204" t="s">
        <v>352</v>
      </c>
      <c r="C204" t="s">
        <v>50</v>
      </c>
      <c r="D204" t="s">
        <v>86</v>
      </c>
      <c r="E204" t="s">
        <v>17</v>
      </c>
      <c r="F204" t="s">
        <v>83</v>
      </c>
      <c r="G204" t="s">
        <v>19</v>
      </c>
      <c r="H204" t="s">
        <v>36</v>
      </c>
      <c r="I204">
        <v>3592</v>
      </c>
      <c r="J204">
        <v>2</v>
      </c>
      <c r="K204">
        <v>4.8</v>
      </c>
      <c r="L204">
        <v>3</v>
      </c>
      <c r="M204" t="s">
        <v>55</v>
      </c>
    </row>
    <row r="205" spans="1:13">
      <c r="A205" t="s">
        <v>448</v>
      </c>
      <c r="B205" t="s">
        <v>233</v>
      </c>
      <c r="C205" t="s">
        <v>179</v>
      </c>
      <c r="D205" t="s">
        <v>25</v>
      </c>
      <c r="E205" t="s">
        <v>26</v>
      </c>
      <c r="F205" t="s">
        <v>18</v>
      </c>
      <c r="G205" t="s">
        <v>54</v>
      </c>
      <c r="H205" t="s">
        <v>20</v>
      </c>
      <c r="I205">
        <v>9840</v>
      </c>
      <c r="J205">
        <v>3</v>
      </c>
      <c r="K205">
        <v>4.9000000000000004</v>
      </c>
      <c r="L205">
        <v>8</v>
      </c>
      <c r="M205" t="s">
        <v>192</v>
      </c>
    </row>
    <row r="206" spans="1:13">
      <c r="A206" t="s">
        <v>449</v>
      </c>
      <c r="B206" t="s">
        <v>450</v>
      </c>
      <c r="C206" t="s">
        <v>15</v>
      </c>
      <c r="D206" t="s">
        <v>116</v>
      </c>
      <c r="E206" t="s">
        <v>17</v>
      </c>
      <c r="F206" t="s">
        <v>27</v>
      </c>
      <c r="G206" t="s">
        <v>104</v>
      </c>
      <c r="H206" t="s">
        <v>20</v>
      </c>
      <c r="I206">
        <v>6608</v>
      </c>
      <c r="J206">
        <v>7</v>
      </c>
      <c r="K206">
        <v>3.4</v>
      </c>
      <c r="L206">
        <v>5</v>
      </c>
      <c r="M206" t="s">
        <v>126</v>
      </c>
    </row>
    <row r="207" spans="1:13">
      <c r="A207" t="s">
        <v>451</v>
      </c>
      <c r="B207" t="s">
        <v>452</v>
      </c>
      <c r="C207" t="s">
        <v>45</v>
      </c>
      <c r="D207" t="s">
        <v>79</v>
      </c>
      <c r="E207" t="s">
        <v>26</v>
      </c>
      <c r="F207" t="s">
        <v>18</v>
      </c>
      <c r="G207" t="s">
        <v>54</v>
      </c>
      <c r="H207" t="s">
        <v>29</v>
      </c>
      <c r="I207">
        <v>35610</v>
      </c>
      <c r="J207">
        <v>5</v>
      </c>
      <c r="K207">
        <v>3.4</v>
      </c>
      <c r="L207">
        <v>8</v>
      </c>
      <c r="M207" t="s">
        <v>55</v>
      </c>
    </row>
    <row r="208" spans="1:13">
      <c r="A208" t="s">
        <v>453</v>
      </c>
      <c r="B208" t="s">
        <v>454</v>
      </c>
      <c r="C208" t="s">
        <v>15</v>
      </c>
      <c r="D208" t="s">
        <v>34</v>
      </c>
      <c r="E208" t="s">
        <v>35</v>
      </c>
      <c r="F208" t="s">
        <v>53</v>
      </c>
      <c r="G208" t="s">
        <v>19</v>
      </c>
      <c r="H208" t="s">
        <v>36</v>
      </c>
      <c r="I208">
        <v>176015</v>
      </c>
      <c r="J208">
        <v>7</v>
      </c>
      <c r="K208">
        <v>3.2</v>
      </c>
      <c r="L208">
        <v>2</v>
      </c>
      <c r="M208" t="s">
        <v>55</v>
      </c>
    </row>
    <row r="209" spans="1:13">
      <c r="A209" t="s">
        <v>455</v>
      </c>
      <c r="B209" t="s">
        <v>456</v>
      </c>
      <c r="C209" t="s">
        <v>103</v>
      </c>
      <c r="D209" t="s">
        <v>116</v>
      </c>
      <c r="E209" t="s">
        <v>17</v>
      </c>
      <c r="F209" t="s">
        <v>18</v>
      </c>
      <c r="G209" t="s">
        <v>104</v>
      </c>
      <c r="H209" t="s">
        <v>36</v>
      </c>
      <c r="I209">
        <v>7935</v>
      </c>
      <c r="J209">
        <v>5</v>
      </c>
      <c r="K209">
        <v>3.3</v>
      </c>
      <c r="L209">
        <v>3</v>
      </c>
      <c r="M209" t="s">
        <v>65</v>
      </c>
    </row>
    <row r="210" spans="1:13">
      <c r="A210" t="s">
        <v>457</v>
      </c>
      <c r="B210" t="s">
        <v>458</v>
      </c>
      <c r="C210" t="s">
        <v>133</v>
      </c>
      <c r="D210" t="s">
        <v>79</v>
      </c>
      <c r="E210" t="s">
        <v>26</v>
      </c>
      <c r="F210" t="s">
        <v>18</v>
      </c>
      <c r="G210" t="s">
        <v>28</v>
      </c>
      <c r="H210" t="s">
        <v>36</v>
      </c>
      <c r="I210">
        <v>28254</v>
      </c>
      <c r="J210">
        <v>6</v>
      </c>
      <c r="K210">
        <v>3.3</v>
      </c>
      <c r="L210">
        <v>2</v>
      </c>
      <c r="M210" t="s">
        <v>80</v>
      </c>
    </row>
    <row r="211" spans="1:13">
      <c r="A211" t="s">
        <v>459</v>
      </c>
      <c r="B211" t="s">
        <v>460</v>
      </c>
      <c r="C211" t="s">
        <v>24</v>
      </c>
      <c r="D211" t="s">
        <v>34</v>
      </c>
      <c r="E211" t="s">
        <v>35</v>
      </c>
      <c r="F211" t="s">
        <v>53</v>
      </c>
      <c r="G211" t="s">
        <v>19</v>
      </c>
      <c r="H211" t="s">
        <v>29</v>
      </c>
      <c r="I211">
        <v>3987</v>
      </c>
      <c r="J211">
        <v>1</v>
      </c>
      <c r="K211">
        <v>4.9000000000000004</v>
      </c>
      <c r="L211">
        <v>5</v>
      </c>
      <c r="M211" t="s">
        <v>80</v>
      </c>
    </row>
    <row r="212" spans="1:13">
      <c r="A212" t="s">
        <v>461</v>
      </c>
      <c r="B212" t="s">
        <v>462</v>
      </c>
      <c r="C212" t="s">
        <v>146</v>
      </c>
      <c r="D212" t="s">
        <v>16</v>
      </c>
      <c r="E212" t="s">
        <v>17</v>
      </c>
      <c r="F212" t="s">
        <v>100</v>
      </c>
      <c r="G212" t="s">
        <v>104</v>
      </c>
      <c r="H212" t="s">
        <v>36</v>
      </c>
      <c r="I212">
        <v>5999</v>
      </c>
      <c r="J212">
        <v>7</v>
      </c>
      <c r="K212">
        <v>4.3</v>
      </c>
      <c r="L212">
        <v>8</v>
      </c>
      <c r="M212" t="s">
        <v>126</v>
      </c>
    </row>
    <row r="213" spans="1:13">
      <c r="A213" t="s">
        <v>463</v>
      </c>
      <c r="B213" t="s">
        <v>334</v>
      </c>
      <c r="C213" t="s">
        <v>33</v>
      </c>
      <c r="D213" t="s">
        <v>159</v>
      </c>
      <c r="E213" t="s">
        <v>42</v>
      </c>
      <c r="F213" t="s">
        <v>18</v>
      </c>
      <c r="G213" t="s">
        <v>19</v>
      </c>
      <c r="H213" t="s">
        <v>36</v>
      </c>
      <c r="I213">
        <v>4932</v>
      </c>
      <c r="J213">
        <v>3</v>
      </c>
      <c r="K213">
        <v>4.5</v>
      </c>
      <c r="L213">
        <v>1</v>
      </c>
      <c r="M213" t="s">
        <v>55</v>
      </c>
    </row>
    <row r="214" spans="1:13">
      <c r="A214" t="s">
        <v>464</v>
      </c>
      <c r="B214" t="s">
        <v>352</v>
      </c>
      <c r="C214" t="s">
        <v>170</v>
      </c>
      <c r="D214" t="s">
        <v>46</v>
      </c>
      <c r="E214" t="s">
        <v>42</v>
      </c>
      <c r="F214" t="s">
        <v>53</v>
      </c>
      <c r="G214" t="s">
        <v>54</v>
      </c>
      <c r="H214" t="s">
        <v>29</v>
      </c>
      <c r="I214">
        <v>12405</v>
      </c>
      <c r="J214">
        <v>3</v>
      </c>
      <c r="K214">
        <v>3.8</v>
      </c>
      <c r="L214">
        <v>7</v>
      </c>
      <c r="M214" t="s">
        <v>55</v>
      </c>
    </row>
    <row r="215" spans="1:13">
      <c r="A215" t="s">
        <v>465</v>
      </c>
      <c r="B215" t="s">
        <v>393</v>
      </c>
      <c r="C215" t="s">
        <v>170</v>
      </c>
      <c r="D215" t="s">
        <v>16</v>
      </c>
      <c r="E215" t="s">
        <v>17</v>
      </c>
      <c r="F215" t="s">
        <v>18</v>
      </c>
      <c r="G215" t="s">
        <v>28</v>
      </c>
      <c r="H215" t="s">
        <v>36</v>
      </c>
      <c r="I215">
        <v>5424</v>
      </c>
      <c r="J215">
        <v>4</v>
      </c>
      <c r="K215">
        <v>4.8</v>
      </c>
      <c r="L215">
        <v>5</v>
      </c>
      <c r="M215" t="s">
        <v>37</v>
      </c>
    </row>
    <row r="216" spans="1:13">
      <c r="A216" t="s">
        <v>466</v>
      </c>
      <c r="B216" t="s">
        <v>402</v>
      </c>
      <c r="C216" t="s">
        <v>78</v>
      </c>
      <c r="D216" t="s">
        <v>34</v>
      </c>
      <c r="E216" t="s">
        <v>35</v>
      </c>
      <c r="F216" t="s">
        <v>83</v>
      </c>
      <c r="G216" t="s">
        <v>19</v>
      </c>
      <c r="H216" t="s">
        <v>36</v>
      </c>
      <c r="I216">
        <v>316535</v>
      </c>
      <c r="J216">
        <v>5</v>
      </c>
      <c r="K216">
        <v>4.9000000000000004</v>
      </c>
      <c r="L216">
        <v>4</v>
      </c>
      <c r="M216" t="s">
        <v>21</v>
      </c>
    </row>
    <row r="217" spans="1:13">
      <c r="A217" t="s">
        <v>467</v>
      </c>
      <c r="B217" t="s">
        <v>468</v>
      </c>
      <c r="C217" t="s">
        <v>68</v>
      </c>
      <c r="D217" t="s">
        <v>41</v>
      </c>
      <c r="E217" t="s">
        <v>42</v>
      </c>
      <c r="F217" t="s">
        <v>83</v>
      </c>
      <c r="G217" t="s">
        <v>19</v>
      </c>
      <c r="H217" t="s">
        <v>64</v>
      </c>
      <c r="I217">
        <v>4266</v>
      </c>
      <c r="J217">
        <v>6</v>
      </c>
      <c r="K217">
        <v>3.9</v>
      </c>
      <c r="L217">
        <v>5</v>
      </c>
      <c r="M217" t="s">
        <v>37</v>
      </c>
    </row>
    <row r="218" spans="1:13">
      <c r="A218" t="s">
        <v>469</v>
      </c>
      <c r="B218" t="s">
        <v>470</v>
      </c>
      <c r="C218" t="s">
        <v>146</v>
      </c>
      <c r="D218" t="s">
        <v>41</v>
      </c>
      <c r="E218" t="s">
        <v>42</v>
      </c>
      <c r="F218" t="s">
        <v>27</v>
      </c>
      <c r="G218" t="s">
        <v>54</v>
      </c>
      <c r="H218" t="s">
        <v>36</v>
      </c>
      <c r="I218">
        <v>24785</v>
      </c>
      <c r="J218">
        <v>5</v>
      </c>
      <c r="K218">
        <v>4.5</v>
      </c>
      <c r="L218">
        <v>6</v>
      </c>
      <c r="M218" t="s">
        <v>80</v>
      </c>
    </row>
    <row r="219" spans="1:13">
      <c r="A219" t="s">
        <v>471</v>
      </c>
      <c r="B219" t="s">
        <v>472</v>
      </c>
      <c r="C219" t="s">
        <v>50</v>
      </c>
      <c r="D219" t="s">
        <v>79</v>
      </c>
      <c r="E219" t="s">
        <v>26</v>
      </c>
      <c r="F219" t="s">
        <v>27</v>
      </c>
      <c r="G219" t="s">
        <v>104</v>
      </c>
      <c r="H219" t="s">
        <v>29</v>
      </c>
      <c r="I219">
        <v>32753</v>
      </c>
      <c r="J219">
        <v>7</v>
      </c>
      <c r="K219">
        <v>3.7</v>
      </c>
      <c r="L219">
        <v>6</v>
      </c>
      <c r="M219" t="s">
        <v>192</v>
      </c>
    </row>
    <row r="220" spans="1:13">
      <c r="A220" t="s">
        <v>473</v>
      </c>
      <c r="B220" t="s">
        <v>468</v>
      </c>
      <c r="C220" t="s">
        <v>146</v>
      </c>
      <c r="D220" t="s">
        <v>46</v>
      </c>
      <c r="E220" t="s">
        <v>42</v>
      </c>
      <c r="F220" t="s">
        <v>53</v>
      </c>
      <c r="G220" t="s">
        <v>28</v>
      </c>
      <c r="H220" t="s">
        <v>36</v>
      </c>
      <c r="I220">
        <v>3184</v>
      </c>
      <c r="J220">
        <v>2</v>
      </c>
      <c r="K220">
        <v>3.4</v>
      </c>
      <c r="L220">
        <v>8</v>
      </c>
      <c r="M220" t="s">
        <v>37</v>
      </c>
    </row>
    <row r="221" spans="1:13">
      <c r="A221" t="s">
        <v>474</v>
      </c>
      <c r="B221" t="s">
        <v>475</v>
      </c>
      <c r="C221" t="s">
        <v>45</v>
      </c>
      <c r="D221" t="s">
        <v>59</v>
      </c>
      <c r="E221" t="s">
        <v>26</v>
      </c>
      <c r="F221" t="s">
        <v>18</v>
      </c>
      <c r="G221" t="s">
        <v>19</v>
      </c>
      <c r="H221" t="s">
        <v>29</v>
      </c>
      <c r="I221">
        <v>18248</v>
      </c>
      <c r="J221">
        <v>8</v>
      </c>
      <c r="K221">
        <v>3.5</v>
      </c>
      <c r="L221">
        <v>5</v>
      </c>
      <c r="M221" t="s">
        <v>37</v>
      </c>
    </row>
    <row r="222" spans="1:13">
      <c r="A222" t="s">
        <v>476</v>
      </c>
      <c r="B222" t="s">
        <v>477</v>
      </c>
      <c r="C222" t="s">
        <v>15</v>
      </c>
      <c r="D222" t="s">
        <v>147</v>
      </c>
      <c r="E222" t="s">
        <v>52</v>
      </c>
      <c r="F222" t="s">
        <v>60</v>
      </c>
      <c r="G222" t="s">
        <v>28</v>
      </c>
      <c r="H222" t="s">
        <v>20</v>
      </c>
      <c r="I222">
        <v>7492</v>
      </c>
      <c r="J222">
        <v>4</v>
      </c>
      <c r="K222">
        <v>3.7</v>
      </c>
      <c r="L222">
        <v>3</v>
      </c>
      <c r="M222" t="s">
        <v>119</v>
      </c>
    </row>
    <row r="223" spans="1:13">
      <c r="A223" t="s">
        <v>478</v>
      </c>
      <c r="B223" t="s">
        <v>183</v>
      </c>
      <c r="C223" t="s">
        <v>129</v>
      </c>
      <c r="D223" t="s">
        <v>116</v>
      </c>
      <c r="E223" t="s">
        <v>17</v>
      </c>
      <c r="F223" t="s">
        <v>27</v>
      </c>
      <c r="G223" t="s">
        <v>54</v>
      </c>
      <c r="H223" t="s">
        <v>29</v>
      </c>
      <c r="I223">
        <v>1644</v>
      </c>
      <c r="J223">
        <v>3</v>
      </c>
      <c r="K223">
        <v>3.6</v>
      </c>
      <c r="L223">
        <v>7</v>
      </c>
      <c r="M223" t="s">
        <v>87</v>
      </c>
    </row>
    <row r="224" spans="1:13">
      <c r="A224" t="s">
        <v>479</v>
      </c>
      <c r="B224" t="s">
        <v>480</v>
      </c>
      <c r="C224" t="s">
        <v>33</v>
      </c>
      <c r="D224" t="s">
        <v>16</v>
      </c>
      <c r="E224" t="s">
        <v>17</v>
      </c>
      <c r="F224" t="s">
        <v>83</v>
      </c>
      <c r="G224" t="s">
        <v>28</v>
      </c>
      <c r="H224" t="s">
        <v>64</v>
      </c>
      <c r="I224">
        <v>6488</v>
      </c>
      <c r="J224">
        <v>4</v>
      </c>
      <c r="K224">
        <v>3.4</v>
      </c>
      <c r="L224">
        <v>8</v>
      </c>
      <c r="M224" t="s">
        <v>87</v>
      </c>
    </row>
    <row r="225" spans="1:13">
      <c r="A225" t="s">
        <v>481</v>
      </c>
      <c r="B225" t="s">
        <v>482</v>
      </c>
      <c r="C225" t="s">
        <v>33</v>
      </c>
      <c r="D225" t="s">
        <v>41</v>
      </c>
      <c r="E225" t="s">
        <v>42</v>
      </c>
      <c r="F225" t="s">
        <v>100</v>
      </c>
      <c r="G225" t="s">
        <v>19</v>
      </c>
      <c r="H225" t="s">
        <v>29</v>
      </c>
      <c r="I225">
        <v>15631</v>
      </c>
      <c r="J225">
        <v>7</v>
      </c>
      <c r="K225">
        <v>3.7</v>
      </c>
      <c r="L225">
        <v>3</v>
      </c>
      <c r="M225" t="s">
        <v>55</v>
      </c>
    </row>
    <row r="226" spans="1:13">
      <c r="A226" t="s">
        <v>483</v>
      </c>
      <c r="B226" t="s">
        <v>344</v>
      </c>
      <c r="C226" t="s">
        <v>78</v>
      </c>
      <c r="D226" t="s">
        <v>90</v>
      </c>
      <c r="E226" t="s">
        <v>42</v>
      </c>
      <c r="F226" t="s">
        <v>18</v>
      </c>
      <c r="G226" t="s">
        <v>28</v>
      </c>
      <c r="H226" t="s">
        <v>29</v>
      </c>
      <c r="I226">
        <v>30696</v>
      </c>
      <c r="J226">
        <v>8</v>
      </c>
      <c r="K226">
        <v>4</v>
      </c>
      <c r="L226">
        <v>4</v>
      </c>
      <c r="M226" t="s">
        <v>30</v>
      </c>
    </row>
    <row r="227" spans="1:13">
      <c r="A227" t="s">
        <v>484</v>
      </c>
      <c r="B227" t="s">
        <v>485</v>
      </c>
      <c r="C227" t="s">
        <v>103</v>
      </c>
      <c r="D227" t="s">
        <v>90</v>
      </c>
      <c r="E227" t="s">
        <v>42</v>
      </c>
      <c r="F227" t="s">
        <v>18</v>
      </c>
      <c r="G227" t="s">
        <v>28</v>
      </c>
      <c r="H227" t="s">
        <v>29</v>
      </c>
      <c r="I227">
        <v>5478</v>
      </c>
      <c r="J227">
        <v>6</v>
      </c>
      <c r="K227">
        <v>4.3</v>
      </c>
      <c r="L227">
        <v>1</v>
      </c>
      <c r="M227" t="s">
        <v>126</v>
      </c>
    </row>
    <row r="228" spans="1:13">
      <c r="A228" t="s">
        <v>486</v>
      </c>
      <c r="B228" t="s">
        <v>487</v>
      </c>
      <c r="C228" t="s">
        <v>58</v>
      </c>
      <c r="D228" t="s">
        <v>79</v>
      </c>
      <c r="E228" t="s">
        <v>26</v>
      </c>
      <c r="F228" t="s">
        <v>60</v>
      </c>
      <c r="G228" t="s">
        <v>104</v>
      </c>
      <c r="H228" t="s">
        <v>20</v>
      </c>
      <c r="I228">
        <v>3432</v>
      </c>
      <c r="J228">
        <v>2</v>
      </c>
      <c r="K228">
        <v>4.5999999999999996</v>
      </c>
      <c r="L228">
        <v>4</v>
      </c>
      <c r="M228" t="s">
        <v>80</v>
      </c>
    </row>
    <row r="229" spans="1:13">
      <c r="A229" t="s">
        <v>488</v>
      </c>
      <c r="B229" t="s">
        <v>489</v>
      </c>
      <c r="C229" t="s">
        <v>58</v>
      </c>
      <c r="D229" t="s">
        <v>63</v>
      </c>
      <c r="E229" t="s">
        <v>52</v>
      </c>
      <c r="F229" t="s">
        <v>83</v>
      </c>
      <c r="G229" t="s">
        <v>28</v>
      </c>
      <c r="H229" t="s">
        <v>29</v>
      </c>
      <c r="I229">
        <v>10314</v>
      </c>
      <c r="J229">
        <v>6</v>
      </c>
      <c r="K229">
        <v>4.9000000000000004</v>
      </c>
      <c r="L229">
        <v>3</v>
      </c>
      <c r="M229" t="s">
        <v>30</v>
      </c>
    </row>
    <row r="230" spans="1:13">
      <c r="A230" t="s">
        <v>490</v>
      </c>
      <c r="B230" t="s">
        <v>491</v>
      </c>
      <c r="C230" t="s">
        <v>170</v>
      </c>
      <c r="D230" t="s">
        <v>51</v>
      </c>
      <c r="E230" t="s">
        <v>52</v>
      </c>
      <c r="F230" t="s">
        <v>100</v>
      </c>
      <c r="G230" t="s">
        <v>19</v>
      </c>
      <c r="H230" t="s">
        <v>20</v>
      </c>
      <c r="I230">
        <v>2404</v>
      </c>
      <c r="J230">
        <v>2</v>
      </c>
      <c r="K230">
        <v>4.0999999999999996</v>
      </c>
      <c r="L230">
        <v>1</v>
      </c>
      <c r="M230" t="s">
        <v>144</v>
      </c>
    </row>
    <row r="231" spans="1:13">
      <c r="A231" t="s">
        <v>492</v>
      </c>
      <c r="B231" t="s">
        <v>493</v>
      </c>
      <c r="C231" t="s">
        <v>75</v>
      </c>
      <c r="D231" t="s">
        <v>34</v>
      </c>
      <c r="E231" t="s">
        <v>35</v>
      </c>
      <c r="F231" t="s">
        <v>53</v>
      </c>
      <c r="G231" t="s">
        <v>28</v>
      </c>
      <c r="H231" t="s">
        <v>36</v>
      </c>
      <c r="I231">
        <v>79388</v>
      </c>
      <c r="J231">
        <v>1</v>
      </c>
      <c r="K231">
        <v>4.7</v>
      </c>
      <c r="L231">
        <v>6</v>
      </c>
      <c r="M231" t="s">
        <v>126</v>
      </c>
    </row>
    <row r="232" spans="1:13">
      <c r="A232" t="s">
        <v>494</v>
      </c>
      <c r="B232" t="s">
        <v>493</v>
      </c>
      <c r="C232" t="s">
        <v>122</v>
      </c>
      <c r="D232" t="s">
        <v>130</v>
      </c>
      <c r="E232" t="s">
        <v>35</v>
      </c>
      <c r="F232" t="s">
        <v>27</v>
      </c>
      <c r="G232" t="s">
        <v>19</v>
      </c>
      <c r="H232" t="s">
        <v>64</v>
      </c>
      <c r="I232">
        <v>199074</v>
      </c>
      <c r="J232">
        <v>3</v>
      </c>
      <c r="K232">
        <v>4.5</v>
      </c>
      <c r="L232">
        <v>6</v>
      </c>
      <c r="M232" t="s">
        <v>126</v>
      </c>
    </row>
    <row r="233" spans="1:13">
      <c r="A233" t="s">
        <v>495</v>
      </c>
      <c r="B233" t="s">
        <v>77</v>
      </c>
      <c r="C233" t="s">
        <v>45</v>
      </c>
      <c r="D233" t="s">
        <v>130</v>
      </c>
      <c r="E233" t="s">
        <v>35</v>
      </c>
      <c r="F233" t="s">
        <v>83</v>
      </c>
      <c r="G233" t="s">
        <v>54</v>
      </c>
      <c r="H233" t="s">
        <v>64</v>
      </c>
      <c r="I233">
        <v>232746</v>
      </c>
      <c r="J233">
        <v>3</v>
      </c>
      <c r="K233">
        <v>3.3</v>
      </c>
      <c r="L233">
        <v>6</v>
      </c>
      <c r="M233" t="s">
        <v>80</v>
      </c>
    </row>
    <row r="234" spans="1:13">
      <c r="A234" t="s">
        <v>496</v>
      </c>
      <c r="B234" t="s">
        <v>263</v>
      </c>
      <c r="C234" t="s">
        <v>146</v>
      </c>
      <c r="D234" t="s">
        <v>109</v>
      </c>
      <c r="E234" t="s">
        <v>52</v>
      </c>
      <c r="F234" t="s">
        <v>18</v>
      </c>
      <c r="G234" t="s">
        <v>104</v>
      </c>
      <c r="H234" t="s">
        <v>20</v>
      </c>
      <c r="I234">
        <v>6232</v>
      </c>
      <c r="J234">
        <v>4</v>
      </c>
      <c r="K234">
        <v>4.7</v>
      </c>
      <c r="L234">
        <v>6</v>
      </c>
      <c r="M234" t="s">
        <v>87</v>
      </c>
    </row>
    <row r="235" spans="1:13">
      <c r="A235" t="s">
        <v>497</v>
      </c>
      <c r="B235" t="s">
        <v>450</v>
      </c>
      <c r="C235" t="s">
        <v>133</v>
      </c>
      <c r="D235" t="s">
        <v>147</v>
      </c>
      <c r="E235" t="s">
        <v>52</v>
      </c>
      <c r="F235" t="s">
        <v>60</v>
      </c>
      <c r="G235" t="s">
        <v>28</v>
      </c>
      <c r="H235" t="s">
        <v>29</v>
      </c>
      <c r="I235">
        <v>1275</v>
      </c>
      <c r="J235">
        <v>5</v>
      </c>
      <c r="K235">
        <v>4.5</v>
      </c>
      <c r="L235">
        <v>3</v>
      </c>
      <c r="M235" t="s">
        <v>126</v>
      </c>
    </row>
    <row r="236" spans="1:13">
      <c r="A236" t="s">
        <v>498</v>
      </c>
      <c r="B236" t="s">
        <v>181</v>
      </c>
      <c r="C236" t="s">
        <v>40</v>
      </c>
      <c r="D236" t="s">
        <v>69</v>
      </c>
      <c r="E236" t="s">
        <v>26</v>
      </c>
      <c r="F236" t="s">
        <v>18</v>
      </c>
      <c r="G236" t="s">
        <v>104</v>
      </c>
      <c r="H236" t="s">
        <v>29</v>
      </c>
      <c r="I236">
        <v>16056</v>
      </c>
      <c r="J236">
        <v>8</v>
      </c>
      <c r="K236">
        <v>4.5999999999999996</v>
      </c>
      <c r="L236">
        <v>1</v>
      </c>
      <c r="M236" t="s">
        <v>87</v>
      </c>
    </row>
    <row r="237" spans="1:13">
      <c r="A237" t="s">
        <v>499</v>
      </c>
      <c r="B237" t="s">
        <v>420</v>
      </c>
      <c r="C237" t="s">
        <v>15</v>
      </c>
      <c r="D237" t="s">
        <v>16</v>
      </c>
      <c r="E237" t="s">
        <v>17</v>
      </c>
      <c r="F237" t="s">
        <v>60</v>
      </c>
      <c r="G237" t="s">
        <v>19</v>
      </c>
      <c r="H237" t="s">
        <v>64</v>
      </c>
      <c r="I237">
        <v>3204</v>
      </c>
      <c r="J237">
        <v>3</v>
      </c>
      <c r="K237">
        <v>3.8</v>
      </c>
      <c r="L237">
        <v>8</v>
      </c>
      <c r="M237" t="s">
        <v>126</v>
      </c>
    </row>
    <row r="238" spans="1:13">
      <c r="A238" t="s">
        <v>500</v>
      </c>
      <c r="B238" t="s">
        <v>181</v>
      </c>
      <c r="C238" t="s">
        <v>40</v>
      </c>
      <c r="D238" t="s">
        <v>147</v>
      </c>
      <c r="E238" t="s">
        <v>52</v>
      </c>
      <c r="F238" t="s">
        <v>83</v>
      </c>
      <c r="G238" t="s">
        <v>54</v>
      </c>
      <c r="H238" t="s">
        <v>36</v>
      </c>
      <c r="I238">
        <v>6168</v>
      </c>
      <c r="J238">
        <v>6</v>
      </c>
      <c r="K238">
        <v>3.7</v>
      </c>
      <c r="L238">
        <v>5</v>
      </c>
      <c r="M238" t="s">
        <v>87</v>
      </c>
    </row>
    <row r="239" spans="1:13">
      <c r="A239" t="s">
        <v>501</v>
      </c>
      <c r="B239" t="s">
        <v>356</v>
      </c>
      <c r="C239" t="s">
        <v>179</v>
      </c>
      <c r="D239" t="s">
        <v>90</v>
      </c>
      <c r="E239" t="s">
        <v>42</v>
      </c>
      <c r="F239" t="s">
        <v>18</v>
      </c>
      <c r="G239" t="s">
        <v>54</v>
      </c>
      <c r="H239" t="s">
        <v>20</v>
      </c>
      <c r="I239">
        <v>1417</v>
      </c>
      <c r="J239">
        <v>1</v>
      </c>
      <c r="K239">
        <v>4.7</v>
      </c>
      <c r="L239">
        <v>8</v>
      </c>
      <c r="M239" t="s">
        <v>80</v>
      </c>
    </row>
    <row r="240" spans="1:13">
      <c r="A240" t="s">
        <v>502</v>
      </c>
      <c r="B240" t="s">
        <v>503</v>
      </c>
      <c r="C240" t="s">
        <v>75</v>
      </c>
      <c r="D240" t="s">
        <v>109</v>
      </c>
      <c r="E240" t="s">
        <v>52</v>
      </c>
      <c r="F240" t="s">
        <v>27</v>
      </c>
      <c r="G240" t="s">
        <v>28</v>
      </c>
      <c r="H240" t="s">
        <v>20</v>
      </c>
      <c r="I240">
        <v>12104</v>
      </c>
      <c r="J240">
        <v>8</v>
      </c>
      <c r="K240">
        <v>4.8</v>
      </c>
      <c r="L240">
        <v>5</v>
      </c>
      <c r="M240" t="s">
        <v>87</v>
      </c>
    </row>
    <row r="241" spans="1:13">
      <c r="A241" t="s">
        <v>504</v>
      </c>
      <c r="B241" t="s">
        <v>505</v>
      </c>
      <c r="C241" t="s">
        <v>58</v>
      </c>
      <c r="D241" t="s">
        <v>97</v>
      </c>
      <c r="E241" t="s">
        <v>35</v>
      </c>
      <c r="F241" t="s">
        <v>18</v>
      </c>
      <c r="G241" t="s">
        <v>19</v>
      </c>
      <c r="H241" t="s">
        <v>36</v>
      </c>
      <c r="I241">
        <v>111030</v>
      </c>
      <c r="J241">
        <v>3</v>
      </c>
      <c r="K241">
        <v>3.7</v>
      </c>
      <c r="L241">
        <v>5</v>
      </c>
      <c r="M241" t="s">
        <v>55</v>
      </c>
    </row>
    <row r="242" spans="1:13">
      <c r="A242" t="s">
        <v>506</v>
      </c>
      <c r="B242" t="s">
        <v>507</v>
      </c>
      <c r="C242" t="s">
        <v>78</v>
      </c>
      <c r="D242" t="s">
        <v>218</v>
      </c>
      <c r="E242" t="s">
        <v>17</v>
      </c>
      <c r="F242" t="s">
        <v>27</v>
      </c>
      <c r="G242" t="s">
        <v>28</v>
      </c>
      <c r="H242" t="s">
        <v>20</v>
      </c>
      <c r="I242">
        <v>10549</v>
      </c>
      <c r="J242">
        <v>7</v>
      </c>
      <c r="K242">
        <v>4.7</v>
      </c>
      <c r="L242">
        <v>7</v>
      </c>
      <c r="M242" t="s">
        <v>30</v>
      </c>
    </row>
    <row r="243" spans="1:13">
      <c r="A243" t="s">
        <v>508</v>
      </c>
      <c r="B243" t="s">
        <v>290</v>
      </c>
      <c r="C243" t="s">
        <v>68</v>
      </c>
      <c r="D243" t="s">
        <v>46</v>
      </c>
      <c r="E243" t="s">
        <v>42</v>
      </c>
      <c r="F243" t="s">
        <v>60</v>
      </c>
      <c r="G243" t="s">
        <v>19</v>
      </c>
      <c r="H243" t="s">
        <v>20</v>
      </c>
      <c r="I243">
        <v>37653</v>
      </c>
      <c r="J243">
        <v>7</v>
      </c>
      <c r="K243">
        <v>4.5999999999999996</v>
      </c>
      <c r="L243">
        <v>3</v>
      </c>
      <c r="M243" t="s">
        <v>87</v>
      </c>
    </row>
    <row r="244" spans="1:13">
      <c r="A244" t="s">
        <v>509</v>
      </c>
      <c r="B244" t="s">
        <v>510</v>
      </c>
      <c r="C244" t="s">
        <v>170</v>
      </c>
      <c r="D244" t="s">
        <v>63</v>
      </c>
      <c r="E244" t="s">
        <v>52</v>
      </c>
      <c r="F244" t="s">
        <v>27</v>
      </c>
      <c r="G244" t="s">
        <v>54</v>
      </c>
      <c r="H244" t="s">
        <v>36</v>
      </c>
      <c r="I244">
        <v>570</v>
      </c>
      <c r="J244">
        <v>1</v>
      </c>
      <c r="K244">
        <v>3.5</v>
      </c>
      <c r="L244">
        <v>5</v>
      </c>
      <c r="M244" t="s">
        <v>80</v>
      </c>
    </row>
    <row r="245" spans="1:13">
      <c r="A245" t="s">
        <v>511</v>
      </c>
      <c r="B245" t="s">
        <v>39</v>
      </c>
      <c r="C245" t="s">
        <v>68</v>
      </c>
      <c r="D245" t="s">
        <v>90</v>
      </c>
      <c r="E245" t="s">
        <v>42</v>
      </c>
      <c r="F245" t="s">
        <v>60</v>
      </c>
      <c r="G245" t="s">
        <v>19</v>
      </c>
      <c r="H245" t="s">
        <v>20</v>
      </c>
      <c r="I245">
        <v>4806</v>
      </c>
      <c r="J245">
        <v>6</v>
      </c>
      <c r="K245">
        <v>4.3</v>
      </c>
      <c r="L245">
        <v>7</v>
      </c>
      <c r="M245" t="s">
        <v>30</v>
      </c>
    </row>
    <row r="246" spans="1:13">
      <c r="A246" t="s">
        <v>512</v>
      </c>
      <c r="B246" t="s">
        <v>111</v>
      </c>
      <c r="C246" t="s">
        <v>58</v>
      </c>
      <c r="D246" t="s">
        <v>25</v>
      </c>
      <c r="E246" t="s">
        <v>26</v>
      </c>
      <c r="F246" t="s">
        <v>100</v>
      </c>
      <c r="G246" t="s">
        <v>28</v>
      </c>
      <c r="H246" t="s">
        <v>36</v>
      </c>
      <c r="I246">
        <v>10254</v>
      </c>
      <c r="J246">
        <v>2</v>
      </c>
      <c r="K246">
        <v>3.9</v>
      </c>
      <c r="L246">
        <v>8</v>
      </c>
      <c r="M246" t="s">
        <v>87</v>
      </c>
    </row>
    <row r="247" spans="1:13">
      <c r="A247" t="s">
        <v>513</v>
      </c>
      <c r="B247" t="s">
        <v>514</v>
      </c>
      <c r="C247" t="s">
        <v>125</v>
      </c>
      <c r="D247" t="s">
        <v>109</v>
      </c>
      <c r="E247" t="s">
        <v>52</v>
      </c>
      <c r="F247" t="s">
        <v>53</v>
      </c>
      <c r="G247" t="s">
        <v>104</v>
      </c>
      <c r="H247" t="s">
        <v>36</v>
      </c>
      <c r="I247">
        <v>5685</v>
      </c>
      <c r="J247">
        <v>3</v>
      </c>
      <c r="K247">
        <v>4.4000000000000004</v>
      </c>
      <c r="L247">
        <v>1</v>
      </c>
      <c r="M247" t="s">
        <v>55</v>
      </c>
    </row>
    <row r="248" spans="1:13">
      <c r="A248" t="s">
        <v>515</v>
      </c>
      <c r="B248" t="s">
        <v>516</v>
      </c>
      <c r="C248" t="s">
        <v>170</v>
      </c>
      <c r="D248" t="s">
        <v>130</v>
      </c>
      <c r="E248" t="s">
        <v>35</v>
      </c>
      <c r="F248" t="s">
        <v>53</v>
      </c>
      <c r="G248" t="s">
        <v>28</v>
      </c>
      <c r="H248" t="s">
        <v>36</v>
      </c>
      <c r="I248">
        <v>161890</v>
      </c>
      <c r="J248">
        <v>5</v>
      </c>
      <c r="K248">
        <v>5</v>
      </c>
      <c r="L248">
        <v>8</v>
      </c>
      <c r="M248" t="s">
        <v>126</v>
      </c>
    </row>
    <row r="249" spans="1:13">
      <c r="A249" t="s">
        <v>517</v>
      </c>
      <c r="B249" t="s">
        <v>57</v>
      </c>
      <c r="C249" t="s">
        <v>40</v>
      </c>
      <c r="D249" t="s">
        <v>51</v>
      </c>
      <c r="E249" t="s">
        <v>52</v>
      </c>
      <c r="F249" t="s">
        <v>27</v>
      </c>
      <c r="G249" t="s">
        <v>28</v>
      </c>
      <c r="H249" t="s">
        <v>20</v>
      </c>
      <c r="I249">
        <v>16555</v>
      </c>
      <c r="J249">
        <v>7</v>
      </c>
      <c r="K249">
        <v>4.5999999999999996</v>
      </c>
      <c r="L249">
        <v>2</v>
      </c>
      <c r="M249" t="s">
        <v>37</v>
      </c>
    </row>
    <row r="250" spans="1:13">
      <c r="A250" t="s">
        <v>518</v>
      </c>
      <c r="B250" t="s">
        <v>519</v>
      </c>
      <c r="C250" t="s">
        <v>179</v>
      </c>
      <c r="D250" t="s">
        <v>25</v>
      </c>
      <c r="E250" t="s">
        <v>26</v>
      </c>
      <c r="F250" t="s">
        <v>53</v>
      </c>
      <c r="G250" t="s">
        <v>104</v>
      </c>
      <c r="H250" t="s">
        <v>64</v>
      </c>
      <c r="I250">
        <v>33112</v>
      </c>
      <c r="J250">
        <v>4</v>
      </c>
      <c r="K250">
        <v>3.3</v>
      </c>
      <c r="L250">
        <v>6</v>
      </c>
      <c r="M250" t="s">
        <v>80</v>
      </c>
    </row>
    <row r="251" spans="1:13">
      <c r="A251" t="s">
        <v>520</v>
      </c>
      <c r="B251" t="s">
        <v>521</v>
      </c>
      <c r="C251" t="s">
        <v>125</v>
      </c>
      <c r="D251" t="s">
        <v>69</v>
      </c>
      <c r="E251" t="s">
        <v>26</v>
      </c>
      <c r="F251" t="s">
        <v>100</v>
      </c>
      <c r="G251" t="s">
        <v>104</v>
      </c>
      <c r="H251" t="s">
        <v>29</v>
      </c>
      <c r="I251">
        <v>17616</v>
      </c>
      <c r="J251">
        <v>2</v>
      </c>
      <c r="K251">
        <v>4.3</v>
      </c>
      <c r="L251">
        <v>3</v>
      </c>
      <c r="M251" t="s">
        <v>192</v>
      </c>
    </row>
    <row r="252" spans="1:13">
      <c r="A252" t="s">
        <v>522</v>
      </c>
      <c r="B252" t="s">
        <v>523</v>
      </c>
      <c r="C252" t="s">
        <v>122</v>
      </c>
      <c r="D252" t="s">
        <v>109</v>
      </c>
      <c r="E252" t="s">
        <v>52</v>
      </c>
      <c r="F252" t="s">
        <v>27</v>
      </c>
      <c r="G252" t="s">
        <v>19</v>
      </c>
      <c r="H252" t="s">
        <v>20</v>
      </c>
      <c r="I252">
        <v>724</v>
      </c>
      <c r="J252">
        <v>2</v>
      </c>
      <c r="K252">
        <v>4.7</v>
      </c>
      <c r="L252">
        <v>4</v>
      </c>
      <c r="M252" t="s">
        <v>119</v>
      </c>
    </row>
    <row r="253" spans="1:13">
      <c r="A253" t="s">
        <v>524</v>
      </c>
      <c r="B253" t="s">
        <v>525</v>
      </c>
      <c r="C253" t="s">
        <v>122</v>
      </c>
      <c r="D253" t="s">
        <v>97</v>
      </c>
      <c r="E253" t="s">
        <v>35</v>
      </c>
      <c r="F253" t="s">
        <v>53</v>
      </c>
      <c r="G253" t="s">
        <v>104</v>
      </c>
      <c r="H253" t="s">
        <v>29</v>
      </c>
      <c r="I253">
        <v>64640</v>
      </c>
      <c r="J253">
        <v>1</v>
      </c>
      <c r="K253">
        <v>3.5</v>
      </c>
      <c r="L253">
        <v>1</v>
      </c>
      <c r="M253" t="s">
        <v>65</v>
      </c>
    </row>
    <row r="254" spans="1:13">
      <c r="A254" t="s">
        <v>526</v>
      </c>
      <c r="B254" t="s">
        <v>527</v>
      </c>
      <c r="C254" t="s">
        <v>58</v>
      </c>
      <c r="D254" t="s">
        <v>90</v>
      </c>
      <c r="E254" t="s">
        <v>42</v>
      </c>
      <c r="F254" t="s">
        <v>18</v>
      </c>
      <c r="G254" t="s">
        <v>54</v>
      </c>
      <c r="H254" t="s">
        <v>29</v>
      </c>
      <c r="I254">
        <v>25400</v>
      </c>
      <c r="J254">
        <v>8</v>
      </c>
      <c r="K254">
        <v>4.0999999999999996</v>
      </c>
      <c r="L254">
        <v>7</v>
      </c>
      <c r="M254" t="s">
        <v>126</v>
      </c>
    </row>
    <row r="255" spans="1:13">
      <c r="A255" t="s">
        <v>528</v>
      </c>
      <c r="B255" t="s">
        <v>187</v>
      </c>
      <c r="C255" t="s">
        <v>103</v>
      </c>
      <c r="D255" t="s">
        <v>59</v>
      </c>
      <c r="E255" t="s">
        <v>26</v>
      </c>
      <c r="F255" t="s">
        <v>27</v>
      </c>
      <c r="G255" t="s">
        <v>104</v>
      </c>
      <c r="H255" t="s">
        <v>20</v>
      </c>
      <c r="I255">
        <v>22590</v>
      </c>
      <c r="J255">
        <v>2</v>
      </c>
      <c r="K255">
        <v>3.8</v>
      </c>
      <c r="L255">
        <v>5</v>
      </c>
      <c r="M255" t="s">
        <v>126</v>
      </c>
    </row>
    <row r="256" spans="1:13">
      <c r="A256" t="s">
        <v>529</v>
      </c>
      <c r="B256" t="s">
        <v>530</v>
      </c>
      <c r="C256" t="s">
        <v>103</v>
      </c>
      <c r="D256" t="s">
        <v>63</v>
      </c>
      <c r="E256" t="s">
        <v>52</v>
      </c>
      <c r="F256" t="s">
        <v>60</v>
      </c>
      <c r="G256" t="s">
        <v>28</v>
      </c>
      <c r="H256" t="s">
        <v>64</v>
      </c>
      <c r="I256">
        <v>10913</v>
      </c>
      <c r="J256">
        <v>7</v>
      </c>
      <c r="K256">
        <v>4.0999999999999996</v>
      </c>
      <c r="L256">
        <v>5</v>
      </c>
      <c r="M256" t="s">
        <v>144</v>
      </c>
    </row>
    <row r="257" spans="1:13">
      <c r="A257" t="s">
        <v>531</v>
      </c>
      <c r="B257" t="s">
        <v>420</v>
      </c>
      <c r="C257" t="s">
        <v>78</v>
      </c>
      <c r="D257" t="s">
        <v>86</v>
      </c>
      <c r="E257" t="s">
        <v>17</v>
      </c>
      <c r="F257" t="s">
        <v>83</v>
      </c>
      <c r="G257" t="s">
        <v>104</v>
      </c>
      <c r="H257" t="s">
        <v>36</v>
      </c>
      <c r="I257">
        <v>6820</v>
      </c>
      <c r="J257">
        <v>4</v>
      </c>
      <c r="K257">
        <v>3.7</v>
      </c>
      <c r="L257">
        <v>3</v>
      </c>
      <c r="M257" t="s">
        <v>126</v>
      </c>
    </row>
    <row r="258" spans="1:13">
      <c r="A258" t="s">
        <v>532</v>
      </c>
      <c r="B258" t="s">
        <v>533</v>
      </c>
      <c r="C258" t="s">
        <v>133</v>
      </c>
      <c r="D258" t="s">
        <v>159</v>
      </c>
      <c r="E258" t="s">
        <v>42</v>
      </c>
      <c r="F258" t="s">
        <v>53</v>
      </c>
      <c r="G258" t="s">
        <v>104</v>
      </c>
      <c r="H258" t="s">
        <v>29</v>
      </c>
      <c r="I258">
        <v>7560</v>
      </c>
      <c r="J258">
        <v>3</v>
      </c>
      <c r="K258">
        <v>3.6</v>
      </c>
      <c r="L258">
        <v>5</v>
      </c>
      <c r="M258" t="s">
        <v>21</v>
      </c>
    </row>
    <row r="259" spans="1:13">
      <c r="A259" t="s">
        <v>534</v>
      </c>
      <c r="B259" t="s">
        <v>172</v>
      </c>
      <c r="C259" t="s">
        <v>112</v>
      </c>
      <c r="D259" t="s">
        <v>59</v>
      </c>
      <c r="E259" t="s">
        <v>26</v>
      </c>
      <c r="F259" t="s">
        <v>18</v>
      </c>
      <c r="G259" t="s">
        <v>28</v>
      </c>
      <c r="H259" t="s">
        <v>29</v>
      </c>
      <c r="I259">
        <v>21936</v>
      </c>
      <c r="J259">
        <v>2</v>
      </c>
      <c r="K259">
        <v>3.3</v>
      </c>
      <c r="L259">
        <v>4</v>
      </c>
      <c r="M259" t="s">
        <v>47</v>
      </c>
    </row>
    <row r="260" spans="1:13">
      <c r="A260" t="s">
        <v>535</v>
      </c>
      <c r="B260" t="s">
        <v>536</v>
      </c>
      <c r="C260" t="s">
        <v>75</v>
      </c>
      <c r="D260" t="s">
        <v>41</v>
      </c>
      <c r="E260" t="s">
        <v>42</v>
      </c>
      <c r="F260" t="s">
        <v>60</v>
      </c>
      <c r="G260" t="s">
        <v>104</v>
      </c>
      <c r="H260" t="s">
        <v>20</v>
      </c>
      <c r="I260">
        <v>16092</v>
      </c>
      <c r="J260">
        <v>3</v>
      </c>
      <c r="K260">
        <v>3.5</v>
      </c>
      <c r="L260">
        <v>3</v>
      </c>
      <c r="M260" t="s">
        <v>80</v>
      </c>
    </row>
    <row r="261" spans="1:13">
      <c r="A261" t="s">
        <v>537</v>
      </c>
      <c r="B261" t="s">
        <v>538</v>
      </c>
      <c r="C261" t="s">
        <v>72</v>
      </c>
      <c r="D261" t="s">
        <v>113</v>
      </c>
      <c r="E261" t="s">
        <v>35</v>
      </c>
      <c r="F261" t="s">
        <v>100</v>
      </c>
      <c r="G261" t="s">
        <v>28</v>
      </c>
      <c r="H261" t="s">
        <v>64</v>
      </c>
      <c r="I261">
        <v>196792</v>
      </c>
      <c r="J261">
        <v>8</v>
      </c>
      <c r="K261">
        <v>4.0999999999999996</v>
      </c>
      <c r="L261">
        <v>2</v>
      </c>
      <c r="M261" t="s">
        <v>144</v>
      </c>
    </row>
    <row r="262" spans="1:13">
      <c r="A262" t="s">
        <v>539</v>
      </c>
      <c r="B262" t="s">
        <v>446</v>
      </c>
      <c r="C262" t="s">
        <v>112</v>
      </c>
      <c r="D262" t="s">
        <v>90</v>
      </c>
      <c r="E262" t="s">
        <v>42</v>
      </c>
      <c r="F262" t="s">
        <v>83</v>
      </c>
      <c r="G262" t="s">
        <v>54</v>
      </c>
      <c r="H262" t="s">
        <v>36</v>
      </c>
      <c r="I262">
        <v>16331</v>
      </c>
      <c r="J262">
        <v>7</v>
      </c>
      <c r="K262">
        <v>4.9000000000000004</v>
      </c>
      <c r="L262">
        <v>6</v>
      </c>
      <c r="M262" t="s">
        <v>65</v>
      </c>
    </row>
    <row r="263" spans="1:13">
      <c r="A263" t="s">
        <v>540</v>
      </c>
      <c r="B263" t="s">
        <v>199</v>
      </c>
      <c r="C263" t="s">
        <v>75</v>
      </c>
      <c r="D263" t="s">
        <v>63</v>
      </c>
      <c r="E263" t="s">
        <v>52</v>
      </c>
      <c r="F263" t="s">
        <v>18</v>
      </c>
      <c r="G263" t="s">
        <v>104</v>
      </c>
      <c r="H263" t="s">
        <v>29</v>
      </c>
      <c r="I263">
        <v>4668</v>
      </c>
      <c r="J263">
        <v>6</v>
      </c>
      <c r="K263">
        <v>4.3</v>
      </c>
      <c r="L263">
        <v>3</v>
      </c>
      <c r="M263" t="s">
        <v>119</v>
      </c>
    </row>
    <row r="264" spans="1:13">
      <c r="A264" t="s">
        <v>541</v>
      </c>
      <c r="B264" t="s">
        <v>391</v>
      </c>
      <c r="C264" t="s">
        <v>15</v>
      </c>
      <c r="D264" t="s">
        <v>46</v>
      </c>
      <c r="E264" t="s">
        <v>42</v>
      </c>
      <c r="F264" t="s">
        <v>83</v>
      </c>
      <c r="G264" t="s">
        <v>19</v>
      </c>
      <c r="H264" t="s">
        <v>20</v>
      </c>
      <c r="I264">
        <v>6729</v>
      </c>
      <c r="J264">
        <v>3</v>
      </c>
      <c r="K264">
        <v>4.9000000000000004</v>
      </c>
      <c r="L264">
        <v>7</v>
      </c>
      <c r="M264" t="s">
        <v>47</v>
      </c>
    </row>
    <row r="265" spans="1:13">
      <c r="A265" t="s">
        <v>542</v>
      </c>
      <c r="B265" t="s">
        <v>543</v>
      </c>
      <c r="C265" t="s">
        <v>45</v>
      </c>
      <c r="D265" t="s">
        <v>147</v>
      </c>
      <c r="E265" t="s">
        <v>52</v>
      </c>
      <c r="F265" t="s">
        <v>18</v>
      </c>
      <c r="G265" t="s">
        <v>54</v>
      </c>
      <c r="H265" t="s">
        <v>36</v>
      </c>
      <c r="I265">
        <v>5253</v>
      </c>
      <c r="J265">
        <v>3</v>
      </c>
      <c r="K265">
        <v>3.7</v>
      </c>
      <c r="L265">
        <v>1</v>
      </c>
      <c r="M265" t="s">
        <v>30</v>
      </c>
    </row>
    <row r="266" spans="1:13">
      <c r="A266" t="s">
        <v>544</v>
      </c>
      <c r="B266" t="s">
        <v>545</v>
      </c>
      <c r="C266" t="s">
        <v>15</v>
      </c>
      <c r="D266" t="s">
        <v>16</v>
      </c>
      <c r="E266" t="s">
        <v>17</v>
      </c>
      <c r="F266" t="s">
        <v>53</v>
      </c>
      <c r="G266" t="s">
        <v>28</v>
      </c>
      <c r="H266" t="s">
        <v>36</v>
      </c>
      <c r="I266">
        <v>8624</v>
      </c>
      <c r="J266">
        <v>8</v>
      </c>
      <c r="K266">
        <v>4.5</v>
      </c>
      <c r="L266">
        <v>4</v>
      </c>
      <c r="M266" t="s">
        <v>47</v>
      </c>
    </row>
    <row r="267" spans="1:13">
      <c r="A267" t="s">
        <v>546</v>
      </c>
      <c r="B267" t="s">
        <v>547</v>
      </c>
      <c r="C267" t="s">
        <v>125</v>
      </c>
      <c r="D267" t="s">
        <v>59</v>
      </c>
      <c r="E267" t="s">
        <v>26</v>
      </c>
      <c r="F267" t="s">
        <v>83</v>
      </c>
      <c r="G267" t="s">
        <v>19</v>
      </c>
      <c r="H267" t="s">
        <v>29</v>
      </c>
      <c r="I267">
        <v>8184</v>
      </c>
      <c r="J267">
        <v>3</v>
      </c>
      <c r="K267">
        <v>3.7</v>
      </c>
      <c r="L267">
        <v>2</v>
      </c>
      <c r="M267" t="s">
        <v>192</v>
      </c>
    </row>
    <row r="268" spans="1:13">
      <c r="A268" t="s">
        <v>548</v>
      </c>
      <c r="B268" t="s">
        <v>549</v>
      </c>
      <c r="C268" t="s">
        <v>170</v>
      </c>
      <c r="D268" t="s">
        <v>79</v>
      </c>
      <c r="E268" t="s">
        <v>26</v>
      </c>
      <c r="F268" t="s">
        <v>83</v>
      </c>
      <c r="G268" t="s">
        <v>54</v>
      </c>
      <c r="H268" t="s">
        <v>36</v>
      </c>
      <c r="I268">
        <v>62524</v>
      </c>
      <c r="J268">
        <v>7</v>
      </c>
      <c r="K268">
        <v>4.8</v>
      </c>
      <c r="L268">
        <v>8</v>
      </c>
      <c r="M268" t="s">
        <v>55</v>
      </c>
    </row>
    <row r="269" spans="1:13">
      <c r="A269" t="s">
        <v>550</v>
      </c>
      <c r="B269" t="s">
        <v>252</v>
      </c>
      <c r="C269" t="s">
        <v>146</v>
      </c>
      <c r="D269" t="s">
        <v>16</v>
      </c>
      <c r="E269" t="s">
        <v>17</v>
      </c>
      <c r="F269" t="s">
        <v>53</v>
      </c>
      <c r="G269" t="s">
        <v>104</v>
      </c>
      <c r="H269" t="s">
        <v>64</v>
      </c>
      <c r="I269">
        <v>4840</v>
      </c>
      <c r="J269">
        <v>8</v>
      </c>
      <c r="K269">
        <v>4.8</v>
      </c>
      <c r="L269">
        <v>4</v>
      </c>
      <c r="M269" t="s">
        <v>30</v>
      </c>
    </row>
    <row r="270" spans="1:13">
      <c r="A270" t="s">
        <v>551</v>
      </c>
      <c r="B270" t="s">
        <v>350</v>
      </c>
      <c r="C270" t="s">
        <v>15</v>
      </c>
      <c r="D270" t="s">
        <v>16</v>
      </c>
      <c r="E270" t="s">
        <v>17</v>
      </c>
      <c r="F270" t="s">
        <v>83</v>
      </c>
      <c r="G270" t="s">
        <v>19</v>
      </c>
      <c r="H270" t="s">
        <v>29</v>
      </c>
      <c r="I270">
        <v>895</v>
      </c>
      <c r="J270">
        <v>1</v>
      </c>
      <c r="K270">
        <v>3.4</v>
      </c>
      <c r="L270">
        <v>1</v>
      </c>
      <c r="M270" t="s">
        <v>80</v>
      </c>
    </row>
    <row r="271" spans="1:13">
      <c r="A271" t="s">
        <v>552</v>
      </c>
      <c r="B271" t="s">
        <v>547</v>
      </c>
      <c r="C271" t="s">
        <v>103</v>
      </c>
      <c r="D271" t="s">
        <v>97</v>
      </c>
      <c r="E271" t="s">
        <v>35</v>
      </c>
      <c r="F271" t="s">
        <v>60</v>
      </c>
      <c r="G271" t="s">
        <v>28</v>
      </c>
      <c r="H271" t="s">
        <v>64</v>
      </c>
      <c r="I271">
        <v>237105</v>
      </c>
      <c r="J271">
        <v>5</v>
      </c>
      <c r="K271">
        <v>3.9</v>
      </c>
      <c r="L271">
        <v>8</v>
      </c>
      <c r="M271" t="s">
        <v>192</v>
      </c>
    </row>
    <row r="272" spans="1:13">
      <c r="A272" t="s">
        <v>553</v>
      </c>
      <c r="B272" t="s">
        <v>106</v>
      </c>
      <c r="C272" t="s">
        <v>24</v>
      </c>
      <c r="D272" t="s">
        <v>147</v>
      </c>
      <c r="E272" t="s">
        <v>52</v>
      </c>
      <c r="F272" t="s">
        <v>100</v>
      </c>
      <c r="G272" t="s">
        <v>28</v>
      </c>
      <c r="H272" t="s">
        <v>29</v>
      </c>
      <c r="I272">
        <v>674</v>
      </c>
      <c r="J272">
        <v>1</v>
      </c>
      <c r="K272">
        <v>4.5999999999999996</v>
      </c>
      <c r="L272">
        <v>8</v>
      </c>
      <c r="M272" t="s">
        <v>80</v>
      </c>
    </row>
    <row r="273" spans="1:13">
      <c r="A273" t="s">
        <v>554</v>
      </c>
      <c r="B273" t="s">
        <v>555</v>
      </c>
      <c r="C273" t="s">
        <v>170</v>
      </c>
      <c r="D273" t="s">
        <v>25</v>
      </c>
      <c r="E273" t="s">
        <v>26</v>
      </c>
      <c r="F273" t="s">
        <v>18</v>
      </c>
      <c r="G273" t="s">
        <v>19</v>
      </c>
      <c r="H273" t="s">
        <v>29</v>
      </c>
      <c r="I273">
        <v>24060</v>
      </c>
      <c r="J273">
        <v>3</v>
      </c>
      <c r="K273">
        <v>3.3</v>
      </c>
      <c r="L273">
        <v>5</v>
      </c>
      <c r="M273" t="s">
        <v>119</v>
      </c>
    </row>
    <row r="274" spans="1:13">
      <c r="A274" t="s">
        <v>556</v>
      </c>
      <c r="B274" t="s">
        <v>557</v>
      </c>
      <c r="C274" t="s">
        <v>15</v>
      </c>
      <c r="D274" t="s">
        <v>25</v>
      </c>
      <c r="E274" t="s">
        <v>26</v>
      </c>
      <c r="F274" t="s">
        <v>27</v>
      </c>
      <c r="G274" t="s">
        <v>19</v>
      </c>
      <c r="H274" t="s">
        <v>64</v>
      </c>
      <c r="I274">
        <v>39788</v>
      </c>
      <c r="J274">
        <v>4</v>
      </c>
      <c r="K274">
        <v>4.8</v>
      </c>
      <c r="L274">
        <v>1</v>
      </c>
      <c r="M274" t="s">
        <v>47</v>
      </c>
    </row>
    <row r="275" spans="1:13">
      <c r="A275" t="s">
        <v>558</v>
      </c>
      <c r="B275" t="s">
        <v>559</v>
      </c>
      <c r="C275" t="s">
        <v>50</v>
      </c>
      <c r="D275" t="s">
        <v>159</v>
      </c>
      <c r="E275" t="s">
        <v>42</v>
      </c>
      <c r="F275" t="s">
        <v>83</v>
      </c>
      <c r="G275" t="s">
        <v>54</v>
      </c>
      <c r="H275" t="s">
        <v>64</v>
      </c>
      <c r="I275">
        <v>23824</v>
      </c>
      <c r="J275">
        <v>8</v>
      </c>
      <c r="K275">
        <v>4.0999999999999996</v>
      </c>
      <c r="L275">
        <v>7</v>
      </c>
      <c r="M275" t="s">
        <v>87</v>
      </c>
    </row>
    <row r="276" spans="1:13">
      <c r="A276" t="s">
        <v>560</v>
      </c>
      <c r="B276" t="s">
        <v>561</v>
      </c>
      <c r="C276" t="s">
        <v>133</v>
      </c>
      <c r="D276" t="s">
        <v>90</v>
      </c>
      <c r="E276" t="s">
        <v>42</v>
      </c>
      <c r="F276" t="s">
        <v>18</v>
      </c>
      <c r="G276" t="s">
        <v>54</v>
      </c>
      <c r="H276" t="s">
        <v>36</v>
      </c>
      <c r="I276">
        <v>38192</v>
      </c>
      <c r="J276">
        <v>8</v>
      </c>
      <c r="K276">
        <v>3.2</v>
      </c>
      <c r="L276">
        <v>7</v>
      </c>
      <c r="M276" t="s">
        <v>87</v>
      </c>
    </row>
    <row r="277" spans="1:13">
      <c r="A277" t="s">
        <v>562</v>
      </c>
      <c r="B277" t="s">
        <v>62</v>
      </c>
      <c r="C277" t="s">
        <v>170</v>
      </c>
      <c r="D277" t="s">
        <v>59</v>
      </c>
      <c r="E277" t="s">
        <v>26</v>
      </c>
      <c r="F277" t="s">
        <v>100</v>
      </c>
      <c r="G277" t="s">
        <v>28</v>
      </c>
      <c r="H277" t="s">
        <v>29</v>
      </c>
      <c r="I277">
        <v>6756</v>
      </c>
      <c r="J277">
        <v>4</v>
      </c>
      <c r="K277">
        <v>4.7</v>
      </c>
      <c r="L277">
        <v>8</v>
      </c>
      <c r="M277" t="s">
        <v>65</v>
      </c>
    </row>
    <row r="278" spans="1:13">
      <c r="A278" t="s">
        <v>563</v>
      </c>
      <c r="B278" t="s">
        <v>564</v>
      </c>
      <c r="C278" t="s">
        <v>68</v>
      </c>
      <c r="D278" t="s">
        <v>41</v>
      </c>
      <c r="E278" t="s">
        <v>42</v>
      </c>
      <c r="F278" t="s">
        <v>18</v>
      </c>
      <c r="G278" t="s">
        <v>19</v>
      </c>
      <c r="H278" t="s">
        <v>64</v>
      </c>
      <c r="I278">
        <v>23560</v>
      </c>
      <c r="J278">
        <v>4</v>
      </c>
      <c r="K278">
        <v>4.2</v>
      </c>
      <c r="L278">
        <v>6</v>
      </c>
      <c r="M278" t="s">
        <v>87</v>
      </c>
    </row>
    <row r="279" spans="1:13">
      <c r="A279" t="s">
        <v>565</v>
      </c>
      <c r="B279" t="s">
        <v>111</v>
      </c>
      <c r="C279" t="s">
        <v>170</v>
      </c>
      <c r="D279" t="s">
        <v>51</v>
      </c>
      <c r="E279" t="s">
        <v>52</v>
      </c>
      <c r="F279" t="s">
        <v>18</v>
      </c>
      <c r="G279" t="s">
        <v>28</v>
      </c>
      <c r="H279" t="s">
        <v>36</v>
      </c>
      <c r="I279">
        <v>5260</v>
      </c>
      <c r="J279">
        <v>5</v>
      </c>
      <c r="K279">
        <v>3.6</v>
      </c>
      <c r="L279">
        <v>4</v>
      </c>
      <c r="M279" t="s">
        <v>87</v>
      </c>
    </row>
    <row r="280" spans="1:13">
      <c r="A280" t="s">
        <v>566</v>
      </c>
      <c r="B280" t="s">
        <v>396</v>
      </c>
      <c r="C280" t="s">
        <v>78</v>
      </c>
      <c r="D280" t="s">
        <v>25</v>
      </c>
      <c r="E280" t="s">
        <v>26</v>
      </c>
      <c r="F280" t="s">
        <v>60</v>
      </c>
      <c r="G280" t="s">
        <v>28</v>
      </c>
      <c r="H280" t="s">
        <v>20</v>
      </c>
      <c r="I280">
        <v>6968</v>
      </c>
      <c r="J280">
        <v>8</v>
      </c>
      <c r="K280">
        <v>4.2</v>
      </c>
      <c r="L280">
        <v>1</v>
      </c>
      <c r="M280" t="s">
        <v>47</v>
      </c>
    </row>
    <row r="281" spans="1:13">
      <c r="A281" t="s">
        <v>567</v>
      </c>
      <c r="B281" t="s">
        <v>77</v>
      </c>
      <c r="C281" t="s">
        <v>103</v>
      </c>
      <c r="D281" t="s">
        <v>79</v>
      </c>
      <c r="E281" t="s">
        <v>26</v>
      </c>
      <c r="F281" t="s">
        <v>60</v>
      </c>
      <c r="G281" t="s">
        <v>104</v>
      </c>
      <c r="H281" t="s">
        <v>29</v>
      </c>
      <c r="I281">
        <v>15318</v>
      </c>
      <c r="J281">
        <v>2</v>
      </c>
      <c r="K281">
        <v>5</v>
      </c>
      <c r="L281">
        <v>4</v>
      </c>
      <c r="M281" t="s">
        <v>80</v>
      </c>
    </row>
    <row r="282" spans="1:13">
      <c r="A282" t="s">
        <v>568</v>
      </c>
      <c r="B282" t="s">
        <v>385</v>
      </c>
      <c r="C282" t="s">
        <v>179</v>
      </c>
      <c r="D282" t="s">
        <v>159</v>
      </c>
      <c r="E282" t="s">
        <v>42</v>
      </c>
      <c r="F282" t="s">
        <v>83</v>
      </c>
      <c r="G282" t="s">
        <v>104</v>
      </c>
      <c r="H282" t="s">
        <v>29</v>
      </c>
      <c r="I282">
        <v>36309</v>
      </c>
      <c r="J282">
        <v>7</v>
      </c>
      <c r="K282">
        <v>4.5</v>
      </c>
      <c r="L282">
        <v>4</v>
      </c>
      <c r="M282" t="s">
        <v>80</v>
      </c>
    </row>
    <row r="283" spans="1:13">
      <c r="A283" t="s">
        <v>569</v>
      </c>
      <c r="B283" t="s">
        <v>570</v>
      </c>
      <c r="C283" t="s">
        <v>78</v>
      </c>
      <c r="D283" t="s">
        <v>63</v>
      </c>
      <c r="E283" t="s">
        <v>52</v>
      </c>
      <c r="F283" t="s">
        <v>53</v>
      </c>
      <c r="G283" t="s">
        <v>28</v>
      </c>
      <c r="H283" t="s">
        <v>36</v>
      </c>
      <c r="I283">
        <v>4332</v>
      </c>
      <c r="J283">
        <v>6</v>
      </c>
      <c r="K283">
        <v>4.2</v>
      </c>
      <c r="L283">
        <v>7</v>
      </c>
      <c r="M283" t="s">
        <v>65</v>
      </c>
    </row>
    <row r="284" spans="1:13">
      <c r="A284" t="s">
        <v>571</v>
      </c>
      <c r="B284" t="s">
        <v>143</v>
      </c>
      <c r="C284" t="s">
        <v>40</v>
      </c>
      <c r="D284" t="s">
        <v>25</v>
      </c>
      <c r="E284" t="s">
        <v>26</v>
      </c>
      <c r="F284" t="s">
        <v>27</v>
      </c>
      <c r="G284" t="s">
        <v>104</v>
      </c>
      <c r="H284" t="s">
        <v>20</v>
      </c>
      <c r="I284">
        <v>36218</v>
      </c>
      <c r="J284">
        <v>7</v>
      </c>
      <c r="K284">
        <v>4.5999999999999996</v>
      </c>
      <c r="L284">
        <v>3</v>
      </c>
      <c r="M284" t="s">
        <v>144</v>
      </c>
    </row>
    <row r="285" spans="1:13">
      <c r="A285" t="s">
        <v>572</v>
      </c>
      <c r="B285" t="s">
        <v>573</v>
      </c>
      <c r="C285" t="s">
        <v>78</v>
      </c>
      <c r="D285" t="s">
        <v>218</v>
      </c>
      <c r="E285" t="s">
        <v>17</v>
      </c>
      <c r="F285" t="s">
        <v>60</v>
      </c>
      <c r="G285" t="s">
        <v>19</v>
      </c>
      <c r="H285" t="s">
        <v>29</v>
      </c>
      <c r="I285">
        <v>1034</v>
      </c>
      <c r="J285">
        <v>1</v>
      </c>
      <c r="K285">
        <v>4.5</v>
      </c>
      <c r="L285">
        <v>4</v>
      </c>
      <c r="M285" t="s">
        <v>37</v>
      </c>
    </row>
    <row r="286" spans="1:13">
      <c r="A286" t="s">
        <v>574</v>
      </c>
      <c r="B286" t="s">
        <v>454</v>
      </c>
      <c r="C286" t="s">
        <v>45</v>
      </c>
      <c r="D286" t="s">
        <v>116</v>
      </c>
      <c r="E286" t="s">
        <v>17</v>
      </c>
      <c r="F286" t="s">
        <v>60</v>
      </c>
      <c r="G286" t="s">
        <v>19</v>
      </c>
      <c r="H286" t="s">
        <v>29</v>
      </c>
      <c r="I286">
        <v>11921</v>
      </c>
      <c r="J286">
        <v>7</v>
      </c>
      <c r="K286">
        <v>4.5</v>
      </c>
      <c r="L286">
        <v>4</v>
      </c>
      <c r="M286" t="s">
        <v>55</v>
      </c>
    </row>
    <row r="287" spans="1:13">
      <c r="A287" t="s">
        <v>575</v>
      </c>
      <c r="B287" t="s">
        <v>576</v>
      </c>
      <c r="C287" t="s">
        <v>50</v>
      </c>
      <c r="D287" t="s">
        <v>79</v>
      </c>
      <c r="E287" t="s">
        <v>26</v>
      </c>
      <c r="F287" t="s">
        <v>18</v>
      </c>
      <c r="G287" t="s">
        <v>28</v>
      </c>
      <c r="H287" t="s">
        <v>29</v>
      </c>
      <c r="I287">
        <v>18235</v>
      </c>
      <c r="J287">
        <v>5</v>
      </c>
      <c r="K287">
        <v>4.5</v>
      </c>
      <c r="L287">
        <v>2</v>
      </c>
      <c r="M287" t="s">
        <v>37</v>
      </c>
    </row>
    <row r="288" spans="1:13">
      <c r="A288" t="s">
        <v>577</v>
      </c>
      <c r="B288" t="s">
        <v>261</v>
      </c>
      <c r="C288" t="s">
        <v>33</v>
      </c>
      <c r="D288" t="s">
        <v>59</v>
      </c>
      <c r="E288" t="s">
        <v>26</v>
      </c>
      <c r="F288" t="s">
        <v>83</v>
      </c>
      <c r="G288" t="s">
        <v>104</v>
      </c>
      <c r="H288" t="s">
        <v>36</v>
      </c>
      <c r="I288">
        <v>25320</v>
      </c>
      <c r="J288">
        <v>3</v>
      </c>
      <c r="K288">
        <v>4.5</v>
      </c>
      <c r="L288">
        <v>3</v>
      </c>
      <c r="M288" t="s">
        <v>80</v>
      </c>
    </row>
    <row r="289" spans="1:13">
      <c r="A289" t="s">
        <v>578</v>
      </c>
      <c r="B289" t="s">
        <v>579</v>
      </c>
      <c r="C289" t="s">
        <v>133</v>
      </c>
      <c r="D289" t="s">
        <v>59</v>
      </c>
      <c r="E289" t="s">
        <v>26</v>
      </c>
      <c r="F289" t="s">
        <v>100</v>
      </c>
      <c r="G289" t="s">
        <v>28</v>
      </c>
      <c r="H289" t="s">
        <v>36</v>
      </c>
      <c r="I289">
        <v>22872</v>
      </c>
      <c r="J289">
        <v>6</v>
      </c>
      <c r="K289">
        <v>4.0999999999999996</v>
      </c>
      <c r="L289">
        <v>3</v>
      </c>
      <c r="M289" t="s">
        <v>65</v>
      </c>
    </row>
    <row r="290" spans="1:13">
      <c r="A290" t="s">
        <v>580</v>
      </c>
      <c r="B290" t="s">
        <v>581</v>
      </c>
      <c r="C290" t="s">
        <v>68</v>
      </c>
      <c r="D290" t="s">
        <v>34</v>
      </c>
      <c r="E290" t="s">
        <v>35</v>
      </c>
      <c r="F290" t="s">
        <v>27</v>
      </c>
      <c r="G290" t="s">
        <v>104</v>
      </c>
      <c r="H290" t="s">
        <v>64</v>
      </c>
      <c r="I290">
        <v>245874</v>
      </c>
      <c r="J290">
        <v>6</v>
      </c>
      <c r="K290">
        <v>4.2</v>
      </c>
      <c r="L290">
        <v>1</v>
      </c>
      <c r="M290" t="s">
        <v>37</v>
      </c>
    </row>
    <row r="291" spans="1:13">
      <c r="A291" t="s">
        <v>582</v>
      </c>
      <c r="B291" t="s">
        <v>583</v>
      </c>
      <c r="C291" t="s">
        <v>112</v>
      </c>
      <c r="D291" t="s">
        <v>63</v>
      </c>
      <c r="E291" t="s">
        <v>52</v>
      </c>
      <c r="F291" t="s">
        <v>53</v>
      </c>
      <c r="G291" t="s">
        <v>28</v>
      </c>
      <c r="H291" t="s">
        <v>64</v>
      </c>
      <c r="I291">
        <v>4284</v>
      </c>
      <c r="J291">
        <v>6</v>
      </c>
      <c r="K291">
        <v>4.5</v>
      </c>
      <c r="L291">
        <v>1</v>
      </c>
      <c r="M291" t="s">
        <v>144</v>
      </c>
    </row>
    <row r="292" spans="1:13">
      <c r="A292" t="s">
        <v>584</v>
      </c>
      <c r="B292" t="s">
        <v>585</v>
      </c>
      <c r="C292" t="s">
        <v>75</v>
      </c>
      <c r="D292" t="s">
        <v>218</v>
      </c>
      <c r="E292" t="s">
        <v>17</v>
      </c>
      <c r="F292" t="s">
        <v>83</v>
      </c>
      <c r="G292" t="s">
        <v>19</v>
      </c>
      <c r="H292" t="s">
        <v>64</v>
      </c>
      <c r="I292">
        <v>3824</v>
      </c>
      <c r="J292">
        <v>4</v>
      </c>
      <c r="K292">
        <v>4.9000000000000004</v>
      </c>
      <c r="L292">
        <v>1</v>
      </c>
      <c r="M292" t="s">
        <v>192</v>
      </c>
    </row>
    <row r="293" spans="1:13">
      <c r="A293" t="s">
        <v>586</v>
      </c>
      <c r="B293" t="s">
        <v>587</v>
      </c>
      <c r="C293" t="s">
        <v>75</v>
      </c>
      <c r="D293" t="s">
        <v>86</v>
      </c>
      <c r="E293" t="s">
        <v>17</v>
      </c>
      <c r="F293" t="s">
        <v>18</v>
      </c>
      <c r="G293" t="s">
        <v>54</v>
      </c>
      <c r="H293" t="s">
        <v>20</v>
      </c>
      <c r="I293">
        <v>11368</v>
      </c>
      <c r="J293">
        <v>7</v>
      </c>
      <c r="K293">
        <v>4.5</v>
      </c>
      <c r="L293">
        <v>1</v>
      </c>
      <c r="M293" t="s">
        <v>30</v>
      </c>
    </row>
    <row r="294" spans="1:13">
      <c r="A294" t="s">
        <v>588</v>
      </c>
      <c r="B294" t="s">
        <v>589</v>
      </c>
      <c r="C294" t="s">
        <v>15</v>
      </c>
      <c r="D294" t="s">
        <v>165</v>
      </c>
      <c r="E294" t="s">
        <v>35</v>
      </c>
      <c r="F294" t="s">
        <v>60</v>
      </c>
      <c r="G294" t="s">
        <v>54</v>
      </c>
      <c r="H294" t="s">
        <v>36</v>
      </c>
      <c r="I294">
        <v>213440</v>
      </c>
      <c r="J294">
        <v>4</v>
      </c>
      <c r="K294">
        <v>3.9</v>
      </c>
      <c r="L294">
        <v>6</v>
      </c>
      <c r="M294" t="s">
        <v>87</v>
      </c>
    </row>
    <row r="295" spans="1:13">
      <c r="A295" t="s">
        <v>590</v>
      </c>
      <c r="B295" t="s">
        <v>99</v>
      </c>
      <c r="C295" t="s">
        <v>45</v>
      </c>
      <c r="D295" t="s">
        <v>25</v>
      </c>
      <c r="E295" t="s">
        <v>26</v>
      </c>
      <c r="F295" t="s">
        <v>18</v>
      </c>
      <c r="G295" t="s">
        <v>104</v>
      </c>
      <c r="H295" t="s">
        <v>64</v>
      </c>
      <c r="I295">
        <v>2538</v>
      </c>
      <c r="J295">
        <v>1</v>
      </c>
      <c r="K295">
        <v>3.7</v>
      </c>
      <c r="L295">
        <v>5</v>
      </c>
      <c r="M295" t="s">
        <v>30</v>
      </c>
    </row>
    <row r="296" spans="1:13">
      <c r="A296" t="s">
        <v>591</v>
      </c>
      <c r="B296" t="s">
        <v>167</v>
      </c>
      <c r="C296" t="s">
        <v>72</v>
      </c>
      <c r="D296" t="s">
        <v>90</v>
      </c>
      <c r="E296" t="s">
        <v>42</v>
      </c>
      <c r="F296" t="s">
        <v>53</v>
      </c>
      <c r="G296" t="s">
        <v>104</v>
      </c>
      <c r="H296" t="s">
        <v>36</v>
      </c>
      <c r="I296">
        <v>2501</v>
      </c>
      <c r="J296">
        <v>1</v>
      </c>
      <c r="K296">
        <v>4.5</v>
      </c>
      <c r="L296">
        <v>5</v>
      </c>
      <c r="M296" t="s">
        <v>119</v>
      </c>
    </row>
    <row r="297" spans="1:13">
      <c r="A297" t="s">
        <v>592</v>
      </c>
      <c r="B297" t="s">
        <v>593</v>
      </c>
      <c r="C297" t="s">
        <v>179</v>
      </c>
      <c r="D297" t="s">
        <v>79</v>
      </c>
      <c r="E297" t="s">
        <v>26</v>
      </c>
      <c r="F297" t="s">
        <v>60</v>
      </c>
      <c r="G297" t="s">
        <v>19</v>
      </c>
      <c r="H297" t="s">
        <v>20</v>
      </c>
      <c r="I297">
        <v>2194</v>
      </c>
      <c r="J297">
        <v>1</v>
      </c>
      <c r="K297">
        <v>3.7</v>
      </c>
      <c r="L297">
        <v>6</v>
      </c>
      <c r="M297" t="s">
        <v>80</v>
      </c>
    </row>
    <row r="298" spans="1:13">
      <c r="A298" t="s">
        <v>594</v>
      </c>
      <c r="B298" t="s">
        <v>595</v>
      </c>
      <c r="C298" t="s">
        <v>78</v>
      </c>
      <c r="D298" t="s">
        <v>63</v>
      </c>
      <c r="E298" t="s">
        <v>52</v>
      </c>
      <c r="F298" t="s">
        <v>18</v>
      </c>
      <c r="G298" t="s">
        <v>104</v>
      </c>
      <c r="H298" t="s">
        <v>36</v>
      </c>
      <c r="I298">
        <v>3595</v>
      </c>
      <c r="J298">
        <v>5</v>
      </c>
      <c r="K298">
        <v>4.7</v>
      </c>
      <c r="L298">
        <v>8</v>
      </c>
      <c r="M298" t="s">
        <v>192</v>
      </c>
    </row>
    <row r="299" spans="1:13">
      <c r="A299" t="s">
        <v>596</v>
      </c>
      <c r="B299" t="s">
        <v>597</v>
      </c>
      <c r="C299" t="s">
        <v>179</v>
      </c>
      <c r="D299" t="s">
        <v>113</v>
      </c>
      <c r="E299" t="s">
        <v>35</v>
      </c>
      <c r="F299" t="s">
        <v>53</v>
      </c>
      <c r="G299" t="s">
        <v>28</v>
      </c>
      <c r="H299" t="s">
        <v>64</v>
      </c>
      <c r="I299">
        <v>154440</v>
      </c>
      <c r="J299">
        <v>8</v>
      </c>
      <c r="K299">
        <v>3.7</v>
      </c>
      <c r="L299">
        <v>2</v>
      </c>
      <c r="M299" t="s">
        <v>37</v>
      </c>
    </row>
    <row r="300" spans="1:13">
      <c r="A300" t="s">
        <v>598</v>
      </c>
      <c r="B300" t="s">
        <v>599</v>
      </c>
      <c r="C300" t="s">
        <v>24</v>
      </c>
      <c r="D300" t="s">
        <v>165</v>
      </c>
      <c r="E300" t="s">
        <v>35</v>
      </c>
      <c r="F300" t="s">
        <v>18</v>
      </c>
      <c r="G300" t="s">
        <v>104</v>
      </c>
      <c r="H300" t="s">
        <v>20</v>
      </c>
      <c r="I300">
        <v>383140</v>
      </c>
      <c r="J300">
        <v>5</v>
      </c>
      <c r="K300">
        <v>4.7</v>
      </c>
      <c r="L300">
        <v>7</v>
      </c>
      <c r="M300" t="s">
        <v>119</v>
      </c>
    </row>
    <row r="301" spans="1:13">
      <c r="A301" t="s">
        <v>600</v>
      </c>
      <c r="B301" t="s">
        <v>115</v>
      </c>
      <c r="C301" t="s">
        <v>125</v>
      </c>
      <c r="D301" t="s">
        <v>51</v>
      </c>
      <c r="E301" t="s">
        <v>52</v>
      </c>
      <c r="F301" t="s">
        <v>100</v>
      </c>
      <c r="G301" t="s">
        <v>54</v>
      </c>
      <c r="H301" t="s">
        <v>20</v>
      </c>
      <c r="I301">
        <v>9648</v>
      </c>
      <c r="J301">
        <v>6</v>
      </c>
      <c r="K301">
        <v>3.8</v>
      </c>
      <c r="L301">
        <v>5</v>
      </c>
      <c r="M301" t="s">
        <v>21</v>
      </c>
    </row>
    <row r="302" spans="1:13">
      <c r="A302" t="s">
        <v>601</v>
      </c>
      <c r="B302" t="s">
        <v>237</v>
      </c>
      <c r="C302" t="s">
        <v>112</v>
      </c>
      <c r="D302" t="s">
        <v>25</v>
      </c>
      <c r="E302" t="s">
        <v>26</v>
      </c>
      <c r="F302" t="s">
        <v>27</v>
      </c>
      <c r="G302" t="s">
        <v>54</v>
      </c>
      <c r="H302" t="s">
        <v>64</v>
      </c>
      <c r="I302">
        <v>6156</v>
      </c>
      <c r="J302">
        <v>3</v>
      </c>
      <c r="K302">
        <v>4.5</v>
      </c>
      <c r="L302">
        <v>1</v>
      </c>
      <c r="M302" t="s">
        <v>21</v>
      </c>
    </row>
    <row r="303" spans="1:13">
      <c r="A303" t="s">
        <v>602</v>
      </c>
      <c r="B303" t="s">
        <v>603</v>
      </c>
      <c r="C303" t="s">
        <v>72</v>
      </c>
      <c r="D303" t="s">
        <v>79</v>
      </c>
      <c r="E303" t="s">
        <v>26</v>
      </c>
      <c r="F303" t="s">
        <v>60</v>
      </c>
      <c r="G303" t="s">
        <v>54</v>
      </c>
      <c r="H303" t="s">
        <v>64</v>
      </c>
      <c r="I303">
        <v>33965</v>
      </c>
      <c r="J303">
        <v>5</v>
      </c>
      <c r="K303">
        <v>3.9</v>
      </c>
      <c r="L303">
        <v>5</v>
      </c>
      <c r="M303" t="s">
        <v>144</v>
      </c>
    </row>
    <row r="304" spans="1:13">
      <c r="A304" t="s">
        <v>604</v>
      </c>
      <c r="B304" t="s">
        <v>605</v>
      </c>
      <c r="C304" t="s">
        <v>125</v>
      </c>
      <c r="D304" t="s">
        <v>165</v>
      </c>
      <c r="E304" t="s">
        <v>35</v>
      </c>
      <c r="F304" t="s">
        <v>53</v>
      </c>
      <c r="G304" t="s">
        <v>54</v>
      </c>
      <c r="H304" t="s">
        <v>20</v>
      </c>
      <c r="I304">
        <v>279552</v>
      </c>
      <c r="J304">
        <v>4</v>
      </c>
      <c r="K304">
        <v>3.5</v>
      </c>
      <c r="L304">
        <v>3</v>
      </c>
      <c r="M304" t="s">
        <v>144</v>
      </c>
    </row>
    <row r="305" spans="1:13">
      <c r="A305" t="s">
        <v>606</v>
      </c>
      <c r="B305" t="s">
        <v>242</v>
      </c>
      <c r="C305" t="s">
        <v>50</v>
      </c>
      <c r="D305" t="s">
        <v>159</v>
      </c>
      <c r="E305" t="s">
        <v>42</v>
      </c>
      <c r="F305" t="s">
        <v>60</v>
      </c>
      <c r="G305" t="s">
        <v>28</v>
      </c>
      <c r="H305" t="s">
        <v>36</v>
      </c>
      <c r="I305">
        <v>11965</v>
      </c>
      <c r="J305">
        <v>5</v>
      </c>
      <c r="K305">
        <v>4.8</v>
      </c>
      <c r="L305">
        <v>6</v>
      </c>
      <c r="M305" t="s">
        <v>87</v>
      </c>
    </row>
    <row r="306" spans="1:13">
      <c r="A306" t="s">
        <v>607</v>
      </c>
      <c r="B306" t="s">
        <v>183</v>
      </c>
      <c r="C306" t="s">
        <v>58</v>
      </c>
      <c r="D306" t="s">
        <v>218</v>
      </c>
      <c r="E306" t="s">
        <v>17</v>
      </c>
      <c r="F306" t="s">
        <v>27</v>
      </c>
      <c r="G306" t="s">
        <v>54</v>
      </c>
      <c r="H306" t="s">
        <v>29</v>
      </c>
      <c r="I306">
        <v>4195</v>
      </c>
      <c r="J306">
        <v>5</v>
      </c>
      <c r="K306">
        <v>4.4000000000000004</v>
      </c>
      <c r="L306">
        <v>6</v>
      </c>
      <c r="M306" t="s">
        <v>87</v>
      </c>
    </row>
    <row r="307" spans="1:13">
      <c r="A307" t="s">
        <v>608</v>
      </c>
      <c r="B307" t="s">
        <v>174</v>
      </c>
      <c r="C307" t="s">
        <v>146</v>
      </c>
      <c r="D307" t="s">
        <v>159</v>
      </c>
      <c r="E307" t="s">
        <v>42</v>
      </c>
      <c r="F307" t="s">
        <v>83</v>
      </c>
      <c r="G307" t="s">
        <v>19</v>
      </c>
      <c r="H307" t="s">
        <v>36</v>
      </c>
      <c r="I307">
        <v>32543</v>
      </c>
      <c r="J307">
        <v>7</v>
      </c>
      <c r="K307">
        <v>3.2</v>
      </c>
      <c r="L307">
        <v>3</v>
      </c>
      <c r="M307" t="s">
        <v>65</v>
      </c>
    </row>
    <row r="308" spans="1:13">
      <c r="A308" t="s">
        <v>609</v>
      </c>
      <c r="B308" t="s">
        <v>57</v>
      </c>
      <c r="C308" t="s">
        <v>170</v>
      </c>
      <c r="D308" t="s">
        <v>59</v>
      </c>
      <c r="E308" t="s">
        <v>26</v>
      </c>
      <c r="F308" t="s">
        <v>27</v>
      </c>
      <c r="G308" t="s">
        <v>54</v>
      </c>
      <c r="H308" t="s">
        <v>64</v>
      </c>
      <c r="I308">
        <v>8214</v>
      </c>
      <c r="J308">
        <v>3</v>
      </c>
      <c r="K308">
        <v>4.4000000000000004</v>
      </c>
      <c r="L308">
        <v>7</v>
      </c>
      <c r="M308" t="s">
        <v>37</v>
      </c>
    </row>
    <row r="309" spans="1:13">
      <c r="A309" t="s">
        <v>610</v>
      </c>
      <c r="B309" t="s">
        <v>611</v>
      </c>
      <c r="C309" t="s">
        <v>72</v>
      </c>
      <c r="D309" t="s">
        <v>90</v>
      </c>
      <c r="E309" t="s">
        <v>42</v>
      </c>
      <c r="F309" t="s">
        <v>27</v>
      </c>
      <c r="G309" t="s">
        <v>54</v>
      </c>
      <c r="H309" t="s">
        <v>20</v>
      </c>
      <c r="I309">
        <v>8088</v>
      </c>
      <c r="J309">
        <v>3</v>
      </c>
      <c r="K309">
        <v>3.4</v>
      </c>
      <c r="L309">
        <v>3</v>
      </c>
      <c r="M309" t="s">
        <v>37</v>
      </c>
    </row>
    <row r="310" spans="1:13">
      <c r="A310" t="s">
        <v>612</v>
      </c>
      <c r="B310" t="s">
        <v>533</v>
      </c>
      <c r="C310" t="s">
        <v>75</v>
      </c>
      <c r="D310" t="s">
        <v>86</v>
      </c>
      <c r="E310" t="s">
        <v>17</v>
      </c>
      <c r="F310" t="s">
        <v>83</v>
      </c>
      <c r="G310" t="s">
        <v>28</v>
      </c>
      <c r="H310" t="s">
        <v>64</v>
      </c>
      <c r="I310">
        <v>4074</v>
      </c>
      <c r="J310">
        <v>3</v>
      </c>
      <c r="K310">
        <v>3.2</v>
      </c>
      <c r="L310">
        <v>5</v>
      </c>
      <c r="M310" t="s">
        <v>21</v>
      </c>
    </row>
    <row r="311" spans="1:13">
      <c r="A311" t="s">
        <v>613</v>
      </c>
      <c r="B311" t="s">
        <v>226</v>
      </c>
      <c r="C311" t="s">
        <v>24</v>
      </c>
      <c r="D311" t="s">
        <v>159</v>
      </c>
      <c r="E311" t="s">
        <v>42</v>
      </c>
      <c r="F311" t="s">
        <v>27</v>
      </c>
      <c r="G311" t="s">
        <v>104</v>
      </c>
      <c r="H311" t="s">
        <v>64</v>
      </c>
      <c r="I311">
        <v>15323</v>
      </c>
      <c r="J311">
        <v>7</v>
      </c>
      <c r="K311">
        <v>4.4000000000000004</v>
      </c>
      <c r="L311">
        <v>5</v>
      </c>
      <c r="M311" t="s">
        <v>37</v>
      </c>
    </row>
    <row r="312" spans="1:13">
      <c r="A312" t="s">
        <v>614</v>
      </c>
      <c r="B312" t="s">
        <v>615</v>
      </c>
      <c r="C312" t="s">
        <v>72</v>
      </c>
      <c r="D312" t="s">
        <v>25</v>
      </c>
      <c r="E312" t="s">
        <v>26</v>
      </c>
      <c r="F312" t="s">
        <v>100</v>
      </c>
      <c r="G312" t="s">
        <v>54</v>
      </c>
      <c r="H312" t="s">
        <v>20</v>
      </c>
      <c r="I312">
        <v>28805</v>
      </c>
      <c r="J312">
        <v>7</v>
      </c>
      <c r="K312">
        <v>4.0999999999999996</v>
      </c>
      <c r="L312">
        <v>7</v>
      </c>
      <c r="M312" t="s">
        <v>37</v>
      </c>
    </row>
    <row r="313" spans="1:13">
      <c r="A313" t="s">
        <v>616</v>
      </c>
      <c r="B313" t="s">
        <v>387</v>
      </c>
      <c r="C313" t="s">
        <v>112</v>
      </c>
      <c r="D313" t="s">
        <v>41</v>
      </c>
      <c r="E313" t="s">
        <v>42</v>
      </c>
      <c r="F313" t="s">
        <v>60</v>
      </c>
      <c r="G313" t="s">
        <v>104</v>
      </c>
      <c r="H313" t="s">
        <v>36</v>
      </c>
      <c r="I313">
        <v>11286</v>
      </c>
      <c r="J313">
        <v>2</v>
      </c>
      <c r="K313">
        <v>4.7</v>
      </c>
      <c r="L313">
        <v>7</v>
      </c>
      <c r="M313" t="s">
        <v>65</v>
      </c>
    </row>
    <row r="314" spans="1:13">
      <c r="A314" t="s">
        <v>617</v>
      </c>
      <c r="B314" t="s">
        <v>615</v>
      </c>
      <c r="C314" t="s">
        <v>125</v>
      </c>
      <c r="D314" t="s">
        <v>69</v>
      </c>
      <c r="E314" t="s">
        <v>26</v>
      </c>
      <c r="F314" t="s">
        <v>83</v>
      </c>
      <c r="G314" t="s">
        <v>54</v>
      </c>
      <c r="H314" t="s">
        <v>29</v>
      </c>
      <c r="I314">
        <v>19200</v>
      </c>
      <c r="J314">
        <v>8</v>
      </c>
      <c r="K314">
        <v>4</v>
      </c>
      <c r="L314">
        <v>5</v>
      </c>
      <c r="M314" t="s">
        <v>37</v>
      </c>
    </row>
    <row r="315" spans="1:13">
      <c r="A315" t="s">
        <v>618</v>
      </c>
      <c r="B315" t="s">
        <v>619</v>
      </c>
      <c r="C315" t="s">
        <v>179</v>
      </c>
      <c r="D315" t="s">
        <v>69</v>
      </c>
      <c r="E315" t="s">
        <v>26</v>
      </c>
      <c r="F315" t="s">
        <v>27</v>
      </c>
      <c r="G315" t="s">
        <v>104</v>
      </c>
      <c r="H315" t="s">
        <v>64</v>
      </c>
      <c r="I315">
        <v>10920</v>
      </c>
      <c r="J315">
        <v>4</v>
      </c>
      <c r="K315">
        <v>4.0999999999999996</v>
      </c>
      <c r="L315">
        <v>7</v>
      </c>
      <c r="M315" t="s">
        <v>21</v>
      </c>
    </row>
    <row r="316" spans="1:13">
      <c r="A316" t="s">
        <v>620</v>
      </c>
      <c r="B316" t="s">
        <v>458</v>
      </c>
      <c r="C316" t="s">
        <v>50</v>
      </c>
      <c r="D316" t="s">
        <v>113</v>
      </c>
      <c r="E316" t="s">
        <v>35</v>
      </c>
      <c r="F316" t="s">
        <v>83</v>
      </c>
      <c r="G316" t="s">
        <v>28</v>
      </c>
      <c r="H316" t="s">
        <v>64</v>
      </c>
      <c r="I316">
        <v>257243</v>
      </c>
      <c r="J316">
        <v>7</v>
      </c>
      <c r="K316">
        <v>4.2</v>
      </c>
      <c r="L316">
        <v>5</v>
      </c>
      <c r="M316" t="s">
        <v>80</v>
      </c>
    </row>
    <row r="317" spans="1:13">
      <c r="A317" t="s">
        <v>621</v>
      </c>
      <c r="B317" t="s">
        <v>622</v>
      </c>
      <c r="C317" t="s">
        <v>122</v>
      </c>
      <c r="D317" t="s">
        <v>109</v>
      </c>
      <c r="E317" t="s">
        <v>52</v>
      </c>
      <c r="F317" t="s">
        <v>60</v>
      </c>
      <c r="G317" t="s">
        <v>19</v>
      </c>
      <c r="H317" t="s">
        <v>36</v>
      </c>
      <c r="I317">
        <v>12048</v>
      </c>
      <c r="J317">
        <v>8</v>
      </c>
      <c r="K317">
        <v>4.5</v>
      </c>
      <c r="L317">
        <v>2</v>
      </c>
      <c r="M317" t="s">
        <v>30</v>
      </c>
    </row>
    <row r="318" spans="1:13">
      <c r="A318" t="s">
        <v>623</v>
      </c>
      <c r="B318" t="s">
        <v>624</v>
      </c>
      <c r="C318" t="s">
        <v>75</v>
      </c>
      <c r="D318" t="s">
        <v>51</v>
      </c>
      <c r="E318" t="s">
        <v>52</v>
      </c>
      <c r="F318" t="s">
        <v>18</v>
      </c>
      <c r="G318" t="s">
        <v>104</v>
      </c>
      <c r="H318" t="s">
        <v>20</v>
      </c>
      <c r="I318">
        <v>1843</v>
      </c>
      <c r="J318">
        <v>1</v>
      </c>
      <c r="K318">
        <v>4</v>
      </c>
      <c r="L318">
        <v>7</v>
      </c>
      <c r="M318" t="s">
        <v>126</v>
      </c>
    </row>
    <row r="319" spans="1:13">
      <c r="A319" t="s">
        <v>625</v>
      </c>
      <c r="B319" t="s">
        <v>626</v>
      </c>
      <c r="C319" t="s">
        <v>24</v>
      </c>
      <c r="D319" t="s">
        <v>113</v>
      </c>
      <c r="E319" t="s">
        <v>35</v>
      </c>
      <c r="F319" t="s">
        <v>27</v>
      </c>
      <c r="G319" t="s">
        <v>28</v>
      </c>
      <c r="H319" t="s">
        <v>64</v>
      </c>
      <c r="I319">
        <v>55013</v>
      </c>
      <c r="J319">
        <v>1</v>
      </c>
      <c r="K319">
        <v>4.0999999999999996</v>
      </c>
      <c r="L319">
        <v>1</v>
      </c>
      <c r="M319" t="s">
        <v>192</v>
      </c>
    </row>
    <row r="320" spans="1:13">
      <c r="A320" t="s">
        <v>627</v>
      </c>
      <c r="B320" t="s">
        <v>275</v>
      </c>
      <c r="C320" t="s">
        <v>33</v>
      </c>
      <c r="D320" t="s">
        <v>86</v>
      </c>
      <c r="E320" t="s">
        <v>17</v>
      </c>
      <c r="F320" t="s">
        <v>53</v>
      </c>
      <c r="G320" t="s">
        <v>19</v>
      </c>
      <c r="H320" t="s">
        <v>36</v>
      </c>
      <c r="I320">
        <v>3490</v>
      </c>
      <c r="J320">
        <v>5</v>
      </c>
      <c r="K320">
        <v>4.5</v>
      </c>
      <c r="L320">
        <v>3</v>
      </c>
      <c r="M320" t="s">
        <v>119</v>
      </c>
    </row>
    <row r="321" spans="1:13">
      <c r="A321" t="s">
        <v>628</v>
      </c>
      <c r="B321" t="s">
        <v>115</v>
      </c>
      <c r="C321" t="s">
        <v>75</v>
      </c>
      <c r="D321" t="s">
        <v>147</v>
      </c>
      <c r="E321" t="s">
        <v>52</v>
      </c>
      <c r="F321" t="s">
        <v>100</v>
      </c>
      <c r="G321" t="s">
        <v>104</v>
      </c>
      <c r="H321" t="s">
        <v>29</v>
      </c>
      <c r="I321">
        <v>13076</v>
      </c>
      <c r="J321">
        <v>7</v>
      </c>
      <c r="K321">
        <v>4.0999999999999996</v>
      </c>
      <c r="L321">
        <v>2</v>
      </c>
      <c r="M321" t="s">
        <v>21</v>
      </c>
    </row>
    <row r="322" spans="1:13">
      <c r="A322" t="s">
        <v>629</v>
      </c>
      <c r="B322" t="s">
        <v>630</v>
      </c>
      <c r="C322" t="s">
        <v>78</v>
      </c>
      <c r="D322" t="s">
        <v>130</v>
      </c>
      <c r="E322" t="s">
        <v>35</v>
      </c>
      <c r="F322" t="s">
        <v>18</v>
      </c>
      <c r="G322" t="s">
        <v>104</v>
      </c>
      <c r="H322" t="s">
        <v>29</v>
      </c>
      <c r="I322">
        <v>311416</v>
      </c>
      <c r="J322">
        <v>4</v>
      </c>
      <c r="K322">
        <v>3.5</v>
      </c>
      <c r="L322">
        <v>2</v>
      </c>
      <c r="M322" t="s">
        <v>37</v>
      </c>
    </row>
    <row r="323" spans="1:13">
      <c r="A323" t="s">
        <v>631</v>
      </c>
      <c r="B323" t="s">
        <v>587</v>
      </c>
      <c r="C323" t="s">
        <v>146</v>
      </c>
      <c r="D323" t="s">
        <v>218</v>
      </c>
      <c r="E323" t="s">
        <v>17</v>
      </c>
      <c r="F323" t="s">
        <v>27</v>
      </c>
      <c r="G323" t="s">
        <v>28</v>
      </c>
      <c r="H323" t="s">
        <v>36</v>
      </c>
      <c r="I323">
        <v>8605</v>
      </c>
      <c r="J323">
        <v>5</v>
      </c>
      <c r="K323">
        <v>4.5999999999999996</v>
      </c>
      <c r="L323">
        <v>6</v>
      </c>
      <c r="M323" t="s">
        <v>30</v>
      </c>
    </row>
    <row r="324" spans="1:13">
      <c r="A324" t="s">
        <v>632</v>
      </c>
      <c r="B324" t="s">
        <v>533</v>
      </c>
      <c r="C324" t="s">
        <v>103</v>
      </c>
      <c r="D324" t="s">
        <v>41</v>
      </c>
      <c r="E324" t="s">
        <v>42</v>
      </c>
      <c r="F324" t="s">
        <v>83</v>
      </c>
      <c r="G324" t="s">
        <v>104</v>
      </c>
      <c r="H324" t="s">
        <v>36</v>
      </c>
      <c r="I324">
        <v>6572</v>
      </c>
      <c r="J324">
        <v>2</v>
      </c>
      <c r="K324">
        <v>4.9000000000000004</v>
      </c>
      <c r="L324">
        <v>1</v>
      </c>
      <c r="M324" t="s">
        <v>21</v>
      </c>
    </row>
    <row r="325" spans="1:13">
      <c r="A325" t="s">
        <v>633</v>
      </c>
      <c r="B325" t="s">
        <v>559</v>
      </c>
      <c r="C325" t="s">
        <v>125</v>
      </c>
      <c r="D325" t="s">
        <v>46</v>
      </c>
      <c r="E325" t="s">
        <v>42</v>
      </c>
      <c r="F325" t="s">
        <v>27</v>
      </c>
      <c r="G325" t="s">
        <v>19</v>
      </c>
      <c r="H325" t="s">
        <v>20</v>
      </c>
      <c r="I325">
        <v>7470</v>
      </c>
      <c r="J325">
        <v>3</v>
      </c>
      <c r="K325">
        <v>3.7</v>
      </c>
      <c r="L325">
        <v>4</v>
      </c>
      <c r="M325" t="s">
        <v>87</v>
      </c>
    </row>
    <row r="326" spans="1:13">
      <c r="A326" t="s">
        <v>634</v>
      </c>
      <c r="B326" t="s">
        <v>635</v>
      </c>
      <c r="C326" t="s">
        <v>75</v>
      </c>
      <c r="D326" t="s">
        <v>109</v>
      </c>
      <c r="E326" t="s">
        <v>52</v>
      </c>
      <c r="F326" t="s">
        <v>27</v>
      </c>
      <c r="G326" t="s">
        <v>28</v>
      </c>
      <c r="H326" t="s">
        <v>36</v>
      </c>
      <c r="I326">
        <v>5088</v>
      </c>
      <c r="J326">
        <v>4</v>
      </c>
      <c r="K326">
        <v>4.5999999999999996</v>
      </c>
      <c r="L326">
        <v>2</v>
      </c>
      <c r="M326" t="s">
        <v>37</v>
      </c>
    </row>
    <row r="327" spans="1:13">
      <c r="A327" t="s">
        <v>636</v>
      </c>
      <c r="B327" t="s">
        <v>637</v>
      </c>
      <c r="C327" t="s">
        <v>50</v>
      </c>
      <c r="D327" t="s">
        <v>25</v>
      </c>
      <c r="E327" t="s">
        <v>26</v>
      </c>
      <c r="F327" t="s">
        <v>83</v>
      </c>
      <c r="G327" t="s">
        <v>19</v>
      </c>
      <c r="H327" t="s">
        <v>36</v>
      </c>
      <c r="I327">
        <v>31806</v>
      </c>
      <c r="J327">
        <v>6</v>
      </c>
      <c r="K327">
        <v>4.0999999999999996</v>
      </c>
      <c r="L327">
        <v>5</v>
      </c>
      <c r="M327" t="s">
        <v>65</v>
      </c>
    </row>
    <row r="328" spans="1:13">
      <c r="A328" t="s">
        <v>638</v>
      </c>
      <c r="B328" t="s">
        <v>446</v>
      </c>
      <c r="C328" t="s">
        <v>170</v>
      </c>
      <c r="D328" t="s">
        <v>69</v>
      </c>
      <c r="E328" t="s">
        <v>26</v>
      </c>
      <c r="F328" t="s">
        <v>27</v>
      </c>
      <c r="G328" t="s">
        <v>54</v>
      </c>
      <c r="H328" t="s">
        <v>36</v>
      </c>
      <c r="I328">
        <v>8290</v>
      </c>
      <c r="J328">
        <v>1</v>
      </c>
      <c r="K328">
        <v>5</v>
      </c>
      <c r="L328">
        <v>8</v>
      </c>
      <c r="M328" t="s">
        <v>65</v>
      </c>
    </row>
    <row r="329" spans="1:13">
      <c r="A329" t="s">
        <v>639</v>
      </c>
      <c r="B329" t="s">
        <v>640</v>
      </c>
      <c r="C329" t="s">
        <v>103</v>
      </c>
      <c r="D329" t="s">
        <v>51</v>
      </c>
      <c r="E329" t="s">
        <v>52</v>
      </c>
      <c r="F329" t="s">
        <v>60</v>
      </c>
      <c r="G329" t="s">
        <v>104</v>
      </c>
      <c r="H329" t="s">
        <v>29</v>
      </c>
      <c r="I329">
        <v>3462</v>
      </c>
      <c r="J329">
        <v>2</v>
      </c>
      <c r="K329">
        <v>4.2</v>
      </c>
      <c r="L329">
        <v>4</v>
      </c>
      <c r="M329" t="s">
        <v>30</v>
      </c>
    </row>
    <row r="330" spans="1:13">
      <c r="A330" t="s">
        <v>641</v>
      </c>
      <c r="B330" t="s">
        <v>434</v>
      </c>
      <c r="C330" t="s">
        <v>58</v>
      </c>
      <c r="D330" t="s">
        <v>51</v>
      </c>
      <c r="E330" t="s">
        <v>52</v>
      </c>
      <c r="F330" t="s">
        <v>27</v>
      </c>
      <c r="G330" t="s">
        <v>19</v>
      </c>
      <c r="H330" t="s">
        <v>36</v>
      </c>
      <c r="I330">
        <v>7096</v>
      </c>
      <c r="J330">
        <v>4</v>
      </c>
      <c r="K330">
        <v>4</v>
      </c>
      <c r="L330">
        <v>3</v>
      </c>
      <c r="M330" t="s">
        <v>47</v>
      </c>
    </row>
    <row r="331" spans="1:13">
      <c r="A331" t="s">
        <v>642</v>
      </c>
      <c r="B331" t="s">
        <v>429</v>
      </c>
      <c r="C331" t="s">
        <v>133</v>
      </c>
      <c r="D331" t="s">
        <v>34</v>
      </c>
      <c r="E331" t="s">
        <v>35</v>
      </c>
      <c r="F331" t="s">
        <v>60</v>
      </c>
      <c r="G331" t="s">
        <v>19</v>
      </c>
      <c r="H331" t="s">
        <v>29</v>
      </c>
      <c r="I331">
        <v>151312</v>
      </c>
      <c r="J331">
        <v>7</v>
      </c>
      <c r="K331">
        <v>4.7</v>
      </c>
      <c r="L331">
        <v>3</v>
      </c>
      <c r="M331" t="s">
        <v>30</v>
      </c>
    </row>
    <row r="332" spans="1:13">
      <c r="A332" t="s">
        <v>643</v>
      </c>
      <c r="B332" t="s">
        <v>195</v>
      </c>
      <c r="C332" t="s">
        <v>68</v>
      </c>
      <c r="D332" t="s">
        <v>46</v>
      </c>
      <c r="E332" t="s">
        <v>42</v>
      </c>
      <c r="F332" t="s">
        <v>60</v>
      </c>
      <c r="G332" t="s">
        <v>104</v>
      </c>
      <c r="H332" t="s">
        <v>29</v>
      </c>
      <c r="I332">
        <v>1191</v>
      </c>
      <c r="J332">
        <v>1</v>
      </c>
      <c r="K332">
        <v>4.7</v>
      </c>
      <c r="L332">
        <v>8</v>
      </c>
      <c r="M332" t="s">
        <v>21</v>
      </c>
    </row>
    <row r="333" spans="1:13">
      <c r="A333" t="s">
        <v>644</v>
      </c>
      <c r="B333" t="s">
        <v>622</v>
      </c>
      <c r="C333" t="s">
        <v>58</v>
      </c>
      <c r="D333" t="s">
        <v>130</v>
      </c>
      <c r="E333" t="s">
        <v>35</v>
      </c>
      <c r="F333" t="s">
        <v>100</v>
      </c>
      <c r="G333" t="s">
        <v>19</v>
      </c>
      <c r="H333" t="s">
        <v>29</v>
      </c>
      <c r="I333">
        <v>282350</v>
      </c>
      <c r="J333">
        <v>5</v>
      </c>
      <c r="K333">
        <v>4.8</v>
      </c>
      <c r="L333">
        <v>4</v>
      </c>
      <c r="M333" t="s">
        <v>30</v>
      </c>
    </row>
    <row r="334" spans="1:13">
      <c r="A334" t="s">
        <v>645</v>
      </c>
      <c r="B334" t="s">
        <v>646</v>
      </c>
      <c r="C334" t="s">
        <v>24</v>
      </c>
      <c r="D334" t="s">
        <v>130</v>
      </c>
      <c r="E334" t="s">
        <v>35</v>
      </c>
      <c r="F334" t="s">
        <v>27</v>
      </c>
      <c r="G334" t="s">
        <v>104</v>
      </c>
      <c r="H334" t="s">
        <v>64</v>
      </c>
      <c r="I334">
        <v>419576</v>
      </c>
      <c r="J334">
        <v>8</v>
      </c>
      <c r="K334">
        <v>4</v>
      </c>
      <c r="L334">
        <v>3</v>
      </c>
      <c r="M334" t="s">
        <v>119</v>
      </c>
    </row>
    <row r="335" spans="1:13">
      <c r="A335" t="s">
        <v>647</v>
      </c>
      <c r="B335" t="s">
        <v>589</v>
      </c>
      <c r="C335" t="s">
        <v>45</v>
      </c>
      <c r="D335" t="s">
        <v>69</v>
      </c>
      <c r="E335" t="s">
        <v>26</v>
      </c>
      <c r="F335" t="s">
        <v>27</v>
      </c>
      <c r="G335" t="s">
        <v>28</v>
      </c>
      <c r="H335" t="s">
        <v>29</v>
      </c>
      <c r="I335">
        <v>11982</v>
      </c>
      <c r="J335">
        <v>2</v>
      </c>
      <c r="K335">
        <v>4.4000000000000004</v>
      </c>
      <c r="L335">
        <v>5</v>
      </c>
      <c r="M335" t="s">
        <v>87</v>
      </c>
    </row>
    <row r="336" spans="1:13">
      <c r="A336" t="s">
        <v>648</v>
      </c>
      <c r="B336" t="s">
        <v>222</v>
      </c>
      <c r="C336" t="s">
        <v>75</v>
      </c>
      <c r="D336" t="s">
        <v>46</v>
      </c>
      <c r="E336" t="s">
        <v>42</v>
      </c>
      <c r="F336" t="s">
        <v>83</v>
      </c>
      <c r="G336" t="s">
        <v>19</v>
      </c>
      <c r="H336" t="s">
        <v>64</v>
      </c>
      <c r="I336">
        <v>7112</v>
      </c>
      <c r="J336">
        <v>8</v>
      </c>
      <c r="K336">
        <v>4.5</v>
      </c>
      <c r="L336">
        <v>5</v>
      </c>
      <c r="M336" t="s">
        <v>30</v>
      </c>
    </row>
    <row r="337" spans="1:13">
      <c r="A337" t="s">
        <v>649</v>
      </c>
      <c r="B337" t="s">
        <v>242</v>
      </c>
      <c r="C337" t="s">
        <v>68</v>
      </c>
      <c r="D337" t="s">
        <v>16</v>
      </c>
      <c r="E337" t="s">
        <v>17</v>
      </c>
      <c r="F337" t="s">
        <v>53</v>
      </c>
      <c r="G337" t="s">
        <v>19</v>
      </c>
      <c r="H337" t="s">
        <v>36</v>
      </c>
      <c r="I337">
        <v>11384</v>
      </c>
      <c r="J337">
        <v>8</v>
      </c>
      <c r="K337">
        <v>4.5999999999999996</v>
      </c>
      <c r="L337">
        <v>2</v>
      </c>
      <c r="M337" t="s">
        <v>87</v>
      </c>
    </row>
    <row r="338" spans="1:13">
      <c r="A338" t="s">
        <v>650</v>
      </c>
      <c r="B338" t="s">
        <v>615</v>
      </c>
      <c r="C338" t="s">
        <v>15</v>
      </c>
      <c r="D338" t="s">
        <v>46</v>
      </c>
      <c r="E338" t="s">
        <v>42</v>
      </c>
      <c r="F338" t="s">
        <v>18</v>
      </c>
      <c r="G338" t="s">
        <v>104</v>
      </c>
      <c r="H338" t="s">
        <v>29</v>
      </c>
      <c r="I338">
        <v>6940</v>
      </c>
      <c r="J338">
        <v>4</v>
      </c>
      <c r="K338">
        <v>4.0999999999999996</v>
      </c>
      <c r="L338">
        <v>3</v>
      </c>
      <c r="M338" t="s">
        <v>37</v>
      </c>
    </row>
    <row r="339" spans="1:13">
      <c r="A339" t="s">
        <v>651</v>
      </c>
      <c r="B339" t="s">
        <v>652</v>
      </c>
      <c r="C339" t="s">
        <v>58</v>
      </c>
      <c r="D339" t="s">
        <v>90</v>
      </c>
      <c r="E339" t="s">
        <v>42</v>
      </c>
      <c r="F339" t="s">
        <v>60</v>
      </c>
      <c r="G339" t="s">
        <v>104</v>
      </c>
      <c r="H339" t="s">
        <v>29</v>
      </c>
      <c r="I339">
        <v>25585</v>
      </c>
      <c r="J339">
        <v>5</v>
      </c>
      <c r="K339">
        <v>4.3</v>
      </c>
      <c r="L339">
        <v>8</v>
      </c>
      <c r="M339" t="s">
        <v>30</v>
      </c>
    </row>
    <row r="340" spans="1:13">
      <c r="A340" t="s">
        <v>653</v>
      </c>
      <c r="B340" t="s">
        <v>561</v>
      </c>
      <c r="C340" t="s">
        <v>112</v>
      </c>
      <c r="D340" t="s">
        <v>159</v>
      </c>
      <c r="E340" t="s">
        <v>42</v>
      </c>
      <c r="F340" t="s">
        <v>83</v>
      </c>
      <c r="G340" t="s">
        <v>104</v>
      </c>
      <c r="H340" t="s">
        <v>29</v>
      </c>
      <c r="I340">
        <v>22624</v>
      </c>
      <c r="J340">
        <v>8</v>
      </c>
      <c r="K340">
        <v>3.7</v>
      </c>
      <c r="L340">
        <v>1</v>
      </c>
      <c r="M340" t="s">
        <v>87</v>
      </c>
    </row>
    <row r="341" spans="1:13">
      <c r="A341" t="s">
        <v>654</v>
      </c>
      <c r="B341" t="s">
        <v>523</v>
      </c>
      <c r="C341" t="s">
        <v>78</v>
      </c>
      <c r="D341" t="s">
        <v>41</v>
      </c>
      <c r="E341" t="s">
        <v>42</v>
      </c>
      <c r="F341" t="s">
        <v>53</v>
      </c>
      <c r="G341" t="s">
        <v>19</v>
      </c>
      <c r="H341" t="s">
        <v>64</v>
      </c>
      <c r="I341">
        <v>33808</v>
      </c>
      <c r="J341">
        <v>8</v>
      </c>
      <c r="K341">
        <v>4.3</v>
      </c>
      <c r="L341">
        <v>1</v>
      </c>
      <c r="M341" t="s">
        <v>119</v>
      </c>
    </row>
    <row r="342" spans="1:13">
      <c r="A342" t="s">
        <v>655</v>
      </c>
      <c r="B342" t="s">
        <v>656</v>
      </c>
      <c r="C342" t="s">
        <v>112</v>
      </c>
      <c r="D342" t="s">
        <v>69</v>
      </c>
      <c r="E342" t="s">
        <v>26</v>
      </c>
      <c r="F342" t="s">
        <v>100</v>
      </c>
      <c r="G342" t="s">
        <v>104</v>
      </c>
      <c r="H342" t="s">
        <v>29</v>
      </c>
      <c r="I342">
        <v>20432</v>
      </c>
      <c r="J342">
        <v>4</v>
      </c>
      <c r="K342">
        <v>3.3</v>
      </c>
      <c r="L342">
        <v>4</v>
      </c>
      <c r="M342" t="s">
        <v>55</v>
      </c>
    </row>
    <row r="343" spans="1:13">
      <c r="A343" t="s">
        <v>657</v>
      </c>
      <c r="B343" t="s">
        <v>201</v>
      </c>
      <c r="C343" t="s">
        <v>103</v>
      </c>
      <c r="D343" t="s">
        <v>59</v>
      </c>
      <c r="E343" t="s">
        <v>26</v>
      </c>
      <c r="F343" t="s">
        <v>27</v>
      </c>
      <c r="G343" t="s">
        <v>28</v>
      </c>
      <c r="H343" t="s">
        <v>20</v>
      </c>
      <c r="I343">
        <v>10432</v>
      </c>
      <c r="J343">
        <v>4</v>
      </c>
      <c r="K343">
        <v>4.3</v>
      </c>
      <c r="L343">
        <v>8</v>
      </c>
      <c r="M343" t="s">
        <v>55</v>
      </c>
    </row>
    <row r="344" spans="1:13">
      <c r="A344" t="s">
        <v>658</v>
      </c>
      <c r="B344" t="s">
        <v>536</v>
      </c>
      <c r="C344" t="s">
        <v>15</v>
      </c>
      <c r="D344" t="s">
        <v>113</v>
      </c>
      <c r="E344" t="s">
        <v>35</v>
      </c>
      <c r="F344" t="s">
        <v>83</v>
      </c>
      <c r="G344" t="s">
        <v>54</v>
      </c>
      <c r="H344" t="s">
        <v>20</v>
      </c>
      <c r="I344">
        <v>26871</v>
      </c>
      <c r="J344">
        <v>1</v>
      </c>
      <c r="K344">
        <v>3.7</v>
      </c>
      <c r="L344">
        <v>8</v>
      </c>
      <c r="M344" t="s">
        <v>80</v>
      </c>
    </row>
    <row r="345" spans="1:13">
      <c r="A345" t="s">
        <v>659</v>
      </c>
      <c r="B345" t="s">
        <v>660</v>
      </c>
      <c r="C345" t="s">
        <v>170</v>
      </c>
      <c r="D345" t="s">
        <v>116</v>
      </c>
      <c r="E345" t="s">
        <v>17</v>
      </c>
      <c r="F345" t="s">
        <v>18</v>
      </c>
      <c r="G345" t="s">
        <v>19</v>
      </c>
      <c r="H345" t="s">
        <v>36</v>
      </c>
      <c r="I345">
        <v>6960</v>
      </c>
      <c r="J345">
        <v>6</v>
      </c>
      <c r="K345">
        <v>4.5</v>
      </c>
      <c r="L345">
        <v>1</v>
      </c>
      <c r="M345" t="s">
        <v>37</v>
      </c>
    </row>
    <row r="346" spans="1:13">
      <c r="A346" t="s">
        <v>661</v>
      </c>
      <c r="B346" t="s">
        <v>589</v>
      </c>
      <c r="C346" t="s">
        <v>50</v>
      </c>
      <c r="D346" t="s">
        <v>97</v>
      </c>
      <c r="E346" t="s">
        <v>35</v>
      </c>
      <c r="F346" t="s">
        <v>60</v>
      </c>
      <c r="G346" t="s">
        <v>19</v>
      </c>
      <c r="H346" t="s">
        <v>36</v>
      </c>
      <c r="I346">
        <v>282224</v>
      </c>
      <c r="J346">
        <v>8</v>
      </c>
      <c r="K346">
        <v>3.4</v>
      </c>
      <c r="L346">
        <v>4</v>
      </c>
      <c r="M346" t="s">
        <v>87</v>
      </c>
    </row>
    <row r="347" spans="1:13">
      <c r="A347" t="s">
        <v>662</v>
      </c>
      <c r="B347" t="s">
        <v>663</v>
      </c>
      <c r="C347" t="s">
        <v>78</v>
      </c>
      <c r="D347" t="s">
        <v>51</v>
      </c>
      <c r="E347" t="s">
        <v>52</v>
      </c>
      <c r="F347" t="s">
        <v>100</v>
      </c>
      <c r="G347" t="s">
        <v>54</v>
      </c>
      <c r="H347" t="s">
        <v>29</v>
      </c>
      <c r="I347">
        <v>7372</v>
      </c>
      <c r="J347">
        <v>4</v>
      </c>
      <c r="K347">
        <v>4.3</v>
      </c>
      <c r="L347">
        <v>1</v>
      </c>
      <c r="M347" t="s">
        <v>87</v>
      </c>
    </row>
    <row r="348" spans="1:13">
      <c r="A348" t="s">
        <v>664</v>
      </c>
      <c r="B348" t="s">
        <v>597</v>
      </c>
      <c r="C348" t="s">
        <v>24</v>
      </c>
      <c r="D348" t="s">
        <v>46</v>
      </c>
      <c r="E348" t="s">
        <v>42</v>
      </c>
      <c r="F348" t="s">
        <v>53</v>
      </c>
      <c r="G348" t="s">
        <v>54</v>
      </c>
      <c r="H348" t="s">
        <v>64</v>
      </c>
      <c r="I348">
        <v>15798</v>
      </c>
      <c r="J348">
        <v>6</v>
      </c>
      <c r="K348">
        <v>4</v>
      </c>
      <c r="L348">
        <v>1</v>
      </c>
      <c r="M348" t="s">
        <v>37</v>
      </c>
    </row>
    <row r="349" spans="1:13">
      <c r="A349" t="s">
        <v>665</v>
      </c>
      <c r="B349" t="s">
        <v>666</v>
      </c>
      <c r="C349" t="s">
        <v>45</v>
      </c>
      <c r="D349" t="s">
        <v>147</v>
      </c>
      <c r="E349" t="s">
        <v>52</v>
      </c>
      <c r="F349" t="s">
        <v>53</v>
      </c>
      <c r="G349" t="s">
        <v>54</v>
      </c>
      <c r="H349" t="s">
        <v>36</v>
      </c>
      <c r="I349">
        <v>7072</v>
      </c>
      <c r="J349">
        <v>8</v>
      </c>
      <c r="K349">
        <v>3.5</v>
      </c>
      <c r="L349">
        <v>2</v>
      </c>
      <c r="M349" t="s">
        <v>144</v>
      </c>
    </row>
    <row r="350" spans="1:13">
      <c r="A350" t="s">
        <v>667</v>
      </c>
      <c r="B350" t="s">
        <v>668</v>
      </c>
      <c r="C350" t="s">
        <v>146</v>
      </c>
      <c r="D350" t="s">
        <v>34</v>
      </c>
      <c r="E350" t="s">
        <v>35</v>
      </c>
      <c r="F350" t="s">
        <v>27</v>
      </c>
      <c r="G350" t="s">
        <v>19</v>
      </c>
      <c r="H350" t="s">
        <v>36</v>
      </c>
      <c r="I350">
        <v>65994</v>
      </c>
      <c r="J350">
        <v>2</v>
      </c>
      <c r="K350">
        <v>4.5999999999999996</v>
      </c>
      <c r="L350">
        <v>6</v>
      </c>
      <c r="M350" t="s">
        <v>119</v>
      </c>
    </row>
    <row r="351" spans="1:13">
      <c r="A351" t="s">
        <v>669</v>
      </c>
      <c r="B351" t="s">
        <v>670</v>
      </c>
      <c r="C351" t="s">
        <v>179</v>
      </c>
      <c r="D351" t="s">
        <v>46</v>
      </c>
      <c r="E351" t="s">
        <v>42</v>
      </c>
      <c r="F351" t="s">
        <v>100</v>
      </c>
      <c r="G351" t="s">
        <v>19</v>
      </c>
      <c r="H351" t="s">
        <v>29</v>
      </c>
      <c r="I351">
        <v>26395</v>
      </c>
      <c r="J351">
        <v>5</v>
      </c>
      <c r="K351">
        <v>4.2</v>
      </c>
      <c r="L351">
        <v>8</v>
      </c>
      <c r="M351" t="s">
        <v>80</v>
      </c>
    </row>
    <row r="352" spans="1:13">
      <c r="A352" t="s">
        <v>671</v>
      </c>
      <c r="B352" t="s">
        <v>14</v>
      </c>
      <c r="C352" t="s">
        <v>146</v>
      </c>
      <c r="D352" t="s">
        <v>97</v>
      </c>
      <c r="E352" t="s">
        <v>35</v>
      </c>
      <c r="F352" t="s">
        <v>18</v>
      </c>
      <c r="G352" t="s">
        <v>28</v>
      </c>
      <c r="H352" t="s">
        <v>20</v>
      </c>
      <c r="I352">
        <v>68457</v>
      </c>
      <c r="J352">
        <v>3</v>
      </c>
      <c r="K352">
        <v>4.7</v>
      </c>
      <c r="L352">
        <v>6</v>
      </c>
      <c r="M352" t="s">
        <v>21</v>
      </c>
    </row>
    <row r="353" spans="1:13">
      <c r="A353" t="s">
        <v>672</v>
      </c>
      <c r="B353" t="s">
        <v>673</v>
      </c>
      <c r="C353" t="s">
        <v>78</v>
      </c>
      <c r="D353" t="s">
        <v>218</v>
      </c>
      <c r="E353" t="s">
        <v>17</v>
      </c>
      <c r="F353" t="s">
        <v>83</v>
      </c>
      <c r="G353" t="s">
        <v>104</v>
      </c>
      <c r="H353" t="s">
        <v>29</v>
      </c>
      <c r="I353">
        <v>3824</v>
      </c>
      <c r="J353">
        <v>4</v>
      </c>
      <c r="K353">
        <v>4.0999999999999996</v>
      </c>
      <c r="L353">
        <v>8</v>
      </c>
      <c r="M353" t="s">
        <v>192</v>
      </c>
    </row>
    <row r="354" spans="1:13">
      <c r="A354" t="s">
        <v>674</v>
      </c>
      <c r="B354" t="s">
        <v>675</v>
      </c>
      <c r="C354" t="s">
        <v>68</v>
      </c>
      <c r="D354" t="s">
        <v>46</v>
      </c>
      <c r="E354" t="s">
        <v>42</v>
      </c>
      <c r="F354" t="s">
        <v>60</v>
      </c>
      <c r="G354" t="s">
        <v>19</v>
      </c>
      <c r="H354" t="s">
        <v>36</v>
      </c>
      <c r="I354">
        <v>3526</v>
      </c>
      <c r="J354">
        <v>2</v>
      </c>
      <c r="K354">
        <v>4.8</v>
      </c>
      <c r="L354">
        <v>4</v>
      </c>
      <c r="M354" t="s">
        <v>87</v>
      </c>
    </row>
    <row r="355" spans="1:13">
      <c r="A355" t="s">
        <v>676</v>
      </c>
      <c r="B355" t="s">
        <v>275</v>
      </c>
      <c r="C355" t="s">
        <v>15</v>
      </c>
      <c r="D355" t="s">
        <v>116</v>
      </c>
      <c r="E355" t="s">
        <v>17</v>
      </c>
      <c r="F355" t="s">
        <v>83</v>
      </c>
      <c r="G355" t="s">
        <v>28</v>
      </c>
      <c r="H355" t="s">
        <v>36</v>
      </c>
      <c r="I355">
        <v>11008</v>
      </c>
      <c r="J355">
        <v>8</v>
      </c>
      <c r="K355">
        <v>4.3</v>
      </c>
      <c r="L355">
        <v>2</v>
      </c>
      <c r="M355" t="s">
        <v>119</v>
      </c>
    </row>
    <row r="356" spans="1:13">
      <c r="A356" t="s">
        <v>677</v>
      </c>
      <c r="B356" t="s">
        <v>379</v>
      </c>
      <c r="C356" t="s">
        <v>40</v>
      </c>
      <c r="D356" t="s">
        <v>41</v>
      </c>
      <c r="E356" t="s">
        <v>42</v>
      </c>
      <c r="F356" t="s">
        <v>18</v>
      </c>
      <c r="G356" t="s">
        <v>19</v>
      </c>
      <c r="H356" t="s">
        <v>36</v>
      </c>
      <c r="I356">
        <v>20139</v>
      </c>
      <c r="J356">
        <v>7</v>
      </c>
      <c r="K356">
        <v>3.3</v>
      </c>
      <c r="L356">
        <v>2</v>
      </c>
      <c r="M356" t="s">
        <v>55</v>
      </c>
    </row>
    <row r="357" spans="1:13">
      <c r="A357" t="s">
        <v>678</v>
      </c>
      <c r="B357" t="s">
        <v>387</v>
      </c>
      <c r="C357" t="s">
        <v>78</v>
      </c>
      <c r="D357" t="s">
        <v>86</v>
      </c>
      <c r="E357" t="s">
        <v>17</v>
      </c>
      <c r="F357" t="s">
        <v>27</v>
      </c>
      <c r="G357" t="s">
        <v>28</v>
      </c>
      <c r="H357" t="s">
        <v>36</v>
      </c>
      <c r="I357">
        <v>4816</v>
      </c>
      <c r="J357">
        <v>7</v>
      </c>
      <c r="K357">
        <v>4.3</v>
      </c>
      <c r="L357">
        <v>3</v>
      </c>
      <c r="M357" t="s">
        <v>65</v>
      </c>
    </row>
    <row r="358" spans="1:13">
      <c r="A358" t="s">
        <v>679</v>
      </c>
      <c r="B358" t="s">
        <v>141</v>
      </c>
      <c r="C358" t="s">
        <v>24</v>
      </c>
      <c r="D358" t="s">
        <v>59</v>
      </c>
      <c r="E358" t="s">
        <v>26</v>
      </c>
      <c r="F358" t="s">
        <v>100</v>
      </c>
      <c r="G358" t="s">
        <v>28</v>
      </c>
      <c r="H358" t="s">
        <v>29</v>
      </c>
      <c r="I358">
        <v>30040</v>
      </c>
      <c r="J358">
        <v>8</v>
      </c>
      <c r="K358">
        <v>4.2</v>
      </c>
      <c r="L358">
        <v>6</v>
      </c>
      <c r="M358" t="s">
        <v>119</v>
      </c>
    </row>
    <row r="359" spans="1:13">
      <c r="A359" t="s">
        <v>680</v>
      </c>
      <c r="B359" t="s">
        <v>681</v>
      </c>
      <c r="C359" t="s">
        <v>50</v>
      </c>
      <c r="D359" t="s">
        <v>165</v>
      </c>
      <c r="E359" t="s">
        <v>35</v>
      </c>
      <c r="F359" t="s">
        <v>100</v>
      </c>
      <c r="G359" t="s">
        <v>104</v>
      </c>
      <c r="H359" t="s">
        <v>29</v>
      </c>
      <c r="I359">
        <v>269370</v>
      </c>
      <c r="J359">
        <v>6</v>
      </c>
      <c r="K359">
        <v>4.2</v>
      </c>
      <c r="L359">
        <v>4</v>
      </c>
      <c r="M359" t="s">
        <v>126</v>
      </c>
    </row>
    <row r="360" spans="1:13">
      <c r="A360" t="s">
        <v>682</v>
      </c>
      <c r="B360" t="s">
        <v>300</v>
      </c>
      <c r="C360" t="s">
        <v>15</v>
      </c>
      <c r="D360" t="s">
        <v>90</v>
      </c>
      <c r="E360" t="s">
        <v>42</v>
      </c>
      <c r="F360" t="s">
        <v>53</v>
      </c>
      <c r="G360" t="s">
        <v>19</v>
      </c>
      <c r="H360" t="s">
        <v>20</v>
      </c>
      <c r="I360">
        <v>5580</v>
      </c>
      <c r="J360">
        <v>1</v>
      </c>
      <c r="K360">
        <v>4.0999999999999996</v>
      </c>
      <c r="L360">
        <v>5</v>
      </c>
      <c r="M360" t="s">
        <v>55</v>
      </c>
    </row>
    <row r="361" spans="1:13">
      <c r="A361" t="s">
        <v>683</v>
      </c>
      <c r="B361" t="s">
        <v>118</v>
      </c>
      <c r="C361" t="s">
        <v>146</v>
      </c>
      <c r="D361" t="s">
        <v>113</v>
      </c>
      <c r="E361" t="s">
        <v>35</v>
      </c>
      <c r="F361" t="s">
        <v>53</v>
      </c>
      <c r="G361" t="s">
        <v>19</v>
      </c>
      <c r="H361" t="s">
        <v>20</v>
      </c>
      <c r="I361">
        <v>377090</v>
      </c>
      <c r="J361">
        <v>5</v>
      </c>
      <c r="K361">
        <v>3.5</v>
      </c>
      <c r="L361">
        <v>1</v>
      </c>
      <c r="M361" t="s">
        <v>119</v>
      </c>
    </row>
    <row r="362" spans="1:13">
      <c r="A362" t="s">
        <v>684</v>
      </c>
      <c r="B362" t="s">
        <v>413</v>
      </c>
      <c r="C362" t="s">
        <v>75</v>
      </c>
      <c r="D362" t="s">
        <v>130</v>
      </c>
      <c r="E362" t="s">
        <v>35</v>
      </c>
      <c r="F362" t="s">
        <v>27</v>
      </c>
      <c r="G362" t="s">
        <v>104</v>
      </c>
      <c r="H362" t="s">
        <v>64</v>
      </c>
      <c r="I362">
        <v>167444</v>
      </c>
      <c r="J362">
        <v>4</v>
      </c>
      <c r="K362">
        <v>3.9</v>
      </c>
      <c r="L362">
        <v>4</v>
      </c>
      <c r="M362" t="s">
        <v>30</v>
      </c>
    </row>
    <row r="363" spans="1:13">
      <c r="A363" t="s">
        <v>685</v>
      </c>
      <c r="B363" t="s">
        <v>118</v>
      </c>
      <c r="C363" t="s">
        <v>170</v>
      </c>
      <c r="D363" t="s">
        <v>51</v>
      </c>
      <c r="E363" t="s">
        <v>52</v>
      </c>
      <c r="F363" t="s">
        <v>53</v>
      </c>
      <c r="G363" t="s">
        <v>28</v>
      </c>
      <c r="H363" t="s">
        <v>64</v>
      </c>
      <c r="I363">
        <v>2960</v>
      </c>
      <c r="J363">
        <v>2</v>
      </c>
      <c r="K363">
        <v>3.3</v>
      </c>
      <c r="L363">
        <v>1</v>
      </c>
      <c r="M363" t="s">
        <v>119</v>
      </c>
    </row>
    <row r="364" spans="1:13">
      <c r="A364" t="s">
        <v>686</v>
      </c>
      <c r="B364" t="s">
        <v>687</v>
      </c>
      <c r="C364" t="s">
        <v>170</v>
      </c>
      <c r="D364" t="s">
        <v>86</v>
      </c>
      <c r="E364" t="s">
        <v>17</v>
      </c>
      <c r="F364" t="s">
        <v>100</v>
      </c>
      <c r="G364" t="s">
        <v>19</v>
      </c>
      <c r="H364" t="s">
        <v>20</v>
      </c>
      <c r="I364">
        <v>1598</v>
      </c>
      <c r="J364">
        <v>1</v>
      </c>
      <c r="K364">
        <v>3.3</v>
      </c>
      <c r="L364">
        <v>3</v>
      </c>
      <c r="M364" t="s">
        <v>119</v>
      </c>
    </row>
    <row r="365" spans="1:13">
      <c r="A365" t="s">
        <v>688</v>
      </c>
      <c r="B365" t="s">
        <v>306</v>
      </c>
      <c r="C365" t="s">
        <v>125</v>
      </c>
      <c r="D365" t="s">
        <v>116</v>
      </c>
      <c r="E365" t="s">
        <v>17</v>
      </c>
      <c r="F365" t="s">
        <v>100</v>
      </c>
      <c r="G365" t="s">
        <v>54</v>
      </c>
      <c r="H365" t="s">
        <v>64</v>
      </c>
      <c r="I365">
        <v>1508</v>
      </c>
      <c r="J365">
        <v>2</v>
      </c>
      <c r="K365">
        <v>3.4</v>
      </c>
      <c r="L365">
        <v>2</v>
      </c>
      <c r="M365" t="s">
        <v>47</v>
      </c>
    </row>
    <row r="366" spans="1:13">
      <c r="A366" t="s">
        <v>689</v>
      </c>
      <c r="B366" t="s">
        <v>690</v>
      </c>
      <c r="C366" t="s">
        <v>58</v>
      </c>
      <c r="D366" t="s">
        <v>113</v>
      </c>
      <c r="E366" t="s">
        <v>35</v>
      </c>
      <c r="F366" t="s">
        <v>83</v>
      </c>
      <c r="G366" t="s">
        <v>19</v>
      </c>
      <c r="H366" t="s">
        <v>20</v>
      </c>
      <c r="I366">
        <v>141239</v>
      </c>
      <c r="J366">
        <v>7</v>
      </c>
      <c r="K366">
        <v>3.6</v>
      </c>
      <c r="L366">
        <v>7</v>
      </c>
      <c r="M366" t="s">
        <v>55</v>
      </c>
    </row>
    <row r="367" spans="1:13">
      <c r="A367" t="s">
        <v>691</v>
      </c>
      <c r="B367" t="s">
        <v>692</v>
      </c>
      <c r="C367" t="s">
        <v>170</v>
      </c>
      <c r="D367" t="s">
        <v>218</v>
      </c>
      <c r="E367" t="s">
        <v>17</v>
      </c>
      <c r="F367" t="s">
        <v>53</v>
      </c>
      <c r="G367" t="s">
        <v>54</v>
      </c>
      <c r="H367" t="s">
        <v>29</v>
      </c>
      <c r="I367">
        <v>10212</v>
      </c>
      <c r="J367">
        <v>6</v>
      </c>
      <c r="K367">
        <v>3.9</v>
      </c>
      <c r="L367">
        <v>4</v>
      </c>
      <c r="M367" t="s">
        <v>47</v>
      </c>
    </row>
    <row r="368" spans="1:13">
      <c r="A368" t="s">
        <v>693</v>
      </c>
      <c r="B368" t="s">
        <v>595</v>
      </c>
      <c r="C368" t="s">
        <v>72</v>
      </c>
      <c r="D368" t="s">
        <v>109</v>
      </c>
      <c r="E368" t="s">
        <v>52</v>
      </c>
      <c r="F368" t="s">
        <v>27</v>
      </c>
      <c r="G368" t="s">
        <v>54</v>
      </c>
      <c r="H368" t="s">
        <v>36</v>
      </c>
      <c r="I368">
        <v>6776</v>
      </c>
      <c r="J368">
        <v>8</v>
      </c>
      <c r="K368">
        <v>3.6</v>
      </c>
      <c r="L368">
        <v>6</v>
      </c>
      <c r="M368" t="s">
        <v>192</v>
      </c>
    </row>
    <row r="369" spans="1:13">
      <c r="A369" t="s">
        <v>694</v>
      </c>
      <c r="B369" t="s">
        <v>673</v>
      </c>
      <c r="C369" t="s">
        <v>170</v>
      </c>
      <c r="D369" t="s">
        <v>86</v>
      </c>
      <c r="E369" t="s">
        <v>17</v>
      </c>
      <c r="F369" t="s">
        <v>83</v>
      </c>
      <c r="G369" t="s">
        <v>19</v>
      </c>
      <c r="H369" t="s">
        <v>20</v>
      </c>
      <c r="I369">
        <v>2667</v>
      </c>
      <c r="J369">
        <v>3</v>
      </c>
      <c r="K369">
        <v>4</v>
      </c>
      <c r="L369">
        <v>1</v>
      </c>
      <c r="M369" t="s">
        <v>192</v>
      </c>
    </row>
    <row r="370" spans="1:13">
      <c r="A370" t="s">
        <v>695</v>
      </c>
      <c r="B370" t="s">
        <v>149</v>
      </c>
      <c r="C370" t="s">
        <v>103</v>
      </c>
      <c r="D370" t="s">
        <v>59</v>
      </c>
      <c r="E370" t="s">
        <v>26</v>
      </c>
      <c r="F370" t="s">
        <v>83</v>
      </c>
      <c r="G370" t="s">
        <v>54</v>
      </c>
      <c r="H370" t="s">
        <v>29</v>
      </c>
      <c r="I370">
        <v>82808</v>
      </c>
      <c r="J370">
        <v>8</v>
      </c>
      <c r="K370">
        <v>4.8</v>
      </c>
      <c r="L370">
        <v>1</v>
      </c>
      <c r="M370" t="s">
        <v>30</v>
      </c>
    </row>
    <row r="371" spans="1:13">
      <c r="A371" t="s">
        <v>696</v>
      </c>
      <c r="B371" t="s">
        <v>697</v>
      </c>
      <c r="C371" t="s">
        <v>68</v>
      </c>
      <c r="D371" t="s">
        <v>109</v>
      </c>
      <c r="E371" t="s">
        <v>52</v>
      </c>
      <c r="F371" t="s">
        <v>18</v>
      </c>
      <c r="G371" t="s">
        <v>104</v>
      </c>
      <c r="H371" t="s">
        <v>64</v>
      </c>
      <c r="I371">
        <v>2272</v>
      </c>
      <c r="J371">
        <v>8</v>
      </c>
      <c r="K371">
        <v>3.7</v>
      </c>
      <c r="L371">
        <v>6</v>
      </c>
      <c r="M371" t="s">
        <v>144</v>
      </c>
    </row>
    <row r="372" spans="1:13">
      <c r="A372" t="s">
        <v>698</v>
      </c>
      <c r="B372" t="s">
        <v>62</v>
      </c>
      <c r="C372" t="s">
        <v>78</v>
      </c>
      <c r="D372" t="s">
        <v>51</v>
      </c>
      <c r="E372" t="s">
        <v>52</v>
      </c>
      <c r="F372" t="s">
        <v>27</v>
      </c>
      <c r="G372" t="s">
        <v>54</v>
      </c>
      <c r="H372" t="s">
        <v>36</v>
      </c>
      <c r="I372">
        <v>4470</v>
      </c>
      <c r="J372">
        <v>2</v>
      </c>
      <c r="K372">
        <v>3.5</v>
      </c>
      <c r="L372">
        <v>8</v>
      </c>
      <c r="M372" t="s">
        <v>65</v>
      </c>
    </row>
    <row r="373" spans="1:13">
      <c r="A373" t="s">
        <v>699</v>
      </c>
      <c r="B373" t="s">
        <v>124</v>
      </c>
      <c r="C373" t="s">
        <v>122</v>
      </c>
      <c r="D373" t="s">
        <v>109</v>
      </c>
      <c r="E373" t="s">
        <v>52</v>
      </c>
      <c r="F373" t="s">
        <v>100</v>
      </c>
      <c r="G373" t="s">
        <v>104</v>
      </c>
      <c r="H373" t="s">
        <v>36</v>
      </c>
      <c r="I373">
        <v>7144</v>
      </c>
      <c r="J373">
        <v>8</v>
      </c>
      <c r="K373">
        <v>3.8</v>
      </c>
      <c r="L373">
        <v>5</v>
      </c>
      <c r="M373" t="s">
        <v>126</v>
      </c>
    </row>
    <row r="374" spans="1:13">
      <c r="A374" t="s">
        <v>700</v>
      </c>
      <c r="B374" t="s">
        <v>308</v>
      </c>
      <c r="C374" t="s">
        <v>112</v>
      </c>
      <c r="D374" t="s">
        <v>97</v>
      </c>
      <c r="E374" t="s">
        <v>35</v>
      </c>
      <c r="F374" t="s">
        <v>27</v>
      </c>
      <c r="G374" t="s">
        <v>19</v>
      </c>
      <c r="H374" t="s">
        <v>64</v>
      </c>
      <c r="I374">
        <v>236490</v>
      </c>
      <c r="J374">
        <v>5</v>
      </c>
      <c r="K374">
        <v>3.4</v>
      </c>
      <c r="L374">
        <v>7</v>
      </c>
      <c r="M374" t="s">
        <v>144</v>
      </c>
    </row>
    <row r="375" spans="1:13">
      <c r="A375" t="s">
        <v>701</v>
      </c>
      <c r="B375" t="s">
        <v>702</v>
      </c>
      <c r="C375" t="s">
        <v>58</v>
      </c>
      <c r="D375" t="s">
        <v>63</v>
      </c>
      <c r="E375" t="s">
        <v>52</v>
      </c>
      <c r="F375" t="s">
        <v>100</v>
      </c>
      <c r="G375" t="s">
        <v>19</v>
      </c>
      <c r="H375" t="s">
        <v>20</v>
      </c>
      <c r="I375">
        <v>7990</v>
      </c>
      <c r="J375">
        <v>5</v>
      </c>
      <c r="K375">
        <v>3.6</v>
      </c>
      <c r="L375">
        <v>3</v>
      </c>
      <c r="M375" t="s">
        <v>47</v>
      </c>
    </row>
    <row r="376" spans="1:13">
      <c r="A376" t="s">
        <v>703</v>
      </c>
      <c r="B376" t="s">
        <v>363</v>
      </c>
      <c r="C376" t="s">
        <v>24</v>
      </c>
      <c r="D376" t="s">
        <v>165</v>
      </c>
      <c r="E376" t="s">
        <v>35</v>
      </c>
      <c r="F376" t="s">
        <v>53</v>
      </c>
      <c r="G376" t="s">
        <v>19</v>
      </c>
      <c r="H376" t="s">
        <v>36</v>
      </c>
      <c r="I376">
        <v>308798</v>
      </c>
      <c r="J376">
        <v>7</v>
      </c>
      <c r="K376">
        <v>4.2</v>
      </c>
      <c r="L376">
        <v>2</v>
      </c>
      <c r="M376" t="s">
        <v>80</v>
      </c>
    </row>
    <row r="377" spans="1:13">
      <c r="A377" t="s">
        <v>704</v>
      </c>
      <c r="B377" t="s">
        <v>705</v>
      </c>
      <c r="C377" t="s">
        <v>45</v>
      </c>
      <c r="D377" t="s">
        <v>97</v>
      </c>
      <c r="E377" t="s">
        <v>35</v>
      </c>
      <c r="F377" t="s">
        <v>100</v>
      </c>
      <c r="G377" t="s">
        <v>104</v>
      </c>
      <c r="H377" t="s">
        <v>20</v>
      </c>
      <c r="I377">
        <v>112085</v>
      </c>
      <c r="J377">
        <v>5</v>
      </c>
      <c r="K377">
        <v>3.4</v>
      </c>
      <c r="L377">
        <v>1</v>
      </c>
      <c r="M377" t="s">
        <v>55</v>
      </c>
    </row>
    <row r="378" spans="1:13">
      <c r="A378" t="s">
        <v>706</v>
      </c>
      <c r="B378" t="s">
        <v>178</v>
      </c>
      <c r="C378" t="s">
        <v>129</v>
      </c>
      <c r="D378" t="s">
        <v>79</v>
      </c>
      <c r="E378" t="s">
        <v>26</v>
      </c>
      <c r="F378" t="s">
        <v>83</v>
      </c>
      <c r="G378" t="s">
        <v>28</v>
      </c>
      <c r="H378" t="s">
        <v>64</v>
      </c>
      <c r="I378">
        <v>9030</v>
      </c>
      <c r="J378">
        <v>1</v>
      </c>
      <c r="K378">
        <v>4.7</v>
      </c>
      <c r="L378">
        <v>8</v>
      </c>
      <c r="M378" t="s">
        <v>37</v>
      </c>
    </row>
    <row r="379" spans="1:13">
      <c r="A379" t="s">
        <v>707</v>
      </c>
      <c r="B379" t="s">
        <v>708</v>
      </c>
      <c r="C379" t="s">
        <v>179</v>
      </c>
      <c r="D379" t="s">
        <v>159</v>
      </c>
      <c r="E379" t="s">
        <v>42</v>
      </c>
      <c r="F379" t="s">
        <v>83</v>
      </c>
      <c r="G379" t="s">
        <v>54</v>
      </c>
      <c r="H379" t="s">
        <v>20</v>
      </c>
      <c r="I379">
        <v>3288</v>
      </c>
      <c r="J379">
        <v>4</v>
      </c>
      <c r="K379">
        <v>4.9000000000000004</v>
      </c>
      <c r="L379">
        <v>4</v>
      </c>
      <c r="M379" t="s">
        <v>80</v>
      </c>
    </row>
    <row r="380" spans="1:13">
      <c r="A380" t="s">
        <v>709</v>
      </c>
      <c r="B380" t="s">
        <v>523</v>
      </c>
      <c r="C380" t="s">
        <v>170</v>
      </c>
      <c r="D380" t="s">
        <v>90</v>
      </c>
      <c r="E380" t="s">
        <v>42</v>
      </c>
      <c r="F380" t="s">
        <v>60</v>
      </c>
      <c r="G380" t="s">
        <v>54</v>
      </c>
      <c r="H380" t="s">
        <v>36</v>
      </c>
      <c r="I380">
        <v>24096</v>
      </c>
      <c r="J380">
        <v>6</v>
      </c>
      <c r="K380">
        <v>4.3</v>
      </c>
      <c r="L380">
        <v>7</v>
      </c>
      <c r="M380" t="s">
        <v>119</v>
      </c>
    </row>
    <row r="381" spans="1:13">
      <c r="A381" t="s">
        <v>710</v>
      </c>
      <c r="B381" t="s">
        <v>666</v>
      </c>
      <c r="C381" t="s">
        <v>179</v>
      </c>
      <c r="D381" t="s">
        <v>90</v>
      </c>
      <c r="E381" t="s">
        <v>42</v>
      </c>
      <c r="F381" t="s">
        <v>53</v>
      </c>
      <c r="G381" t="s">
        <v>28</v>
      </c>
      <c r="H381" t="s">
        <v>64</v>
      </c>
      <c r="I381">
        <v>4084</v>
      </c>
      <c r="J381">
        <v>4</v>
      </c>
      <c r="K381">
        <v>3.9</v>
      </c>
      <c r="L381">
        <v>1</v>
      </c>
      <c r="M381" t="s">
        <v>144</v>
      </c>
    </row>
    <row r="382" spans="1:13">
      <c r="A382" t="s">
        <v>711</v>
      </c>
      <c r="B382" t="s">
        <v>158</v>
      </c>
      <c r="C382" t="s">
        <v>146</v>
      </c>
      <c r="D382" t="s">
        <v>130</v>
      </c>
      <c r="E382" t="s">
        <v>35</v>
      </c>
      <c r="F382" t="s">
        <v>18</v>
      </c>
      <c r="G382" t="s">
        <v>54</v>
      </c>
      <c r="H382" t="s">
        <v>20</v>
      </c>
      <c r="I382">
        <v>248592</v>
      </c>
      <c r="J382">
        <v>3</v>
      </c>
      <c r="K382">
        <v>4.8</v>
      </c>
      <c r="L382">
        <v>8</v>
      </c>
      <c r="M382" t="s">
        <v>47</v>
      </c>
    </row>
    <row r="383" spans="1:13">
      <c r="A383" t="s">
        <v>712</v>
      </c>
      <c r="B383" t="s">
        <v>713</v>
      </c>
      <c r="C383" t="s">
        <v>146</v>
      </c>
      <c r="D383" t="s">
        <v>79</v>
      </c>
      <c r="E383" t="s">
        <v>26</v>
      </c>
      <c r="F383" t="s">
        <v>18</v>
      </c>
      <c r="G383" t="s">
        <v>104</v>
      </c>
      <c r="H383" t="s">
        <v>29</v>
      </c>
      <c r="I383">
        <v>57631</v>
      </c>
      <c r="J383">
        <v>7</v>
      </c>
      <c r="K383">
        <v>4.3</v>
      </c>
      <c r="L383">
        <v>4</v>
      </c>
      <c r="M383" t="s">
        <v>55</v>
      </c>
    </row>
    <row r="384" spans="1:13">
      <c r="A384" t="s">
        <v>714</v>
      </c>
      <c r="B384" t="s">
        <v>359</v>
      </c>
      <c r="C384" t="s">
        <v>50</v>
      </c>
      <c r="D384" t="s">
        <v>147</v>
      </c>
      <c r="E384" t="s">
        <v>52</v>
      </c>
      <c r="F384" t="s">
        <v>100</v>
      </c>
      <c r="G384" t="s">
        <v>28</v>
      </c>
      <c r="H384" t="s">
        <v>36</v>
      </c>
      <c r="I384">
        <v>4180</v>
      </c>
      <c r="J384">
        <v>2</v>
      </c>
      <c r="K384">
        <v>4.5</v>
      </c>
      <c r="L384">
        <v>3</v>
      </c>
      <c r="M384" t="s">
        <v>87</v>
      </c>
    </row>
    <row r="385" spans="1:13">
      <c r="A385" t="s">
        <v>715</v>
      </c>
      <c r="B385" t="s">
        <v>716</v>
      </c>
      <c r="C385" t="s">
        <v>40</v>
      </c>
      <c r="D385" t="s">
        <v>109</v>
      </c>
      <c r="E385" t="s">
        <v>52</v>
      </c>
      <c r="F385" t="s">
        <v>27</v>
      </c>
      <c r="G385" t="s">
        <v>19</v>
      </c>
      <c r="H385" t="s">
        <v>36</v>
      </c>
      <c r="I385">
        <v>2526</v>
      </c>
      <c r="J385">
        <v>3</v>
      </c>
      <c r="K385">
        <v>3.8</v>
      </c>
      <c r="L385">
        <v>8</v>
      </c>
      <c r="M385" t="s">
        <v>30</v>
      </c>
    </row>
    <row r="386" spans="1:13">
      <c r="A386" t="s">
        <v>717</v>
      </c>
      <c r="B386" t="s">
        <v>361</v>
      </c>
      <c r="C386" t="s">
        <v>122</v>
      </c>
      <c r="D386" t="s">
        <v>63</v>
      </c>
      <c r="E386" t="s">
        <v>52</v>
      </c>
      <c r="F386" t="s">
        <v>83</v>
      </c>
      <c r="G386" t="s">
        <v>28</v>
      </c>
      <c r="H386" t="s">
        <v>64</v>
      </c>
      <c r="I386">
        <v>10640</v>
      </c>
      <c r="J386">
        <v>5</v>
      </c>
      <c r="K386">
        <v>4.7</v>
      </c>
      <c r="L386">
        <v>8</v>
      </c>
      <c r="M386" t="s">
        <v>144</v>
      </c>
    </row>
    <row r="387" spans="1:13">
      <c r="A387" t="s">
        <v>718</v>
      </c>
      <c r="B387" t="s">
        <v>290</v>
      </c>
      <c r="C387" t="s">
        <v>33</v>
      </c>
      <c r="D387" t="s">
        <v>90</v>
      </c>
      <c r="E387" t="s">
        <v>42</v>
      </c>
      <c r="F387" t="s">
        <v>83</v>
      </c>
      <c r="G387" t="s">
        <v>19</v>
      </c>
      <c r="H387" t="s">
        <v>36</v>
      </c>
      <c r="I387">
        <v>5777</v>
      </c>
      <c r="J387">
        <v>1</v>
      </c>
      <c r="K387">
        <v>4.2</v>
      </c>
      <c r="L387">
        <v>4</v>
      </c>
      <c r="M387" t="s">
        <v>87</v>
      </c>
    </row>
    <row r="388" spans="1:13">
      <c r="A388" t="s">
        <v>719</v>
      </c>
      <c r="B388" t="s">
        <v>404</v>
      </c>
      <c r="C388" t="s">
        <v>24</v>
      </c>
      <c r="D388" t="s">
        <v>113</v>
      </c>
      <c r="E388" t="s">
        <v>35</v>
      </c>
      <c r="F388" t="s">
        <v>27</v>
      </c>
      <c r="G388" t="s">
        <v>104</v>
      </c>
      <c r="H388" t="s">
        <v>20</v>
      </c>
      <c r="I388">
        <v>45899</v>
      </c>
      <c r="J388">
        <v>1</v>
      </c>
      <c r="K388">
        <v>3.4</v>
      </c>
      <c r="L388">
        <v>3</v>
      </c>
      <c r="M388" t="s">
        <v>80</v>
      </c>
    </row>
    <row r="389" spans="1:13">
      <c r="A389" t="s">
        <v>720</v>
      </c>
      <c r="B389" t="s">
        <v>603</v>
      </c>
      <c r="C389" t="s">
        <v>40</v>
      </c>
      <c r="D389" t="s">
        <v>46</v>
      </c>
      <c r="E389" t="s">
        <v>42</v>
      </c>
      <c r="F389" t="s">
        <v>60</v>
      </c>
      <c r="G389" t="s">
        <v>19</v>
      </c>
      <c r="H389" t="s">
        <v>36</v>
      </c>
      <c r="I389">
        <v>7608</v>
      </c>
      <c r="J389">
        <v>2</v>
      </c>
      <c r="K389">
        <v>4.5999999999999996</v>
      </c>
      <c r="L389">
        <v>2</v>
      </c>
      <c r="M389" t="s">
        <v>144</v>
      </c>
    </row>
    <row r="390" spans="1:13">
      <c r="A390" t="s">
        <v>721</v>
      </c>
      <c r="B390" t="s">
        <v>722</v>
      </c>
      <c r="C390" t="s">
        <v>125</v>
      </c>
      <c r="D390" t="s">
        <v>130</v>
      </c>
      <c r="E390" t="s">
        <v>35</v>
      </c>
      <c r="F390" t="s">
        <v>27</v>
      </c>
      <c r="G390" t="s">
        <v>104</v>
      </c>
      <c r="H390" t="s">
        <v>64</v>
      </c>
      <c r="I390">
        <v>209300</v>
      </c>
      <c r="J390">
        <v>7</v>
      </c>
      <c r="K390">
        <v>3.4</v>
      </c>
      <c r="L390">
        <v>2</v>
      </c>
      <c r="M390" t="s">
        <v>65</v>
      </c>
    </row>
    <row r="391" spans="1:13">
      <c r="A391" t="s">
        <v>723</v>
      </c>
      <c r="B391" t="s">
        <v>533</v>
      </c>
      <c r="C391" t="s">
        <v>45</v>
      </c>
      <c r="D391" t="s">
        <v>59</v>
      </c>
      <c r="E391" t="s">
        <v>26</v>
      </c>
      <c r="F391" t="s">
        <v>83</v>
      </c>
      <c r="G391" t="s">
        <v>104</v>
      </c>
      <c r="H391" t="s">
        <v>20</v>
      </c>
      <c r="I391">
        <v>53724</v>
      </c>
      <c r="J391">
        <v>6</v>
      </c>
      <c r="K391">
        <v>4.0999999999999996</v>
      </c>
      <c r="L391">
        <v>3</v>
      </c>
      <c r="M391" t="s">
        <v>21</v>
      </c>
    </row>
    <row r="392" spans="1:13">
      <c r="A392" t="s">
        <v>724</v>
      </c>
      <c r="B392" t="s">
        <v>143</v>
      </c>
      <c r="C392" t="s">
        <v>129</v>
      </c>
      <c r="D392" t="s">
        <v>16</v>
      </c>
      <c r="E392" t="s">
        <v>17</v>
      </c>
      <c r="F392" t="s">
        <v>100</v>
      </c>
      <c r="G392" t="s">
        <v>19</v>
      </c>
      <c r="H392" t="s">
        <v>36</v>
      </c>
      <c r="I392">
        <v>12640</v>
      </c>
      <c r="J392">
        <v>8</v>
      </c>
      <c r="K392">
        <v>3.9</v>
      </c>
      <c r="L392">
        <v>6</v>
      </c>
      <c r="M392" t="s">
        <v>144</v>
      </c>
    </row>
    <row r="393" spans="1:13">
      <c r="A393" t="s">
        <v>725</v>
      </c>
      <c r="B393" t="s">
        <v>135</v>
      </c>
      <c r="C393" t="s">
        <v>170</v>
      </c>
      <c r="D393" t="s">
        <v>109</v>
      </c>
      <c r="E393" t="s">
        <v>52</v>
      </c>
      <c r="F393" t="s">
        <v>53</v>
      </c>
      <c r="G393" t="s">
        <v>28</v>
      </c>
      <c r="H393" t="s">
        <v>36</v>
      </c>
      <c r="I393">
        <v>2958</v>
      </c>
      <c r="J393">
        <v>2</v>
      </c>
      <c r="K393">
        <v>4.5999999999999996</v>
      </c>
      <c r="L393">
        <v>2</v>
      </c>
      <c r="M393" t="s">
        <v>21</v>
      </c>
    </row>
    <row r="394" spans="1:13">
      <c r="A394" t="s">
        <v>726</v>
      </c>
      <c r="B394" t="s">
        <v>727</v>
      </c>
      <c r="C394" t="s">
        <v>146</v>
      </c>
      <c r="D394" t="s">
        <v>63</v>
      </c>
      <c r="E394" t="s">
        <v>52</v>
      </c>
      <c r="F394" t="s">
        <v>100</v>
      </c>
      <c r="G394" t="s">
        <v>104</v>
      </c>
      <c r="H394" t="s">
        <v>64</v>
      </c>
      <c r="I394">
        <v>13272</v>
      </c>
      <c r="J394">
        <v>6</v>
      </c>
      <c r="K394">
        <v>3.4</v>
      </c>
      <c r="L394">
        <v>3</v>
      </c>
      <c r="M394" t="s">
        <v>126</v>
      </c>
    </row>
    <row r="395" spans="1:13">
      <c r="A395" t="s">
        <v>728</v>
      </c>
      <c r="B395" t="s">
        <v>729</v>
      </c>
      <c r="C395" t="s">
        <v>129</v>
      </c>
      <c r="D395" t="s">
        <v>41</v>
      </c>
      <c r="E395" t="s">
        <v>42</v>
      </c>
      <c r="F395" t="s">
        <v>18</v>
      </c>
      <c r="G395" t="s">
        <v>19</v>
      </c>
      <c r="H395" t="s">
        <v>29</v>
      </c>
      <c r="I395">
        <v>25445</v>
      </c>
      <c r="J395">
        <v>5</v>
      </c>
      <c r="K395">
        <v>3.6</v>
      </c>
      <c r="L395">
        <v>6</v>
      </c>
      <c r="M395" t="s">
        <v>65</v>
      </c>
    </row>
    <row r="396" spans="1:13">
      <c r="A396" t="s">
        <v>730</v>
      </c>
      <c r="B396" t="s">
        <v>731</v>
      </c>
      <c r="C396" t="s">
        <v>170</v>
      </c>
      <c r="D396" t="s">
        <v>218</v>
      </c>
      <c r="E396" t="s">
        <v>17</v>
      </c>
      <c r="F396" t="s">
        <v>27</v>
      </c>
      <c r="G396" t="s">
        <v>54</v>
      </c>
      <c r="H396" t="s">
        <v>29</v>
      </c>
      <c r="I396">
        <v>4407</v>
      </c>
      <c r="J396">
        <v>3</v>
      </c>
      <c r="K396">
        <v>4.8</v>
      </c>
      <c r="L396">
        <v>5</v>
      </c>
      <c r="M396" t="s">
        <v>55</v>
      </c>
    </row>
    <row r="397" spans="1:13">
      <c r="A397" t="s">
        <v>732</v>
      </c>
      <c r="B397" t="s">
        <v>220</v>
      </c>
      <c r="C397" t="s">
        <v>129</v>
      </c>
      <c r="D397" t="s">
        <v>41</v>
      </c>
      <c r="E397" t="s">
        <v>42</v>
      </c>
      <c r="F397" t="s">
        <v>18</v>
      </c>
      <c r="G397" t="s">
        <v>19</v>
      </c>
      <c r="H397" t="s">
        <v>36</v>
      </c>
      <c r="I397">
        <v>9880</v>
      </c>
      <c r="J397">
        <v>4</v>
      </c>
      <c r="K397">
        <v>3.7</v>
      </c>
      <c r="L397">
        <v>2</v>
      </c>
      <c r="M397" t="s">
        <v>65</v>
      </c>
    </row>
    <row r="398" spans="1:13">
      <c r="A398" t="s">
        <v>733</v>
      </c>
      <c r="B398" t="s">
        <v>734</v>
      </c>
      <c r="C398" t="s">
        <v>68</v>
      </c>
      <c r="D398" t="s">
        <v>41</v>
      </c>
      <c r="E398" t="s">
        <v>42</v>
      </c>
      <c r="F398" t="s">
        <v>100</v>
      </c>
      <c r="G398" t="s">
        <v>19</v>
      </c>
      <c r="H398" t="s">
        <v>20</v>
      </c>
      <c r="I398">
        <v>14967</v>
      </c>
      <c r="J398">
        <v>3</v>
      </c>
      <c r="K398">
        <v>4.5999999999999996</v>
      </c>
      <c r="L398">
        <v>3</v>
      </c>
      <c r="M398" t="s">
        <v>65</v>
      </c>
    </row>
    <row r="399" spans="1:13">
      <c r="A399" t="s">
        <v>735</v>
      </c>
      <c r="B399" t="s">
        <v>454</v>
      </c>
      <c r="C399" t="s">
        <v>68</v>
      </c>
      <c r="D399" t="s">
        <v>116</v>
      </c>
      <c r="E399" t="s">
        <v>17</v>
      </c>
      <c r="F399" t="s">
        <v>100</v>
      </c>
      <c r="G399" t="s">
        <v>104</v>
      </c>
      <c r="H399" t="s">
        <v>36</v>
      </c>
      <c r="I399">
        <v>616</v>
      </c>
      <c r="J399">
        <v>2</v>
      </c>
      <c r="K399">
        <v>3.8</v>
      </c>
      <c r="L399">
        <v>1</v>
      </c>
      <c r="M399" t="s">
        <v>55</v>
      </c>
    </row>
    <row r="400" spans="1:13">
      <c r="A400" t="s">
        <v>736</v>
      </c>
      <c r="B400" t="s">
        <v>737</v>
      </c>
      <c r="C400" t="s">
        <v>68</v>
      </c>
      <c r="D400" t="s">
        <v>59</v>
      </c>
      <c r="E400" t="s">
        <v>26</v>
      </c>
      <c r="F400" t="s">
        <v>53</v>
      </c>
      <c r="G400" t="s">
        <v>19</v>
      </c>
      <c r="H400" t="s">
        <v>20</v>
      </c>
      <c r="I400">
        <v>21328</v>
      </c>
      <c r="J400">
        <v>4</v>
      </c>
      <c r="K400">
        <v>4.2</v>
      </c>
      <c r="L400">
        <v>8</v>
      </c>
      <c r="M400" t="s">
        <v>192</v>
      </c>
    </row>
    <row r="401" spans="1:13">
      <c r="A401" t="s">
        <v>738</v>
      </c>
      <c r="B401" t="s">
        <v>739</v>
      </c>
      <c r="C401" t="s">
        <v>58</v>
      </c>
      <c r="D401" t="s">
        <v>113</v>
      </c>
      <c r="E401" t="s">
        <v>35</v>
      </c>
      <c r="F401" t="s">
        <v>83</v>
      </c>
      <c r="G401" t="s">
        <v>19</v>
      </c>
      <c r="H401" t="s">
        <v>36</v>
      </c>
      <c r="I401">
        <v>96832</v>
      </c>
      <c r="J401">
        <v>2</v>
      </c>
      <c r="K401">
        <v>3.7</v>
      </c>
      <c r="L401">
        <v>5</v>
      </c>
      <c r="M401" t="s">
        <v>144</v>
      </c>
    </row>
    <row r="402" spans="1:13">
      <c r="A402" t="s">
        <v>740</v>
      </c>
      <c r="B402" t="s">
        <v>624</v>
      </c>
      <c r="C402" t="s">
        <v>33</v>
      </c>
      <c r="D402" t="s">
        <v>165</v>
      </c>
      <c r="E402" t="s">
        <v>35</v>
      </c>
      <c r="F402" t="s">
        <v>18</v>
      </c>
      <c r="G402" t="s">
        <v>28</v>
      </c>
      <c r="H402" t="s">
        <v>64</v>
      </c>
      <c r="I402">
        <v>50400</v>
      </c>
      <c r="J402">
        <v>8</v>
      </c>
      <c r="K402">
        <v>3.3</v>
      </c>
      <c r="L402">
        <v>7</v>
      </c>
      <c r="M402" t="s">
        <v>126</v>
      </c>
    </row>
    <row r="403" spans="1:13">
      <c r="A403" t="s">
        <v>741</v>
      </c>
      <c r="B403" t="s">
        <v>595</v>
      </c>
      <c r="C403" t="s">
        <v>58</v>
      </c>
      <c r="D403" t="s">
        <v>51</v>
      </c>
      <c r="E403" t="s">
        <v>52</v>
      </c>
      <c r="F403" t="s">
        <v>83</v>
      </c>
      <c r="G403" t="s">
        <v>54</v>
      </c>
      <c r="H403" t="s">
        <v>64</v>
      </c>
      <c r="I403">
        <v>9666</v>
      </c>
      <c r="J403">
        <v>6</v>
      </c>
      <c r="K403">
        <v>5</v>
      </c>
      <c r="L403">
        <v>8</v>
      </c>
      <c r="M403" t="s">
        <v>192</v>
      </c>
    </row>
    <row r="404" spans="1:13">
      <c r="A404" t="s">
        <v>742</v>
      </c>
      <c r="B404" t="s">
        <v>743</v>
      </c>
      <c r="C404" t="s">
        <v>50</v>
      </c>
      <c r="D404" t="s">
        <v>116</v>
      </c>
      <c r="E404" t="s">
        <v>17</v>
      </c>
      <c r="F404" t="s">
        <v>83</v>
      </c>
      <c r="G404" t="s">
        <v>104</v>
      </c>
      <c r="H404" t="s">
        <v>29</v>
      </c>
      <c r="I404">
        <v>10104</v>
      </c>
      <c r="J404">
        <v>8</v>
      </c>
      <c r="K404">
        <v>3.7</v>
      </c>
      <c r="L404">
        <v>6</v>
      </c>
      <c r="M404" t="s">
        <v>126</v>
      </c>
    </row>
    <row r="405" spans="1:13">
      <c r="A405" t="s">
        <v>744</v>
      </c>
      <c r="B405" t="s">
        <v>308</v>
      </c>
      <c r="C405" t="s">
        <v>129</v>
      </c>
      <c r="D405" t="s">
        <v>90</v>
      </c>
      <c r="E405" t="s">
        <v>42</v>
      </c>
      <c r="F405" t="s">
        <v>100</v>
      </c>
      <c r="G405" t="s">
        <v>19</v>
      </c>
      <c r="H405" t="s">
        <v>36</v>
      </c>
      <c r="I405">
        <v>9242</v>
      </c>
      <c r="J405">
        <v>2</v>
      </c>
      <c r="K405">
        <v>4.7</v>
      </c>
      <c r="L405">
        <v>5</v>
      </c>
      <c r="M405" t="s">
        <v>144</v>
      </c>
    </row>
    <row r="406" spans="1:13">
      <c r="A406" t="s">
        <v>745</v>
      </c>
      <c r="B406" t="s">
        <v>681</v>
      </c>
      <c r="C406" t="s">
        <v>78</v>
      </c>
      <c r="D406" t="s">
        <v>41</v>
      </c>
      <c r="E406" t="s">
        <v>42</v>
      </c>
      <c r="F406" t="s">
        <v>83</v>
      </c>
      <c r="G406" t="s">
        <v>28</v>
      </c>
      <c r="H406" t="s">
        <v>64</v>
      </c>
      <c r="I406">
        <v>7966</v>
      </c>
      <c r="J406">
        <v>2</v>
      </c>
      <c r="K406">
        <v>3.9</v>
      </c>
      <c r="L406">
        <v>4</v>
      </c>
      <c r="M406" t="s">
        <v>126</v>
      </c>
    </row>
    <row r="407" spans="1:13">
      <c r="A407" t="s">
        <v>746</v>
      </c>
      <c r="B407" t="s">
        <v>475</v>
      </c>
      <c r="C407" t="s">
        <v>58</v>
      </c>
      <c r="D407" t="s">
        <v>218</v>
      </c>
      <c r="E407" t="s">
        <v>17</v>
      </c>
      <c r="F407" t="s">
        <v>60</v>
      </c>
      <c r="G407" t="s">
        <v>54</v>
      </c>
      <c r="H407" t="s">
        <v>64</v>
      </c>
      <c r="I407">
        <v>8337</v>
      </c>
      <c r="J407">
        <v>7</v>
      </c>
      <c r="K407">
        <v>4.4000000000000004</v>
      </c>
      <c r="L407">
        <v>2</v>
      </c>
      <c r="M407" t="s">
        <v>37</v>
      </c>
    </row>
    <row r="408" spans="1:13">
      <c r="A408" t="s">
        <v>747</v>
      </c>
      <c r="B408" t="s">
        <v>564</v>
      </c>
      <c r="C408" t="s">
        <v>170</v>
      </c>
      <c r="D408" t="s">
        <v>165</v>
      </c>
      <c r="E408" t="s">
        <v>35</v>
      </c>
      <c r="F408" t="s">
        <v>60</v>
      </c>
      <c r="G408" t="s">
        <v>54</v>
      </c>
      <c r="H408" t="s">
        <v>36</v>
      </c>
      <c r="I408">
        <v>445504</v>
      </c>
      <c r="J408">
        <v>8</v>
      </c>
      <c r="K408">
        <v>3.4</v>
      </c>
      <c r="L408">
        <v>7</v>
      </c>
      <c r="M408" t="s">
        <v>87</v>
      </c>
    </row>
    <row r="409" spans="1:13">
      <c r="A409" t="s">
        <v>748</v>
      </c>
      <c r="B409" t="s">
        <v>640</v>
      </c>
      <c r="C409" t="s">
        <v>179</v>
      </c>
      <c r="D409" t="s">
        <v>63</v>
      </c>
      <c r="E409" t="s">
        <v>52</v>
      </c>
      <c r="F409" t="s">
        <v>83</v>
      </c>
      <c r="G409" t="s">
        <v>104</v>
      </c>
      <c r="H409" t="s">
        <v>29</v>
      </c>
      <c r="I409">
        <v>861</v>
      </c>
      <c r="J409">
        <v>1</v>
      </c>
      <c r="K409">
        <v>3.9</v>
      </c>
      <c r="L409">
        <v>8</v>
      </c>
      <c r="M409" t="s">
        <v>30</v>
      </c>
    </row>
    <row r="410" spans="1:13">
      <c r="A410" t="s">
        <v>749</v>
      </c>
      <c r="B410" t="s">
        <v>391</v>
      </c>
      <c r="C410" t="s">
        <v>33</v>
      </c>
      <c r="D410" t="s">
        <v>59</v>
      </c>
      <c r="E410" t="s">
        <v>26</v>
      </c>
      <c r="F410" t="s">
        <v>53</v>
      </c>
      <c r="G410" t="s">
        <v>54</v>
      </c>
      <c r="H410" t="s">
        <v>36</v>
      </c>
      <c r="I410">
        <v>44532</v>
      </c>
      <c r="J410">
        <v>6</v>
      </c>
      <c r="K410">
        <v>4.7</v>
      </c>
      <c r="L410">
        <v>5</v>
      </c>
      <c r="M410" t="s">
        <v>47</v>
      </c>
    </row>
    <row r="411" spans="1:13">
      <c r="A411" t="s">
        <v>750</v>
      </c>
      <c r="B411" t="s">
        <v>675</v>
      </c>
      <c r="C411" t="s">
        <v>50</v>
      </c>
      <c r="D411" t="s">
        <v>59</v>
      </c>
      <c r="E411" t="s">
        <v>26</v>
      </c>
      <c r="F411" t="s">
        <v>60</v>
      </c>
      <c r="G411" t="s">
        <v>28</v>
      </c>
      <c r="H411" t="s">
        <v>20</v>
      </c>
      <c r="I411">
        <v>36295</v>
      </c>
      <c r="J411">
        <v>5</v>
      </c>
      <c r="K411">
        <v>4.3</v>
      </c>
      <c r="L411">
        <v>7</v>
      </c>
      <c r="M411" t="s">
        <v>87</v>
      </c>
    </row>
    <row r="412" spans="1:13">
      <c r="A412" t="s">
        <v>751</v>
      </c>
      <c r="B412" t="s">
        <v>752</v>
      </c>
      <c r="C412" t="s">
        <v>72</v>
      </c>
      <c r="D412" t="s">
        <v>51</v>
      </c>
      <c r="E412" t="s">
        <v>52</v>
      </c>
      <c r="F412" t="s">
        <v>18</v>
      </c>
      <c r="G412" t="s">
        <v>54</v>
      </c>
      <c r="H412" t="s">
        <v>36</v>
      </c>
      <c r="I412">
        <v>7300</v>
      </c>
      <c r="J412">
        <v>4</v>
      </c>
      <c r="K412">
        <v>3.7</v>
      </c>
      <c r="L412">
        <v>3</v>
      </c>
      <c r="M412" t="s">
        <v>80</v>
      </c>
    </row>
    <row r="413" spans="1:13">
      <c r="A413" t="s">
        <v>753</v>
      </c>
      <c r="B413" t="s">
        <v>275</v>
      </c>
      <c r="C413" t="s">
        <v>45</v>
      </c>
      <c r="D413" t="s">
        <v>51</v>
      </c>
      <c r="E413" t="s">
        <v>52</v>
      </c>
      <c r="F413" t="s">
        <v>83</v>
      </c>
      <c r="G413" t="s">
        <v>28</v>
      </c>
      <c r="H413" t="s">
        <v>64</v>
      </c>
      <c r="I413">
        <v>4172</v>
      </c>
      <c r="J413">
        <v>7</v>
      </c>
      <c r="K413">
        <v>4.7</v>
      </c>
      <c r="L413">
        <v>7</v>
      </c>
      <c r="M413" t="s">
        <v>119</v>
      </c>
    </row>
    <row r="414" spans="1:13">
      <c r="A414" t="s">
        <v>754</v>
      </c>
      <c r="B414" t="s">
        <v>352</v>
      </c>
      <c r="C414" t="s">
        <v>112</v>
      </c>
      <c r="D414" t="s">
        <v>69</v>
      </c>
      <c r="E414" t="s">
        <v>26</v>
      </c>
      <c r="F414" t="s">
        <v>53</v>
      </c>
      <c r="G414" t="s">
        <v>28</v>
      </c>
      <c r="H414" t="s">
        <v>29</v>
      </c>
      <c r="I414">
        <v>5526</v>
      </c>
      <c r="J414">
        <v>6</v>
      </c>
      <c r="K414">
        <v>4.2</v>
      </c>
      <c r="L414">
        <v>4</v>
      </c>
      <c r="M414" t="s">
        <v>55</v>
      </c>
    </row>
    <row r="415" spans="1:13">
      <c r="A415" t="s">
        <v>755</v>
      </c>
      <c r="B415" t="s">
        <v>756</v>
      </c>
      <c r="C415" t="s">
        <v>72</v>
      </c>
      <c r="D415" t="s">
        <v>16</v>
      </c>
      <c r="E415" t="s">
        <v>17</v>
      </c>
      <c r="F415" t="s">
        <v>27</v>
      </c>
      <c r="G415" t="s">
        <v>104</v>
      </c>
      <c r="H415" t="s">
        <v>64</v>
      </c>
      <c r="I415">
        <v>13944</v>
      </c>
      <c r="J415">
        <v>8</v>
      </c>
      <c r="K415">
        <v>4.9000000000000004</v>
      </c>
      <c r="L415">
        <v>2</v>
      </c>
      <c r="M415" t="s">
        <v>30</v>
      </c>
    </row>
    <row r="416" spans="1:13">
      <c r="A416" t="s">
        <v>757</v>
      </c>
      <c r="B416" t="s">
        <v>169</v>
      </c>
      <c r="C416" t="s">
        <v>45</v>
      </c>
      <c r="D416" t="s">
        <v>25</v>
      </c>
      <c r="E416" t="s">
        <v>26</v>
      </c>
      <c r="F416" t="s">
        <v>18</v>
      </c>
      <c r="G416" t="s">
        <v>104</v>
      </c>
      <c r="H416" t="s">
        <v>36</v>
      </c>
      <c r="I416">
        <v>19268</v>
      </c>
      <c r="J416">
        <v>2</v>
      </c>
      <c r="K416">
        <v>4.5999999999999996</v>
      </c>
      <c r="L416">
        <v>5</v>
      </c>
      <c r="M416" t="s">
        <v>65</v>
      </c>
    </row>
    <row r="417" spans="1:13">
      <c r="A417" t="s">
        <v>758</v>
      </c>
      <c r="B417" t="s">
        <v>525</v>
      </c>
      <c r="C417" t="s">
        <v>45</v>
      </c>
      <c r="D417" t="s">
        <v>90</v>
      </c>
      <c r="E417" t="s">
        <v>42</v>
      </c>
      <c r="F417" t="s">
        <v>27</v>
      </c>
      <c r="G417" t="s">
        <v>104</v>
      </c>
      <c r="H417" t="s">
        <v>29</v>
      </c>
      <c r="I417">
        <v>28728</v>
      </c>
      <c r="J417">
        <v>8</v>
      </c>
      <c r="K417">
        <v>3.7</v>
      </c>
      <c r="L417">
        <v>1</v>
      </c>
      <c r="M417" t="s">
        <v>65</v>
      </c>
    </row>
    <row r="418" spans="1:13">
      <c r="A418" t="s">
        <v>759</v>
      </c>
      <c r="B418" t="s">
        <v>760</v>
      </c>
      <c r="C418" t="s">
        <v>72</v>
      </c>
      <c r="D418" t="s">
        <v>116</v>
      </c>
      <c r="E418" t="s">
        <v>17</v>
      </c>
      <c r="F418" t="s">
        <v>100</v>
      </c>
      <c r="G418" t="s">
        <v>54</v>
      </c>
      <c r="H418" t="s">
        <v>29</v>
      </c>
      <c r="I418">
        <v>4419</v>
      </c>
      <c r="J418">
        <v>3</v>
      </c>
      <c r="K418">
        <v>3.7</v>
      </c>
      <c r="L418">
        <v>2</v>
      </c>
      <c r="M418" t="s">
        <v>30</v>
      </c>
    </row>
    <row r="419" spans="1:13">
      <c r="A419" t="s">
        <v>761</v>
      </c>
      <c r="B419" t="s">
        <v>595</v>
      </c>
      <c r="C419" t="s">
        <v>146</v>
      </c>
      <c r="D419" t="s">
        <v>34</v>
      </c>
      <c r="E419" t="s">
        <v>35</v>
      </c>
      <c r="F419" t="s">
        <v>53</v>
      </c>
      <c r="G419" t="s">
        <v>19</v>
      </c>
      <c r="H419" t="s">
        <v>29</v>
      </c>
      <c r="I419">
        <v>21805</v>
      </c>
      <c r="J419">
        <v>5</v>
      </c>
      <c r="K419">
        <v>3.5</v>
      </c>
      <c r="L419">
        <v>3</v>
      </c>
      <c r="M419" t="s">
        <v>192</v>
      </c>
    </row>
    <row r="420" spans="1:13">
      <c r="A420" t="s">
        <v>762</v>
      </c>
      <c r="B420" t="s">
        <v>763</v>
      </c>
      <c r="C420" t="s">
        <v>50</v>
      </c>
      <c r="D420" t="s">
        <v>51</v>
      </c>
      <c r="E420" t="s">
        <v>52</v>
      </c>
      <c r="F420" t="s">
        <v>83</v>
      </c>
      <c r="G420" t="s">
        <v>28</v>
      </c>
      <c r="H420" t="s">
        <v>20</v>
      </c>
      <c r="I420">
        <v>595</v>
      </c>
      <c r="J420">
        <v>1</v>
      </c>
      <c r="K420">
        <v>4.7</v>
      </c>
      <c r="L420">
        <v>7</v>
      </c>
      <c r="M420" t="s">
        <v>37</v>
      </c>
    </row>
    <row r="421" spans="1:13">
      <c r="A421" t="s">
        <v>764</v>
      </c>
      <c r="B421" t="s">
        <v>697</v>
      </c>
      <c r="C421" t="s">
        <v>78</v>
      </c>
      <c r="D421" t="s">
        <v>109</v>
      </c>
      <c r="E421" t="s">
        <v>52</v>
      </c>
      <c r="F421" t="s">
        <v>83</v>
      </c>
      <c r="G421" t="s">
        <v>28</v>
      </c>
      <c r="H421" t="s">
        <v>64</v>
      </c>
      <c r="I421">
        <v>2325</v>
      </c>
      <c r="J421">
        <v>5</v>
      </c>
      <c r="K421">
        <v>4.0999999999999996</v>
      </c>
      <c r="L421">
        <v>8</v>
      </c>
      <c r="M421" t="s">
        <v>144</v>
      </c>
    </row>
    <row r="422" spans="1:13">
      <c r="A422" t="s">
        <v>765</v>
      </c>
      <c r="B422" t="s">
        <v>404</v>
      </c>
      <c r="C422" t="s">
        <v>68</v>
      </c>
      <c r="D422" t="s">
        <v>46</v>
      </c>
      <c r="E422" t="s">
        <v>42</v>
      </c>
      <c r="F422" t="s">
        <v>100</v>
      </c>
      <c r="G422" t="s">
        <v>104</v>
      </c>
      <c r="H422" t="s">
        <v>64</v>
      </c>
      <c r="I422">
        <v>26803</v>
      </c>
      <c r="J422">
        <v>7</v>
      </c>
      <c r="K422">
        <v>3.8</v>
      </c>
      <c r="L422">
        <v>1</v>
      </c>
      <c r="M422" t="s">
        <v>80</v>
      </c>
    </row>
    <row r="423" spans="1:13">
      <c r="A423" t="s">
        <v>766</v>
      </c>
      <c r="B423" t="s">
        <v>462</v>
      </c>
      <c r="C423" t="s">
        <v>58</v>
      </c>
      <c r="D423" t="s">
        <v>59</v>
      </c>
      <c r="E423" t="s">
        <v>26</v>
      </c>
      <c r="F423" t="s">
        <v>83</v>
      </c>
      <c r="G423" t="s">
        <v>104</v>
      </c>
      <c r="H423" t="s">
        <v>20</v>
      </c>
      <c r="I423">
        <v>36040</v>
      </c>
      <c r="J423">
        <v>5</v>
      </c>
      <c r="K423">
        <v>4</v>
      </c>
      <c r="L423">
        <v>4</v>
      </c>
      <c r="M423" t="s">
        <v>126</v>
      </c>
    </row>
    <row r="424" spans="1:13">
      <c r="A424" t="s">
        <v>767</v>
      </c>
      <c r="B424" t="s">
        <v>605</v>
      </c>
      <c r="C424" t="s">
        <v>129</v>
      </c>
      <c r="D424" t="s">
        <v>165</v>
      </c>
      <c r="E424" t="s">
        <v>35</v>
      </c>
      <c r="F424" t="s">
        <v>83</v>
      </c>
      <c r="G424" t="s">
        <v>104</v>
      </c>
      <c r="H424" t="s">
        <v>29</v>
      </c>
      <c r="I424">
        <v>56403</v>
      </c>
      <c r="J424">
        <v>1</v>
      </c>
      <c r="K424">
        <v>3.4</v>
      </c>
      <c r="L424">
        <v>8</v>
      </c>
      <c r="M424" t="s">
        <v>144</v>
      </c>
    </row>
    <row r="425" spans="1:13">
      <c r="A425" t="s">
        <v>768</v>
      </c>
      <c r="B425" t="s">
        <v>143</v>
      </c>
      <c r="C425" t="s">
        <v>75</v>
      </c>
      <c r="D425" t="s">
        <v>147</v>
      </c>
      <c r="E425" t="s">
        <v>52</v>
      </c>
      <c r="F425" t="s">
        <v>100</v>
      </c>
      <c r="G425" t="s">
        <v>19</v>
      </c>
      <c r="H425" t="s">
        <v>64</v>
      </c>
      <c r="I425">
        <v>2276</v>
      </c>
      <c r="J425">
        <v>2</v>
      </c>
      <c r="K425">
        <v>4.5</v>
      </c>
      <c r="L425">
        <v>2</v>
      </c>
      <c r="M425" t="s">
        <v>144</v>
      </c>
    </row>
    <row r="426" spans="1:13">
      <c r="A426" t="s">
        <v>769</v>
      </c>
      <c r="B426" t="s">
        <v>675</v>
      </c>
      <c r="C426" t="s">
        <v>133</v>
      </c>
      <c r="D426" t="s">
        <v>79</v>
      </c>
      <c r="E426" t="s">
        <v>26</v>
      </c>
      <c r="F426" t="s">
        <v>27</v>
      </c>
      <c r="G426" t="s">
        <v>104</v>
      </c>
      <c r="H426" t="s">
        <v>29</v>
      </c>
      <c r="I426">
        <v>33795</v>
      </c>
      <c r="J426">
        <v>3</v>
      </c>
      <c r="K426">
        <v>4</v>
      </c>
      <c r="L426">
        <v>5</v>
      </c>
      <c r="M426" t="s">
        <v>87</v>
      </c>
    </row>
    <row r="427" spans="1:13">
      <c r="A427" t="s">
        <v>770</v>
      </c>
      <c r="B427" t="s">
        <v>115</v>
      </c>
      <c r="C427" t="s">
        <v>24</v>
      </c>
      <c r="D427" t="s">
        <v>147</v>
      </c>
      <c r="E427" t="s">
        <v>52</v>
      </c>
      <c r="F427" t="s">
        <v>60</v>
      </c>
      <c r="G427" t="s">
        <v>54</v>
      </c>
      <c r="H427" t="s">
        <v>64</v>
      </c>
      <c r="I427">
        <v>1841</v>
      </c>
      <c r="J427">
        <v>1</v>
      </c>
      <c r="K427">
        <v>4.9000000000000004</v>
      </c>
      <c r="L427">
        <v>5</v>
      </c>
      <c r="M427" t="s">
        <v>21</v>
      </c>
    </row>
    <row r="428" spans="1:13">
      <c r="A428" t="s">
        <v>771</v>
      </c>
      <c r="B428" t="s">
        <v>393</v>
      </c>
      <c r="C428" t="s">
        <v>146</v>
      </c>
      <c r="D428" t="s">
        <v>51</v>
      </c>
      <c r="E428" t="s">
        <v>52</v>
      </c>
      <c r="F428" t="s">
        <v>27</v>
      </c>
      <c r="G428" t="s">
        <v>104</v>
      </c>
      <c r="H428" t="s">
        <v>36</v>
      </c>
      <c r="I428">
        <v>6712</v>
      </c>
      <c r="J428">
        <v>8</v>
      </c>
      <c r="K428">
        <v>4.3</v>
      </c>
      <c r="L428">
        <v>2</v>
      </c>
      <c r="M428" t="s">
        <v>37</v>
      </c>
    </row>
    <row r="429" spans="1:13">
      <c r="A429" t="s">
        <v>772</v>
      </c>
      <c r="B429" t="s">
        <v>589</v>
      </c>
      <c r="C429" t="s">
        <v>50</v>
      </c>
      <c r="D429" t="s">
        <v>16</v>
      </c>
      <c r="E429" t="s">
        <v>17</v>
      </c>
      <c r="F429" t="s">
        <v>53</v>
      </c>
      <c r="G429" t="s">
        <v>19</v>
      </c>
      <c r="H429" t="s">
        <v>29</v>
      </c>
      <c r="I429">
        <v>6065</v>
      </c>
      <c r="J429">
        <v>5</v>
      </c>
      <c r="K429">
        <v>4.4000000000000004</v>
      </c>
      <c r="L429">
        <v>1</v>
      </c>
      <c r="M429" t="s">
        <v>87</v>
      </c>
    </row>
    <row r="430" spans="1:13">
      <c r="A430" t="s">
        <v>773</v>
      </c>
      <c r="B430" t="s">
        <v>326</v>
      </c>
      <c r="C430" t="s">
        <v>125</v>
      </c>
      <c r="D430" t="s">
        <v>41</v>
      </c>
      <c r="E430" t="s">
        <v>42</v>
      </c>
      <c r="F430" t="s">
        <v>18</v>
      </c>
      <c r="G430" t="s">
        <v>104</v>
      </c>
      <c r="H430" t="s">
        <v>29</v>
      </c>
      <c r="I430">
        <v>10192</v>
      </c>
      <c r="J430">
        <v>8</v>
      </c>
      <c r="K430">
        <v>3.6</v>
      </c>
      <c r="L430">
        <v>7</v>
      </c>
      <c r="M430" t="s">
        <v>65</v>
      </c>
    </row>
    <row r="431" spans="1:13">
      <c r="A431" t="s">
        <v>774</v>
      </c>
      <c r="B431" t="s">
        <v>217</v>
      </c>
      <c r="C431" t="s">
        <v>179</v>
      </c>
      <c r="D431" t="s">
        <v>97</v>
      </c>
      <c r="E431" t="s">
        <v>35</v>
      </c>
      <c r="F431" t="s">
        <v>83</v>
      </c>
      <c r="G431" t="s">
        <v>54</v>
      </c>
      <c r="H431" t="s">
        <v>64</v>
      </c>
      <c r="I431">
        <v>94144</v>
      </c>
      <c r="J431">
        <v>2</v>
      </c>
      <c r="K431">
        <v>4.5999999999999996</v>
      </c>
      <c r="L431">
        <v>5</v>
      </c>
      <c r="M431" t="s">
        <v>144</v>
      </c>
    </row>
    <row r="432" spans="1:13">
      <c r="A432" t="s">
        <v>775</v>
      </c>
      <c r="B432" t="s">
        <v>298</v>
      </c>
      <c r="C432" t="s">
        <v>72</v>
      </c>
      <c r="D432" t="s">
        <v>109</v>
      </c>
      <c r="E432" t="s">
        <v>52</v>
      </c>
      <c r="F432" t="s">
        <v>18</v>
      </c>
      <c r="G432" t="s">
        <v>19</v>
      </c>
      <c r="H432" t="s">
        <v>36</v>
      </c>
      <c r="I432">
        <v>12047</v>
      </c>
      <c r="J432">
        <v>7</v>
      </c>
      <c r="K432">
        <v>4</v>
      </c>
      <c r="L432">
        <v>4</v>
      </c>
      <c r="M432" t="s">
        <v>119</v>
      </c>
    </row>
    <row r="433" spans="1:13">
      <c r="A433" t="s">
        <v>776</v>
      </c>
      <c r="B433" t="s">
        <v>74</v>
      </c>
      <c r="C433" t="s">
        <v>15</v>
      </c>
      <c r="D433" t="s">
        <v>79</v>
      </c>
      <c r="E433" t="s">
        <v>26</v>
      </c>
      <c r="F433" t="s">
        <v>18</v>
      </c>
      <c r="G433" t="s">
        <v>104</v>
      </c>
      <c r="H433" t="s">
        <v>36</v>
      </c>
      <c r="I433">
        <v>66836</v>
      </c>
      <c r="J433">
        <v>7</v>
      </c>
      <c r="K433">
        <v>4.9000000000000004</v>
      </c>
      <c r="L433">
        <v>8</v>
      </c>
      <c r="M433" t="s">
        <v>65</v>
      </c>
    </row>
    <row r="434" spans="1:13">
      <c r="A434" t="s">
        <v>777</v>
      </c>
      <c r="B434" t="s">
        <v>176</v>
      </c>
      <c r="C434" t="s">
        <v>75</v>
      </c>
      <c r="D434" t="s">
        <v>113</v>
      </c>
      <c r="E434" t="s">
        <v>35</v>
      </c>
      <c r="F434" t="s">
        <v>18</v>
      </c>
      <c r="G434" t="s">
        <v>19</v>
      </c>
      <c r="H434" t="s">
        <v>64</v>
      </c>
      <c r="I434">
        <v>125158</v>
      </c>
      <c r="J434">
        <v>2</v>
      </c>
      <c r="K434">
        <v>4.5</v>
      </c>
      <c r="L434">
        <v>4</v>
      </c>
      <c r="M434" t="s">
        <v>55</v>
      </c>
    </row>
    <row r="435" spans="1:13">
      <c r="A435" t="s">
        <v>778</v>
      </c>
      <c r="B435" t="s">
        <v>215</v>
      </c>
      <c r="C435" t="s">
        <v>68</v>
      </c>
      <c r="D435" t="s">
        <v>116</v>
      </c>
      <c r="E435" t="s">
        <v>17</v>
      </c>
      <c r="F435" t="s">
        <v>60</v>
      </c>
      <c r="G435" t="s">
        <v>19</v>
      </c>
      <c r="H435" t="s">
        <v>36</v>
      </c>
      <c r="I435">
        <v>797</v>
      </c>
      <c r="J435">
        <v>1</v>
      </c>
      <c r="K435">
        <v>3.3</v>
      </c>
      <c r="L435">
        <v>5</v>
      </c>
      <c r="M435" t="s">
        <v>192</v>
      </c>
    </row>
    <row r="436" spans="1:13">
      <c r="A436" t="s">
        <v>779</v>
      </c>
      <c r="B436" t="s">
        <v>220</v>
      </c>
      <c r="C436" t="s">
        <v>58</v>
      </c>
      <c r="D436" t="s">
        <v>16</v>
      </c>
      <c r="E436" t="s">
        <v>17</v>
      </c>
      <c r="F436" t="s">
        <v>100</v>
      </c>
      <c r="G436" t="s">
        <v>19</v>
      </c>
      <c r="H436" t="s">
        <v>29</v>
      </c>
      <c r="I436">
        <v>1716</v>
      </c>
      <c r="J436">
        <v>4</v>
      </c>
      <c r="K436">
        <v>3.9</v>
      </c>
      <c r="L436">
        <v>2</v>
      </c>
      <c r="M436" t="s">
        <v>65</v>
      </c>
    </row>
    <row r="437" spans="1:13">
      <c r="A437" t="s">
        <v>780</v>
      </c>
      <c r="B437" t="s">
        <v>489</v>
      </c>
      <c r="C437" t="s">
        <v>129</v>
      </c>
      <c r="D437" t="s">
        <v>147</v>
      </c>
      <c r="E437" t="s">
        <v>52</v>
      </c>
      <c r="F437" t="s">
        <v>100</v>
      </c>
      <c r="G437" t="s">
        <v>19</v>
      </c>
      <c r="H437" t="s">
        <v>64</v>
      </c>
      <c r="I437">
        <v>1524</v>
      </c>
      <c r="J437">
        <v>3</v>
      </c>
      <c r="K437">
        <v>4.5999999999999996</v>
      </c>
      <c r="L437">
        <v>3</v>
      </c>
      <c r="M437" t="s">
        <v>30</v>
      </c>
    </row>
    <row r="438" spans="1:13">
      <c r="A438" t="s">
        <v>781</v>
      </c>
      <c r="B438" t="s">
        <v>670</v>
      </c>
      <c r="C438" t="s">
        <v>24</v>
      </c>
      <c r="D438" t="s">
        <v>147</v>
      </c>
      <c r="E438" t="s">
        <v>52</v>
      </c>
      <c r="F438" t="s">
        <v>18</v>
      </c>
      <c r="G438" t="s">
        <v>104</v>
      </c>
      <c r="H438" t="s">
        <v>64</v>
      </c>
      <c r="I438">
        <v>3580</v>
      </c>
      <c r="J438">
        <v>2</v>
      </c>
      <c r="K438">
        <v>3.3</v>
      </c>
      <c r="L438">
        <v>1</v>
      </c>
      <c r="M438" t="s">
        <v>80</v>
      </c>
    </row>
    <row r="439" spans="1:13">
      <c r="A439" t="s">
        <v>782</v>
      </c>
      <c r="B439" t="s">
        <v>635</v>
      </c>
      <c r="C439" t="s">
        <v>45</v>
      </c>
      <c r="D439" t="s">
        <v>159</v>
      </c>
      <c r="E439" t="s">
        <v>42</v>
      </c>
      <c r="F439" t="s">
        <v>27</v>
      </c>
      <c r="G439" t="s">
        <v>54</v>
      </c>
      <c r="H439" t="s">
        <v>20</v>
      </c>
      <c r="I439">
        <v>13167</v>
      </c>
      <c r="J439">
        <v>3</v>
      </c>
      <c r="K439">
        <v>3.6</v>
      </c>
      <c r="L439">
        <v>3</v>
      </c>
      <c r="M439" t="s">
        <v>37</v>
      </c>
    </row>
    <row r="440" spans="1:13">
      <c r="A440" t="s">
        <v>783</v>
      </c>
      <c r="B440" t="s">
        <v>784</v>
      </c>
      <c r="C440" t="s">
        <v>45</v>
      </c>
      <c r="D440" t="s">
        <v>41</v>
      </c>
      <c r="E440" t="s">
        <v>42</v>
      </c>
      <c r="F440" t="s">
        <v>53</v>
      </c>
      <c r="G440" t="s">
        <v>19</v>
      </c>
      <c r="H440" t="s">
        <v>64</v>
      </c>
      <c r="I440">
        <v>26340</v>
      </c>
      <c r="J440">
        <v>5</v>
      </c>
      <c r="K440">
        <v>3.5</v>
      </c>
      <c r="L440">
        <v>2</v>
      </c>
      <c r="M440" t="s">
        <v>192</v>
      </c>
    </row>
    <row r="441" spans="1:13">
      <c r="A441" t="s">
        <v>785</v>
      </c>
      <c r="B441" t="s">
        <v>697</v>
      </c>
      <c r="C441" t="s">
        <v>33</v>
      </c>
      <c r="D441" t="s">
        <v>109</v>
      </c>
      <c r="E441" t="s">
        <v>52</v>
      </c>
      <c r="F441" t="s">
        <v>27</v>
      </c>
      <c r="G441" t="s">
        <v>104</v>
      </c>
      <c r="H441" t="s">
        <v>29</v>
      </c>
      <c r="I441">
        <v>3444</v>
      </c>
      <c r="J441">
        <v>4</v>
      </c>
      <c r="K441">
        <v>3.5</v>
      </c>
      <c r="L441">
        <v>1</v>
      </c>
      <c r="M441" t="s">
        <v>144</v>
      </c>
    </row>
    <row r="442" spans="1:13">
      <c r="A442" t="s">
        <v>786</v>
      </c>
      <c r="B442" t="s">
        <v>195</v>
      </c>
      <c r="C442" t="s">
        <v>24</v>
      </c>
      <c r="D442" t="s">
        <v>51</v>
      </c>
      <c r="E442" t="s">
        <v>52</v>
      </c>
      <c r="F442" t="s">
        <v>18</v>
      </c>
      <c r="G442" t="s">
        <v>28</v>
      </c>
      <c r="H442" t="s">
        <v>36</v>
      </c>
      <c r="I442">
        <v>12636</v>
      </c>
      <c r="J442">
        <v>6</v>
      </c>
      <c r="K442">
        <v>4.9000000000000004</v>
      </c>
      <c r="L442">
        <v>3</v>
      </c>
      <c r="M442" t="s">
        <v>21</v>
      </c>
    </row>
    <row r="443" spans="1:13">
      <c r="A443" t="s">
        <v>787</v>
      </c>
      <c r="B443" t="s">
        <v>313</v>
      </c>
      <c r="C443" t="s">
        <v>122</v>
      </c>
      <c r="D443" t="s">
        <v>86</v>
      </c>
      <c r="E443" t="s">
        <v>17</v>
      </c>
      <c r="F443" t="s">
        <v>27</v>
      </c>
      <c r="G443" t="s">
        <v>28</v>
      </c>
      <c r="H443" t="s">
        <v>20</v>
      </c>
      <c r="I443">
        <v>6948</v>
      </c>
      <c r="J443">
        <v>6</v>
      </c>
      <c r="K443">
        <v>3.8</v>
      </c>
      <c r="L443">
        <v>2</v>
      </c>
      <c r="M443" t="s">
        <v>47</v>
      </c>
    </row>
    <row r="444" spans="1:13">
      <c r="A444" t="s">
        <v>788</v>
      </c>
      <c r="B444" t="s">
        <v>185</v>
      </c>
      <c r="C444" t="s">
        <v>24</v>
      </c>
      <c r="D444" t="s">
        <v>159</v>
      </c>
      <c r="E444" t="s">
        <v>42</v>
      </c>
      <c r="F444" t="s">
        <v>60</v>
      </c>
      <c r="G444" t="s">
        <v>104</v>
      </c>
      <c r="H444" t="s">
        <v>20</v>
      </c>
      <c r="I444">
        <v>34160</v>
      </c>
      <c r="J444">
        <v>8</v>
      </c>
      <c r="K444">
        <v>3.6</v>
      </c>
      <c r="L444">
        <v>8</v>
      </c>
      <c r="M444" t="s">
        <v>87</v>
      </c>
    </row>
    <row r="445" spans="1:13">
      <c r="A445" t="s">
        <v>789</v>
      </c>
      <c r="B445" t="s">
        <v>790</v>
      </c>
      <c r="C445" t="s">
        <v>103</v>
      </c>
      <c r="D445" t="s">
        <v>159</v>
      </c>
      <c r="E445" t="s">
        <v>42</v>
      </c>
      <c r="F445" t="s">
        <v>83</v>
      </c>
      <c r="G445" t="s">
        <v>54</v>
      </c>
      <c r="H445" t="s">
        <v>64</v>
      </c>
      <c r="I445">
        <v>10452</v>
      </c>
      <c r="J445">
        <v>6</v>
      </c>
      <c r="K445">
        <v>4.4000000000000004</v>
      </c>
      <c r="L445">
        <v>1</v>
      </c>
      <c r="M445" t="s">
        <v>192</v>
      </c>
    </row>
    <row r="446" spans="1:13">
      <c r="A446" t="s">
        <v>791</v>
      </c>
      <c r="B446" t="s">
        <v>336</v>
      </c>
      <c r="C446" t="s">
        <v>58</v>
      </c>
      <c r="D446" t="s">
        <v>90</v>
      </c>
      <c r="E446" t="s">
        <v>42</v>
      </c>
      <c r="F446" t="s">
        <v>100</v>
      </c>
      <c r="G446" t="s">
        <v>19</v>
      </c>
      <c r="H446" t="s">
        <v>36</v>
      </c>
      <c r="I446">
        <v>11904</v>
      </c>
      <c r="J446">
        <v>6</v>
      </c>
      <c r="K446">
        <v>4.9000000000000004</v>
      </c>
      <c r="L446">
        <v>3</v>
      </c>
      <c r="M446" t="s">
        <v>80</v>
      </c>
    </row>
    <row r="447" spans="1:13">
      <c r="A447" t="s">
        <v>792</v>
      </c>
      <c r="B447" t="s">
        <v>32</v>
      </c>
      <c r="C447" t="s">
        <v>58</v>
      </c>
      <c r="D447" t="s">
        <v>90</v>
      </c>
      <c r="E447" t="s">
        <v>42</v>
      </c>
      <c r="F447" t="s">
        <v>83</v>
      </c>
      <c r="G447" t="s">
        <v>19</v>
      </c>
      <c r="H447" t="s">
        <v>36</v>
      </c>
      <c r="I447">
        <v>33656</v>
      </c>
      <c r="J447">
        <v>8</v>
      </c>
      <c r="K447">
        <v>3.6</v>
      </c>
      <c r="L447">
        <v>7</v>
      </c>
      <c r="M447" t="s">
        <v>37</v>
      </c>
    </row>
    <row r="448" spans="1:13">
      <c r="A448" t="s">
        <v>793</v>
      </c>
      <c r="B448" t="s">
        <v>583</v>
      </c>
      <c r="C448" t="s">
        <v>146</v>
      </c>
      <c r="D448" t="s">
        <v>41</v>
      </c>
      <c r="E448" t="s">
        <v>42</v>
      </c>
      <c r="F448" t="s">
        <v>60</v>
      </c>
      <c r="G448" t="s">
        <v>19</v>
      </c>
      <c r="H448" t="s">
        <v>36</v>
      </c>
      <c r="I448">
        <v>40400</v>
      </c>
      <c r="J448">
        <v>8</v>
      </c>
      <c r="K448">
        <v>4.0999999999999996</v>
      </c>
      <c r="L448">
        <v>2</v>
      </c>
      <c r="M448" t="s">
        <v>144</v>
      </c>
    </row>
    <row r="449" spans="1:13">
      <c r="A449" t="s">
        <v>794</v>
      </c>
      <c r="B449" t="s">
        <v>411</v>
      </c>
      <c r="C449" t="s">
        <v>15</v>
      </c>
      <c r="D449" t="s">
        <v>25</v>
      </c>
      <c r="E449" t="s">
        <v>26</v>
      </c>
      <c r="F449" t="s">
        <v>60</v>
      </c>
      <c r="G449" t="s">
        <v>104</v>
      </c>
      <c r="H449" t="s">
        <v>20</v>
      </c>
      <c r="I449">
        <v>33012</v>
      </c>
      <c r="J449">
        <v>7</v>
      </c>
      <c r="K449">
        <v>4.4000000000000004</v>
      </c>
      <c r="L449">
        <v>2</v>
      </c>
      <c r="M449" t="s">
        <v>119</v>
      </c>
    </row>
    <row r="450" spans="1:13">
      <c r="A450" t="s">
        <v>795</v>
      </c>
      <c r="B450" t="s">
        <v>44</v>
      </c>
      <c r="C450" t="s">
        <v>75</v>
      </c>
      <c r="D450" t="s">
        <v>41</v>
      </c>
      <c r="E450" t="s">
        <v>42</v>
      </c>
      <c r="F450" t="s">
        <v>60</v>
      </c>
      <c r="G450" t="s">
        <v>104</v>
      </c>
      <c r="H450" t="s">
        <v>36</v>
      </c>
      <c r="I450">
        <v>29872</v>
      </c>
      <c r="J450">
        <v>8</v>
      </c>
      <c r="K450">
        <v>4</v>
      </c>
      <c r="L450">
        <v>1</v>
      </c>
      <c r="M450" t="s">
        <v>47</v>
      </c>
    </row>
    <row r="451" spans="1:13">
      <c r="A451" t="s">
        <v>796</v>
      </c>
      <c r="B451" t="s">
        <v>797</v>
      </c>
      <c r="C451" t="s">
        <v>33</v>
      </c>
      <c r="D451" t="s">
        <v>97</v>
      </c>
      <c r="E451" t="s">
        <v>35</v>
      </c>
      <c r="F451" t="s">
        <v>18</v>
      </c>
      <c r="G451" t="s">
        <v>28</v>
      </c>
      <c r="H451" t="s">
        <v>29</v>
      </c>
      <c r="I451">
        <v>335296</v>
      </c>
      <c r="J451">
        <v>4</v>
      </c>
      <c r="K451">
        <v>4.0999999999999996</v>
      </c>
      <c r="L451">
        <v>6</v>
      </c>
      <c r="M451" t="s">
        <v>21</v>
      </c>
    </row>
    <row r="452" spans="1:13">
      <c r="A452" t="s">
        <v>798</v>
      </c>
      <c r="B452" t="s">
        <v>799</v>
      </c>
      <c r="C452" t="s">
        <v>78</v>
      </c>
      <c r="D452" t="s">
        <v>41</v>
      </c>
      <c r="E452" t="s">
        <v>42</v>
      </c>
      <c r="F452" t="s">
        <v>18</v>
      </c>
      <c r="G452" t="s">
        <v>28</v>
      </c>
      <c r="H452" t="s">
        <v>20</v>
      </c>
      <c r="I452">
        <v>14262</v>
      </c>
      <c r="J452">
        <v>6</v>
      </c>
      <c r="K452">
        <v>5</v>
      </c>
      <c r="L452">
        <v>4</v>
      </c>
      <c r="M452" t="s">
        <v>55</v>
      </c>
    </row>
    <row r="453" spans="1:13">
      <c r="A453" t="s">
        <v>800</v>
      </c>
      <c r="B453" t="s">
        <v>154</v>
      </c>
      <c r="C453" t="s">
        <v>125</v>
      </c>
      <c r="D453" t="s">
        <v>109</v>
      </c>
      <c r="E453" t="s">
        <v>52</v>
      </c>
      <c r="F453" t="s">
        <v>100</v>
      </c>
      <c r="G453" t="s">
        <v>54</v>
      </c>
      <c r="H453" t="s">
        <v>64</v>
      </c>
      <c r="I453">
        <v>9910</v>
      </c>
      <c r="J453">
        <v>5</v>
      </c>
      <c r="K453">
        <v>3.9</v>
      </c>
      <c r="L453">
        <v>8</v>
      </c>
      <c r="M453" t="s">
        <v>126</v>
      </c>
    </row>
    <row r="454" spans="1:13">
      <c r="A454" t="s">
        <v>801</v>
      </c>
      <c r="B454" t="s">
        <v>802</v>
      </c>
      <c r="C454" t="s">
        <v>40</v>
      </c>
      <c r="D454" t="s">
        <v>59</v>
      </c>
      <c r="E454" t="s">
        <v>26</v>
      </c>
      <c r="F454" t="s">
        <v>18</v>
      </c>
      <c r="G454" t="s">
        <v>54</v>
      </c>
      <c r="H454" t="s">
        <v>20</v>
      </c>
      <c r="I454">
        <v>13380</v>
      </c>
      <c r="J454">
        <v>6</v>
      </c>
      <c r="K454">
        <v>3.3</v>
      </c>
      <c r="L454">
        <v>3</v>
      </c>
      <c r="M454" t="s">
        <v>47</v>
      </c>
    </row>
    <row r="455" spans="1:13">
      <c r="A455" t="s">
        <v>803</v>
      </c>
      <c r="B455" t="s">
        <v>298</v>
      </c>
      <c r="C455" t="s">
        <v>78</v>
      </c>
      <c r="D455" t="s">
        <v>113</v>
      </c>
      <c r="E455" t="s">
        <v>35</v>
      </c>
      <c r="F455" t="s">
        <v>83</v>
      </c>
      <c r="G455" t="s">
        <v>28</v>
      </c>
      <c r="H455" t="s">
        <v>29</v>
      </c>
      <c r="I455">
        <v>87816</v>
      </c>
      <c r="J455">
        <v>3</v>
      </c>
      <c r="K455">
        <v>3.2</v>
      </c>
      <c r="L455">
        <v>7</v>
      </c>
      <c r="M455" t="s">
        <v>119</v>
      </c>
    </row>
    <row r="456" spans="1:13">
      <c r="A456" t="s">
        <v>804</v>
      </c>
      <c r="B456" t="s">
        <v>805</v>
      </c>
      <c r="C456" t="s">
        <v>133</v>
      </c>
      <c r="D456" t="s">
        <v>90</v>
      </c>
      <c r="E456" t="s">
        <v>42</v>
      </c>
      <c r="F456" t="s">
        <v>100</v>
      </c>
      <c r="G456" t="s">
        <v>104</v>
      </c>
      <c r="H456" t="s">
        <v>29</v>
      </c>
      <c r="I456">
        <v>880</v>
      </c>
      <c r="J456">
        <v>1</v>
      </c>
      <c r="K456">
        <v>4.7</v>
      </c>
      <c r="L456">
        <v>6</v>
      </c>
      <c r="M456" t="s">
        <v>192</v>
      </c>
    </row>
    <row r="457" spans="1:13">
      <c r="A457" t="s">
        <v>806</v>
      </c>
      <c r="B457" t="s">
        <v>406</v>
      </c>
      <c r="C457" t="s">
        <v>40</v>
      </c>
      <c r="D457" t="s">
        <v>90</v>
      </c>
      <c r="E457" t="s">
        <v>42</v>
      </c>
      <c r="F457" t="s">
        <v>18</v>
      </c>
      <c r="G457" t="s">
        <v>19</v>
      </c>
      <c r="H457" t="s">
        <v>29</v>
      </c>
      <c r="I457">
        <v>10530</v>
      </c>
      <c r="J457">
        <v>5</v>
      </c>
      <c r="K457">
        <v>3.6</v>
      </c>
      <c r="L457">
        <v>6</v>
      </c>
      <c r="M457" t="s">
        <v>47</v>
      </c>
    </row>
    <row r="458" spans="1:13">
      <c r="A458" t="s">
        <v>807</v>
      </c>
      <c r="B458" t="s">
        <v>415</v>
      </c>
      <c r="C458" t="s">
        <v>24</v>
      </c>
      <c r="D458" t="s">
        <v>97</v>
      </c>
      <c r="E458" t="s">
        <v>35</v>
      </c>
      <c r="F458" t="s">
        <v>83</v>
      </c>
      <c r="G458" t="s">
        <v>54</v>
      </c>
      <c r="H458" t="s">
        <v>36</v>
      </c>
      <c r="I458">
        <v>119661</v>
      </c>
      <c r="J458">
        <v>3</v>
      </c>
      <c r="K458">
        <v>4.7</v>
      </c>
      <c r="L458">
        <v>3</v>
      </c>
      <c r="M458" t="s">
        <v>80</v>
      </c>
    </row>
    <row r="459" spans="1:13">
      <c r="A459" t="s">
        <v>808</v>
      </c>
      <c r="B459" t="s">
        <v>510</v>
      </c>
      <c r="C459" t="s">
        <v>129</v>
      </c>
      <c r="D459" t="s">
        <v>165</v>
      </c>
      <c r="E459" t="s">
        <v>35</v>
      </c>
      <c r="F459" t="s">
        <v>83</v>
      </c>
      <c r="G459" t="s">
        <v>104</v>
      </c>
      <c r="H459" t="s">
        <v>64</v>
      </c>
      <c r="I459">
        <v>213456</v>
      </c>
      <c r="J459">
        <v>8</v>
      </c>
      <c r="K459">
        <v>4.5</v>
      </c>
      <c r="L459">
        <v>6</v>
      </c>
      <c r="M459" t="s">
        <v>80</v>
      </c>
    </row>
    <row r="460" spans="1:13">
      <c r="A460" t="s">
        <v>809</v>
      </c>
      <c r="B460" t="s">
        <v>810</v>
      </c>
      <c r="C460" t="s">
        <v>72</v>
      </c>
      <c r="D460" t="s">
        <v>79</v>
      </c>
      <c r="E460" t="s">
        <v>26</v>
      </c>
      <c r="F460" t="s">
        <v>18</v>
      </c>
      <c r="G460" t="s">
        <v>104</v>
      </c>
      <c r="H460" t="s">
        <v>29</v>
      </c>
      <c r="I460">
        <v>15905</v>
      </c>
      <c r="J460">
        <v>5</v>
      </c>
      <c r="K460">
        <v>4.9000000000000004</v>
      </c>
      <c r="L460">
        <v>6</v>
      </c>
      <c r="M460" t="s">
        <v>30</v>
      </c>
    </row>
    <row r="461" spans="1:13">
      <c r="A461" t="s">
        <v>811</v>
      </c>
      <c r="B461" t="s">
        <v>252</v>
      </c>
      <c r="C461" t="s">
        <v>78</v>
      </c>
      <c r="D461" t="s">
        <v>46</v>
      </c>
      <c r="E461" t="s">
        <v>42</v>
      </c>
      <c r="F461" t="s">
        <v>18</v>
      </c>
      <c r="G461" t="s">
        <v>104</v>
      </c>
      <c r="H461" t="s">
        <v>36</v>
      </c>
      <c r="I461">
        <v>4860</v>
      </c>
      <c r="J461">
        <v>3</v>
      </c>
      <c r="K461">
        <v>4.8</v>
      </c>
      <c r="L461">
        <v>3</v>
      </c>
      <c r="M461" t="s">
        <v>30</v>
      </c>
    </row>
    <row r="462" spans="1:13">
      <c r="A462" t="s">
        <v>812</v>
      </c>
      <c r="B462" t="s">
        <v>306</v>
      </c>
      <c r="C462" t="s">
        <v>103</v>
      </c>
      <c r="D462" t="s">
        <v>159</v>
      </c>
      <c r="E462" t="s">
        <v>42</v>
      </c>
      <c r="F462" t="s">
        <v>83</v>
      </c>
      <c r="G462" t="s">
        <v>54</v>
      </c>
      <c r="H462" t="s">
        <v>36</v>
      </c>
      <c r="I462">
        <v>34086</v>
      </c>
      <c r="J462">
        <v>6</v>
      </c>
      <c r="K462">
        <v>3.6</v>
      </c>
      <c r="L462">
        <v>4</v>
      </c>
      <c r="M462" t="s">
        <v>47</v>
      </c>
    </row>
    <row r="463" spans="1:13">
      <c r="A463" t="s">
        <v>813</v>
      </c>
      <c r="B463" t="s">
        <v>139</v>
      </c>
      <c r="C463" t="s">
        <v>129</v>
      </c>
      <c r="D463" t="s">
        <v>69</v>
      </c>
      <c r="E463" t="s">
        <v>26</v>
      </c>
      <c r="F463" t="s">
        <v>60</v>
      </c>
      <c r="G463" t="s">
        <v>19</v>
      </c>
      <c r="H463" t="s">
        <v>64</v>
      </c>
      <c r="I463">
        <v>12012</v>
      </c>
      <c r="J463">
        <v>2</v>
      </c>
      <c r="K463">
        <v>4.3</v>
      </c>
      <c r="L463">
        <v>1</v>
      </c>
      <c r="M463" t="s">
        <v>119</v>
      </c>
    </row>
    <row r="464" spans="1:13">
      <c r="A464" t="s">
        <v>814</v>
      </c>
      <c r="B464" t="s">
        <v>310</v>
      </c>
      <c r="C464" t="s">
        <v>179</v>
      </c>
      <c r="D464" t="s">
        <v>97</v>
      </c>
      <c r="E464" t="s">
        <v>35</v>
      </c>
      <c r="F464" t="s">
        <v>27</v>
      </c>
      <c r="G464" t="s">
        <v>28</v>
      </c>
      <c r="H464" t="s">
        <v>64</v>
      </c>
      <c r="I464">
        <v>48552</v>
      </c>
      <c r="J464">
        <v>1</v>
      </c>
      <c r="K464">
        <v>4.8</v>
      </c>
      <c r="L464">
        <v>2</v>
      </c>
      <c r="M464" t="s">
        <v>55</v>
      </c>
    </row>
    <row r="465" spans="1:13">
      <c r="A465" t="s">
        <v>815</v>
      </c>
      <c r="B465" t="s">
        <v>708</v>
      </c>
      <c r="C465" t="s">
        <v>40</v>
      </c>
      <c r="D465" t="s">
        <v>46</v>
      </c>
      <c r="E465" t="s">
        <v>42</v>
      </c>
      <c r="F465" t="s">
        <v>60</v>
      </c>
      <c r="G465" t="s">
        <v>104</v>
      </c>
      <c r="H465" t="s">
        <v>36</v>
      </c>
      <c r="I465">
        <v>38570</v>
      </c>
      <c r="J465">
        <v>7</v>
      </c>
      <c r="K465">
        <v>3.4</v>
      </c>
      <c r="L465">
        <v>4</v>
      </c>
      <c r="M465" t="s">
        <v>80</v>
      </c>
    </row>
    <row r="466" spans="1:13">
      <c r="A466" t="s">
        <v>816</v>
      </c>
      <c r="B466" t="s">
        <v>561</v>
      </c>
      <c r="C466" t="s">
        <v>179</v>
      </c>
      <c r="D466" t="s">
        <v>69</v>
      </c>
      <c r="E466" t="s">
        <v>26</v>
      </c>
      <c r="F466" t="s">
        <v>83</v>
      </c>
      <c r="G466" t="s">
        <v>28</v>
      </c>
      <c r="H466" t="s">
        <v>29</v>
      </c>
      <c r="I466">
        <v>9906</v>
      </c>
      <c r="J466">
        <v>1</v>
      </c>
      <c r="K466">
        <v>4</v>
      </c>
      <c r="L466">
        <v>3</v>
      </c>
      <c r="M466" t="s">
        <v>87</v>
      </c>
    </row>
    <row r="467" spans="1:13">
      <c r="A467" t="s">
        <v>817</v>
      </c>
      <c r="B467" t="s">
        <v>666</v>
      </c>
      <c r="C467" t="s">
        <v>72</v>
      </c>
      <c r="D467" t="s">
        <v>69</v>
      </c>
      <c r="E467" t="s">
        <v>26</v>
      </c>
      <c r="F467" t="s">
        <v>53</v>
      </c>
      <c r="G467" t="s">
        <v>104</v>
      </c>
      <c r="H467" t="s">
        <v>64</v>
      </c>
      <c r="I467">
        <v>41965</v>
      </c>
      <c r="J467">
        <v>5</v>
      </c>
      <c r="K467">
        <v>3.6</v>
      </c>
      <c r="L467">
        <v>1</v>
      </c>
      <c r="M467" t="s">
        <v>144</v>
      </c>
    </row>
    <row r="468" spans="1:13">
      <c r="A468" t="s">
        <v>818</v>
      </c>
      <c r="B468" t="s">
        <v>545</v>
      </c>
      <c r="C468" t="s">
        <v>45</v>
      </c>
      <c r="D468" t="s">
        <v>218</v>
      </c>
      <c r="E468" t="s">
        <v>17</v>
      </c>
      <c r="F468" t="s">
        <v>27</v>
      </c>
      <c r="G468" t="s">
        <v>104</v>
      </c>
      <c r="H468" t="s">
        <v>64</v>
      </c>
      <c r="I468">
        <v>3921</v>
      </c>
      <c r="J468">
        <v>3</v>
      </c>
      <c r="K468">
        <v>4.0999999999999996</v>
      </c>
      <c r="L468">
        <v>2</v>
      </c>
      <c r="M468" t="s">
        <v>47</v>
      </c>
    </row>
    <row r="469" spans="1:13">
      <c r="A469" t="s">
        <v>819</v>
      </c>
      <c r="B469" t="s">
        <v>533</v>
      </c>
      <c r="C469" t="s">
        <v>24</v>
      </c>
      <c r="D469" t="s">
        <v>69</v>
      </c>
      <c r="E469" t="s">
        <v>26</v>
      </c>
      <c r="F469" t="s">
        <v>100</v>
      </c>
      <c r="G469" t="s">
        <v>54</v>
      </c>
      <c r="H469" t="s">
        <v>20</v>
      </c>
      <c r="I469">
        <v>81800</v>
      </c>
      <c r="J469">
        <v>8</v>
      </c>
      <c r="K469">
        <v>3.2</v>
      </c>
      <c r="L469">
        <v>5</v>
      </c>
      <c r="M469" t="s">
        <v>21</v>
      </c>
    </row>
    <row r="470" spans="1:13">
      <c r="A470" t="s">
        <v>820</v>
      </c>
      <c r="B470" t="s">
        <v>411</v>
      </c>
      <c r="C470" t="s">
        <v>33</v>
      </c>
      <c r="D470" t="s">
        <v>97</v>
      </c>
      <c r="E470" t="s">
        <v>35</v>
      </c>
      <c r="F470" t="s">
        <v>53</v>
      </c>
      <c r="G470" t="s">
        <v>104</v>
      </c>
      <c r="H470" t="s">
        <v>36</v>
      </c>
      <c r="I470">
        <v>28296</v>
      </c>
      <c r="J470">
        <v>3</v>
      </c>
      <c r="K470">
        <v>4</v>
      </c>
      <c r="L470">
        <v>6</v>
      </c>
      <c r="M470" t="s">
        <v>119</v>
      </c>
    </row>
    <row r="471" spans="1:13">
      <c r="A471" t="s">
        <v>821</v>
      </c>
      <c r="B471" t="s">
        <v>784</v>
      </c>
      <c r="C471" t="s">
        <v>103</v>
      </c>
      <c r="D471" t="s">
        <v>79</v>
      </c>
      <c r="E471" t="s">
        <v>26</v>
      </c>
      <c r="F471" t="s">
        <v>27</v>
      </c>
      <c r="G471" t="s">
        <v>104</v>
      </c>
      <c r="H471" t="s">
        <v>36</v>
      </c>
      <c r="I471">
        <v>17940</v>
      </c>
      <c r="J471">
        <v>3</v>
      </c>
      <c r="K471">
        <v>4.7</v>
      </c>
      <c r="L471">
        <v>5</v>
      </c>
      <c r="M471" t="s">
        <v>192</v>
      </c>
    </row>
    <row r="472" spans="1:13">
      <c r="A472" t="s">
        <v>822</v>
      </c>
      <c r="B472" t="s">
        <v>371</v>
      </c>
      <c r="C472" t="s">
        <v>68</v>
      </c>
      <c r="D472" t="s">
        <v>59</v>
      </c>
      <c r="E472" t="s">
        <v>26</v>
      </c>
      <c r="F472" t="s">
        <v>83</v>
      </c>
      <c r="G472" t="s">
        <v>19</v>
      </c>
      <c r="H472" t="s">
        <v>20</v>
      </c>
      <c r="I472">
        <v>8744</v>
      </c>
      <c r="J472">
        <v>1</v>
      </c>
      <c r="K472">
        <v>3.9</v>
      </c>
      <c r="L472">
        <v>3</v>
      </c>
      <c r="M472" t="s">
        <v>80</v>
      </c>
    </row>
    <row r="473" spans="1:13">
      <c r="A473" t="s">
        <v>823</v>
      </c>
      <c r="B473" t="s">
        <v>545</v>
      </c>
      <c r="C473" t="s">
        <v>72</v>
      </c>
      <c r="D473" t="s">
        <v>147</v>
      </c>
      <c r="E473" t="s">
        <v>52</v>
      </c>
      <c r="F473" t="s">
        <v>60</v>
      </c>
      <c r="G473" t="s">
        <v>104</v>
      </c>
      <c r="H473" t="s">
        <v>20</v>
      </c>
      <c r="I473">
        <v>5816</v>
      </c>
      <c r="J473">
        <v>8</v>
      </c>
      <c r="K473">
        <v>3.8</v>
      </c>
      <c r="L473">
        <v>6</v>
      </c>
      <c r="M473" t="s">
        <v>47</v>
      </c>
    </row>
    <row r="474" spans="1:13">
      <c r="A474" t="s">
        <v>824</v>
      </c>
      <c r="B474" t="s">
        <v>825</v>
      </c>
      <c r="C474" t="s">
        <v>133</v>
      </c>
      <c r="D474" t="s">
        <v>113</v>
      </c>
      <c r="E474" t="s">
        <v>35</v>
      </c>
      <c r="F474" t="s">
        <v>27</v>
      </c>
      <c r="G474" t="s">
        <v>54</v>
      </c>
      <c r="H474" t="s">
        <v>36</v>
      </c>
      <c r="I474">
        <v>128788</v>
      </c>
      <c r="J474">
        <v>4</v>
      </c>
      <c r="K474">
        <v>3.6</v>
      </c>
      <c r="L474">
        <v>2</v>
      </c>
      <c r="M474" t="s">
        <v>80</v>
      </c>
    </row>
    <row r="475" spans="1:13">
      <c r="A475" t="s">
        <v>826</v>
      </c>
      <c r="B475" t="s">
        <v>692</v>
      </c>
      <c r="C475" t="s">
        <v>103</v>
      </c>
      <c r="D475" t="s">
        <v>116</v>
      </c>
      <c r="E475" t="s">
        <v>17</v>
      </c>
      <c r="F475" t="s">
        <v>18</v>
      </c>
      <c r="G475" t="s">
        <v>54</v>
      </c>
      <c r="H475" t="s">
        <v>29</v>
      </c>
      <c r="I475">
        <v>702</v>
      </c>
      <c r="J475">
        <v>1</v>
      </c>
      <c r="K475">
        <v>3.3</v>
      </c>
      <c r="L475">
        <v>2</v>
      </c>
      <c r="M475" t="s">
        <v>47</v>
      </c>
    </row>
    <row r="476" spans="1:13">
      <c r="A476" t="s">
        <v>827</v>
      </c>
      <c r="B476" t="s">
        <v>593</v>
      </c>
      <c r="C476" t="s">
        <v>58</v>
      </c>
      <c r="D476" t="s">
        <v>16</v>
      </c>
      <c r="E476" t="s">
        <v>17</v>
      </c>
      <c r="F476" t="s">
        <v>53</v>
      </c>
      <c r="G476" t="s">
        <v>104</v>
      </c>
      <c r="H476" t="s">
        <v>20</v>
      </c>
      <c r="I476">
        <v>6012</v>
      </c>
      <c r="J476">
        <v>4</v>
      </c>
      <c r="K476">
        <v>3.4</v>
      </c>
      <c r="L476">
        <v>5</v>
      </c>
      <c r="M476" t="s">
        <v>80</v>
      </c>
    </row>
    <row r="477" spans="1:13">
      <c r="A477" t="s">
        <v>828</v>
      </c>
      <c r="B477" t="s">
        <v>829</v>
      </c>
      <c r="C477" t="s">
        <v>78</v>
      </c>
      <c r="D477" t="s">
        <v>79</v>
      </c>
      <c r="E477" t="s">
        <v>26</v>
      </c>
      <c r="F477" t="s">
        <v>18</v>
      </c>
      <c r="G477" t="s">
        <v>54</v>
      </c>
      <c r="H477" t="s">
        <v>20</v>
      </c>
      <c r="I477">
        <v>7876</v>
      </c>
      <c r="J477">
        <v>2</v>
      </c>
      <c r="K477">
        <v>4.9000000000000004</v>
      </c>
      <c r="L477">
        <v>3</v>
      </c>
      <c r="M477" t="s">
        <v>65</v>
      </c>
    </row>
    <row r="478" spans="1:13">
      <c r="A478" t="s">
        <v>830</v>
      </c>
      <c r="B478" t="s">
        <v>799</v>
      </c>
      <c r="C478" t="s">
        <v>133</v>
      </c>
      <c r="D478" t="s">
        <v>69</v>
      </c>
      <c r="E478" t="s">
        <v>26</v>
      </c>
      <c r="F478" t="s">
        <v>18</v>
      </c>
      <c r="G478" t="s">
        <v>104</v>
      </c>
      <c r="H478" t="s">
        <v>36</v>
      </c>
      <c r="I478">
        <v>21057</v>
      </c>
      <c r="J478">
        <v>3</v>
      </c>
      <c r="K478">
        <v>4</v>
      </c>
      <c r="L478">
        <v>4</v>
      </c>
      <c r="M478" t="s">
        <v>55</v>
      </c>
    </row>
    <row r="479" spans="1:13">
      <c r="A479" t="s">
        <v>831</v>
      </c>
      <c r="B479" t="s">
        <v>729</v>
      </c>
      <c r="C479" t="s">
        <v>68</v>
      </c>
      <c r="D479" t="s">
        <v>41</v>
      </c>
      <c r="E479" t="s">
        <v>42</v>
      </c>
      <c r="F479" t="s">
        <v>60</v>
      </c>
      <c r="G479" t="s">
        <v>104</v>
      </c>
      <c r="H479" t="s">
        <v>64</v>
      </c>
      <c r="I479">
        <v>15792</v>
      </c>
      <c r="J479">
        <v>3</v>
      </c>
      <c r="K479">
        <v>3.3</v>
      </c>
      <c r="L479">
        <v>8</v>
      </c>
      <c r="M479" t="s">
        <v>65</v>
      </c>
    </row>
    <row r="480" spans="1:13">
      <c r="A480" t="s">
        <v>832</v>
      </c>
      <c r="B480" t="s">
        <v>833</v>
      </c>
      <c r="C480" t="s">
        <v>129</v>
      </c>
      <c r="D480" t="s">
        <v>59</v>
      </c>
      <c r="E480" t="s">
        <v>26</v>
      </c>
      <c r="F480" t="s">
        <v>83</v>
      </c>
      <c r="G480" t="s">
        <v>54</v>
      </c>
      <c r="H480" t="s">
        <v>64</v>
      </c>
      <c r="I480">
        <v>31144</v>
      </c>
      <c r="J480">
        <v>8</v>
      </c>
      <c r="K480">
        <v>4.7</v>
      </c>
      <c r="L480">
        <v>8</v>
      </c>
      <c r="M480" t="s">
        <v>119</v>
      </c>
    </row>
    <row r="481" spans="1:13">
      <c r="A481" t="s">
        <v>834</v>
      </c>
      <c r="B481" t="s">
        <v>82</v>
      </c>
      <c r="C481" t="s">
        <v>75</v>
      </c>
      <c r="D481" t="s">
        <v>116</v>
      </c>
      <c r="E481" t="s">
        <v>17</v>
      </c>
      <c r="F481" t="s">
        <v>53</v>
      </c>
      <c r="G481" t="s">
        <v>19</v>
      </c>
      <c r="H481" t="s">
        <v>29</v>
      </c>
      <c r="I481">
        <v>1088</v>
      </c>
      <c r="J481">
        <v>2</v>
      </c>
      <c r="K481">
        <v>5</v>
      </c>
      <c r="L481">
        <v>3</v>
      </c>
      <c r="M481" t="s">
        <v>47</v>
      </c>
    </row>
    <row r="482" spans="1:13">
      <c r="A482" t="s">
        <v>835</v>
      </c>
      <c r="B482" t="s">
        <v>203</v>
      </c>
      <c r="C482" t="s">
        <v>129</v>
      </c>
      <c r="D482" t="s">
        <v>51</v>
      </c>
      <c r="E482" t="s">
        <v>52</v>
      </c>
      <c r="F482" t="s">
        <v>60</v>
      </c>
      <c r="G482" t="s">
        <v>28</v>
      </c>
      <c r="H482" t="s">
        <v>64</v>
      </c>
      <c r="I482">
        <v>9176</v>
      </c>
      <c r="J482">
        <v>4</v>
      </c>
      <c r="K482">
        <v>3.7</v>
      </c>
      <c r="L482">
        <v>7</v>
      </c>
      <c r="M482" t="s">
        <v>80</v>
      </c>
    </row>
    <row r="483" spans="1:13">
      <c r="A483" t="s">
        <v>836</v>
      </c>
      <c r="B483" t="s">
        <v>837</v>
      </c>
      <c r="C483" t="s">
        <v>15</v>
      </c>
      <c r="D483" t="s">
        <v>59</v>
      </c>
      <c r="E483" t="s">
        <v>26</v>
      </c>
      <c r="F483" t="s">
        <v>18</v>
      </c>
      <c r="G483" t="s">
        <v>54</v>
      </c>
      <c r="H483" t="s">
        <v>36</v>
      </c>
      <c r="I483">
        <v>71576</v>
      </c>
      <c r="J483">
        <v>8</v>
      </c>
      <c r="K483">
        <v>3.6</v>
      </c>
      <c r="L483">
        <v>3</v>
      </c>
      <c r="M483" t="s">
        <v>80</v>
      </c>
    </row>
    <row r="484" spans="1:13">
      <c r="A484" t="s">
        <v>838</v>
      </c>
      <c r="B484" t="s">
        <v>393</v>
      </c>
      <c r="C484" t="s">
        <v>112</v>
      </c>
      <c r="D484" t="s">
        <v>41</v>
      </c>
      <c r="E484" t="s">
        <v>42</v>
      </c>
      <c r="F484" t="s">
        <v>60</v>
      </c>
      <c r="G484" t="s">
        <v>28</v>
      </c>
      <c r="H484" t="s">
        <v>20</v>
      </c>
      <c r="I484">
        <v>22260</v>
      </c>
      <c r="J484">
        <v>7</v>
      </c>
      <c r="K484">
        <v>4.3</v>
      </c>
      <c r="L484">
        <v>2</v>
      </c>
      <c r="M484" t="s">
        <v>37</v>
      </c>
    </row>
    <row r="485" spans="1:13">
      <c r="A485" t="s">
        <v>839</v>
      </c>
      <c r="B485" t="s">
        <v>579</v>
      </c>
      <c r="C485" t="s">
        <v>133</v>
      </c>
      <c r="D485" t="s">
        <v>97</v>
      </c>
      <c r="E485" t="s">
        <v>35</v>
      </c>
      <c r="F485" t="s">
        <v>18</v>
      </c>
      <c r="G485" t="s">
        <v>28</v>
      </c>
      <c r="H485" t="s">
        <v>64</v>
      </c>
      <c r="I485">
        <v>366740</v>
      </c>
      <c r="J485">
        <v>5</v>
      </c>
      <c r="K485">
        <v>4.9000000000000004</v>
      </c>
      <c r="L485">
        <v>1</v>
      </c>
      <c r="M485" t="s">
        <v>65</v>
      </c>
    </row>
    <row r="486" spans="1:13">
      <c r="A486" t="s">
        <v>840</v>
      </c>
      <c r="B486" t="s">
        <v>841</v>
      </c>
      <c r="C486" t="s">
        <v>24</v>
      </c>
      <c r="D486" t="s">
        <v>97</v>
      </c>
      <c r="E486" t="s">
        <v>35</v>
      </c>
      <c r="F486" t="s">
        <v>60</v>
      </c>
      <c r="G486" t="s">
        <v>28</v>
      </c>
      <c r="H486" t="s">
        <v>20</v>
      </c>
      <c r="I486">
        <v>205456</v>
      </c>
      <c r="J486">
        <v>8</v>
      </c>
      <c r="K486">
        <v>4.7</v>
      </c>
      <c r="L486">
        <v>5</v>
      </c>
      <c r="M486" t="s">
        <v>47</v>
      </c>
    </row>
    <row r="487" spans="1:13">
      <c r="A487" t="s">
        <v>842</v>
      </c>
      <c r="B487" t="s">
        <v>843</v>
      </c>
      <c r="C487" t="s">
        <v>112</v>
      </c>
      <c r="D487" t="s">
        <v>97</v>
      </c>
      <c r="E487" t="s">
        <v>35</v>
      </c>
      <c r="F487" t="s">
        <v>18</v>
      </c>
      <c r="G487" t="s">
        <v>28</v>
      </c>
      <c r="H487" t="s">
        <v>29</v>
      </c>
      <c r="I487">
        <v>150170</v>
      </c>
      <c r="J487">
        <v>2</v>
      </c>
      <c r="K487">
        <v>4</v>
      </c>
      <c r="L487">
        <v>3</v>
      </c>
      <c r="M487" t="s">
        <v>65</v>
      </c>
    </row>
    <row r="488" spans="1:13">
      <c r="A488" t="s">
        <v>844</v>
      </c>
      <c r="B488" t="s">
        <v>595</v>
      </c>
      <c r="C488" t="s">
        <v>129</v>
      </c>
      <c r="D488" t="s">
        <v>90</v>
      </c>
      <c r="E488" t="s">
        <v>42</v>
      </c>
      <c r="F488" t="s">
        <v>27</v>
      </c>
      <c r="G488" t="s">
        <v>54</v>
      </c>
      <c r="H488" t="s">
        <v>29</v>
      </c>
      <c r="I488">
        <v>5580</v>
      </c>
      <c r="J488">
        <v>6</v>
      </c>
      <c r="K488">
        <v>3.3</v>
      </c>
      <c r="L488">
        <v>6</v>
      </c>
      <c r="M488" t="s">
        <v>192</v>
      </c>
    </row>
    <row r="489" spans="1:13">
      <c r="A489" t="s">
        <v>845</v>
      </c>
      <c r="B489" t="s">
        <v>846</v>
      </c>
      <c r="C489" t="s">
        <v>40</v>
      </c>
      <c r="D489" t="s">
        <v>41</v>
      </c>
      <c r="E489" t="s">
        <v>42</v>
      </c>
      <c r="F489" t="s">
        <v>100</v>
      </c>
      <c r="G489" t="s">
        <v>54</v>
      </c>
      <c r="H489" t="s">
        <v>36</v>
      </c>
      <c r="I489">
        <v>6972</v>
      </c>
      <c r="J489">
        <v>6</v>
      </c>
      <c r="K489">
        <v>3.6</v>
      </c>
      <c r="L489">
        <v>4</v>
      </c>
      <c r="M489" t="s">
        <v>47</v>
      </c>
    </row>
    <row r="490" spans="1:13">
      <c r="A490" t="s">
        <v>847</v>
      </c>
      <c r="B490" t="s">
        <v>156</v>
      </c>
      <c r="C490" t="s">
        <v>58</v>
      </c>
      <c r="D490" t="s">
        <v>113</v>
      </c>
      <c r="E490" t="s">
        <v>35</v>
      </c>
      <c r="F490" t="s">
        <v>100</v>
      </c>
      <c r="G490" t="s">
        <v>28</v>
      </c>
      <c r="H490" t="s">
        <v>29</v>
      </c>
      <c r="I490">
        <v>135732</v>
      </c>
      <c r="J490">
        <v>3</v>
      </c>
      <c r="K490">
        <v>4.4000000000000004</v>
      </c>
      <c r="L490">
        <v>7</v>
      </c>
      <c r="M490" t="s">
        <v>126</v>
      </c>
    </row>
    <row r="491" spans="1:13">
      <c r="A491" t="s">
        <v>848</v>
      </c>
      <c r="B491" t="s">
        <v>543</v>
      </c>
      <c r="C491" t="s">
        <v>68</v>
      </c>
      <c r="D491" t="s">
        <v>116</v>
      </c>
      <c r="E491" t="s">
        <v>17</v>
      </c>
      <c r="F491" t="s">
        <v>27</v>
      </c>
      <c r="G491" t="s">
        <v>19</v>
      </c>
      <c r="H491" t="s">
        <v>29</v>
      </c>
      <c r="I491">
        <v>948</v>
      </c>
      <c r="J491">
        <v>1</v>
      </c>
      <c r="K491">
        <v>4.2</v>
      </c>
      <c r="L491">
        <v>8</v>
      </c>
      <c r="M491" t="s">
        <v>30</v>
      </c>
    </row>
    <row r="492" spans="1:13">
      <c r="A492" t="s">
        <v>849</v>
      </c>
      <c r="B492" t="s">
        <v>415</v>
      </c>
      <c r="C492" t="s">
        <v>78</v>
      </c>
      <c r="D492" t="s">
        <v>46</v>
      </c>
      <c r="E492" t="s">
        <v>42</v>
      </c>
      <c r="F492" t="s">
        <v>83</v>
      </c>
      <c r="G492" t="s">
        <v>104</v>
      </c>
      <c r="H492" t="s">
        <v>29</v>
      </c>
      <c r="I492">
        <v>23855</v>
      </c>
      <c r="J492">
        <v>5</v>
      </c>
      <c r="K492">
        <v>4.7</v>
      </c>
      <c r="L492">
        <v>2</v>
      </c>
      <c r="M492" t="s">
        <v>80</v>
      </c>
    </row>
    <row r="493" spans="1:13">
      <c r="A493" t="s">
        <v>850</v>
      </c>
      <c r="B493" t="s">
        <v>252</v>
      </c>
      <c r="C493" t="s">
        <v>58</v>
      </c>
      <c r="D493" t="s">
        <v>218</v>
      </c>
      <c r="E493" t="s">
        <v>17</v>
      </c>
      <c r="F493" t="s">
        <v>100</v>
      </c>
      <c r="G493" t="s">
        <v>28</v>
      </c>
      <c r="H493" t="s">
        <v>64</v>
      </c>
      <c r="I493">
        <v>5334</v>
      </c>
      <c r="J493">
        <v>7</v>
      </c>
      <c r="K493">
        <v>3.8</v>
      </c>
      <c r="L493">
        <v>2</v>
      </c>
      <c r="M493" t="s">
        <v>30</v>
      </c>
    </row>
    <row r="494" spans="1:13">
      <c r="A494" t="s">
        <v>851</v>
      </c>
      <c r="B494" t="s">
        <v>263</v>
      </c>
      <c r="C494" t="s">
        <v>103</v>
      </c>
      <c r="D494" t="s">
        <v>109</v>
      </c>
      <c r="E494" t="s">
        <v>52</v>
      </c>
      <c r="F494" t="s">
        <v>100</v>
      </c>
      <c r="G494" t="s">
        <v>28</v>
      </c>
      <c r="H494" t="s">
        <v>20</v>
      </c>
      <c r="I494">
        <v>7390</v>
      </c>
      <c r="J494">
        <v>5</v>
      </c>
      <c r="K494">
        <v>3.6</v>
      </c>
      <c r="L494">
        <v>7</v>
      </c>
      <c r="M494" t="s">
        <v>87</v>
      </c>
    </row>
    <row r="495" spans="1:13">
      <c r="A495" t="s">
        <v>852</v>
      </c>
      <c r="B495" t="s">
        <v>424</v>
      </c>
      <c r="C495" t="s">
        <v>58</v>
      </c>
      <c r="D495" t="s">
        <v>86</v>
      </c>
      <c r="E495" t="s">
        <v>17</v>
      </c>
      <c r="F495" t="s">
        <v>27</v>
      </c>
      <c r="G495" t="s">
        <v>54</v>
      </c>
      <c r="H495" t="s">
        <v>20</v>
      </c>
      <c r="I495">
        <v>5888</v>
      </c>
      <c r="J495">
        <v>8</v>
      </c>
      <c r="K495">
        <v>4.7</v>
      </c>
      <c r="L495">
        <v>7</v>
      </c>
      <c r="M495" t="s">
        <v>30</v>
      </c>
    </row>
    <row r="496" spans="1:13">
      <c r="A496" t="s">
        <v>853</v>
      </c>
      <c r="B496" t="s">
        <v>837</v>
      </c>
      <c r="C496" t="s">
        <v>179</v>
      </c>
      <c r="D496" t="s">
        <v>97</v>
      </c>
      <c r="E496" t="s">
        <v>35</v>
      </c>
      <c r="F496" t="s">
        <v>60</v>
      </c>
      <c r="G496" t="s">
        <v>104</v>
      </c>
      <c r="H496" t="s">
        <v>29</v>
      </c>
      <c r="I496">
        <v>238268</v>
      </c>
      <c r="J496">
        <v>4</v>
      </c>
      <c r="K496">
        <v>4.7</v>
      </c>
      <c r="L496">
        <v>2</v>
      </c>
      <c r="M496" t="s">
        <v>80</v>
      </c>
    </row>
    <row r="497" spans="1:13">
      <c r="A497" t="s">
        <v>854</v>
      </c>
      <c r="B497" t="s">
        <v>833</v>
      </c>
      <c r="C497" t="s">
        <v>146</v>
      </c>
      <c r="D497" t="s">
        <v>109</v>
      </c>
      <c r="E497" t="s">
        <v>52</v>
      </c>
      <c r="F497" t="s">
        <v>60</v>
      </c>
      <c r="G497" t="s">
        <v>28</v>
      </c>
      <c r="H497" t="s">
        <v>64</v>
      </c>
      <c r="I497">
        <v>4904</v>
      </c>
      <c r="J497">
        <v>4</v>
      </c>
      <c r="K497">
        <v>3.2</v>
      </c>
      <c r="L497">
        <v>5</v>
      </c>
      <c r="M497" t="s">
        <v>119</v>
      </c>
    </row>
    <row r="498" spans="1:13">
      <c r="A498" t="s">
        <v>855</v>
      </c>
      <c r="B498" t="s">
        <v>487</v>
      </c>
      <c r="C498" t="s">
        <v>125</v>
      </c>
      <c r="D498" t="s">
        <v>86</v>
      </c>
      <c r="E498" t="s">
        <v>17</v>
      </c>
      <c r="F498" t="s">
        <v>18</v>
      </c>
      <c r="G498" t="s">
        <v>54</v>
      </c>
      <c r="H498" t="s">
        <v>36</v>
      </c>
      <c r="I498">
        <v>2895</v>
      </c>
      <c r="J498">
        <v>5</v>
      </c>
      <c r="K498">
        <v>4.2</v>
      </c>
      <c r="L498">
        <v>1</v>
      </c>
      <c r="M498" t="s">
        <v>80</v>
      </c>
    </row>
    <row r="499" spans="1:13">
      <c r="A499" t="s">
        <v>856</v>
      </c>
      <c r="B499" t="s">
        <v>187</v>
      </c>
      <c r="C499" t="s">
        <v>112</v>
      </c>
      <c r="D499" t="s">
        <v>165</v>
      </c>
      <c r="E499" t="s">
        <v>35</v>
      </c>
      <c r="F499" t="s">
        <v>27</v>
      </c>
      <c r="G499" t="s">
        <v>104</v>
      </c>
      <c r="H499" t="s">
        <v>64</v>
      </c>
      <c r="I499">
        <v>28672</v>
      </c>
      <c r="J499">
        <v>2</v>
      </c>
      <c r="K499">
        <v>3.6</v>
      </c>
      <c r="L499">
        <v>2</v>
      </c>
      <c r="M499" t="s">
        <v>126</v>
      </c>
    </row>
    <row r="500" spans="1:13">
      <c r="A500" t="s">
        <v>857</v>
      </c>
      <c r="B500" t="s">
        <v>250</v>
      </c>
      <c r="C500" t="s">
        <v>72</v>
      </c>
      <c r="D500" t="s">
        <v>86</v>
      </c>
      <c r="E500" t="s">
        <v>17</v>
      </c>
      <c r="F500" t="s">
        <v>18</v>
      </c>
      <c r="G500" t="s">
        <v>19</v>
      </c>
      <c r="H500" t="s">
        <v>20</v>
      </c>
      <c r="I500">
        <v>1882</v>
      </c>
      <c r="J500">
        <v>2</v>
      </c>
      <c r="K500">
        <v>4.9000000000000004</v>
      </c>
      <c r="L500">
        <v>4</v>
      </c>
      <c r="M500" t="s">
        <v>192</v>
      </c>
    </row>
    <row r="501" spans="1:13">
      <c r="A501" t="s">
        <v>858</v>
      </c>
      <c r="B501" t="s">
        <v>859</v>
      </c>
      <c r="C501" t="s">
        <v>170</v>
      </c>
      <c r="D501" t="s">
        <v>97</v>
      </c>
      <c r="E501" t="s">
        <v>35</v>
      </c>
      <c r="F501" t="s">
        <v>100</v>
      </c>
      <c r="G501" t="s">
        <v>28</v>
      </c>
      <c r="H501" t="s">
        <v>64</v>
      </c>
      <c r="I501">
        <v>333860</v>
      </c>
      <c r="J501">
        <v>5</v>
      </c>
      <c r="K501">
        <v>4.5</v>
      </c>
      <c r="L501">
        <v>2</v>
      </c>
      <c r="M501" t="s">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PIVOT</vt:lpstr>
      <vt:lpstr>DASBOARD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admin</cp:lastModifiedBy>
  <dcterms:created xsi:type="dcterms:W3CDTF">2026-09-04T11:04:00Z</dcterms:created>
  <dcterms:modified xsi:type="dcterms:W3CDTF">2026-10-03T08:20:16Z</dcterms:modified>
</cp:coreProperties>
</file>